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507" sheetId="1" r:id="rId4"/>
  </sheets>
  <definedNames/>
  <calcPr/>
  <extLst>
    <ext uri="GoogleSheetsCustomDataVersion2">
      <go:sheetsCustomData xmlns:go="http://customooxmlschemas.google.com/" r:id="rId5" roundtripDataChecksum="Q2V5u2UWNOyeWHz12BuCFpdXQN8bxhmA9Zr1T1824ek="/>
    </ext>
  </extLst>
</workbook>
</file>

<file path=xl/sharedStrings.xml><?xml version="1.0" encoding="utf-8"?>
<sst xmlns="http://schemas.openxmlformats.org/spreadsheetml/2006/main" count="20" uniqueCount="20">
  <si>
    <t>ARCHIVO MAESTRO AD507 | CONFIGURADO SOLO PARA PANAMÁ 🇵🇦 | NO CAMBIAR CONFIGURACIÓN REGIONAL</t>
  </si>
  <si>
    <t>Código</t>
  </si>
  <si>
    <t>Nombre</t>
  </si>
  <si>
    <t>Teléfono (cliente)</t>
  </si>
  <si>
    <t>Provincia</t>
  </si>
  <si>
    <t>Referencia</t>
  </si>
  <si>
    <t>Coordenada (LAT,LNG)</t>
  </si>
  <si>
    <t>Google Maps</t>
  </si>
  <si>
    <t>Waze</t>
  </si>
  <si>
    <t>Uber</t>
  </si>
  <si>
    <t>QR Verificación (Maps)</t>
  </si>
  <si>
    <t>Link Avisar WhatsApp</t>
  </si>
  <si>
    <t>QR Avisar WhatsApp</t>
  </si>
  <si>
    <t>Fecha</t>
  </si>
  <si>
    <t>Validación</t>
  </si>
  <si>
    <t>6356-4932</t>
  </si>
  <si>
    <t>9.006347151909075, -79.50405578653195</t>
  </si>
  <si>
    <t>9.006590920799805, -79.50404507116416</t>
  </si>
  <si>
    <t>9.00420326285912, -79.50704319902117</t>
  </si>
  <si>
    <t>9.062448198624551, -79.4026838109867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</si>
</sst>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/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14.0"/>
    <col customWidth="1" min="5" max="6" width="28.0"/>
    <col customWidth="1" min="7" max="7" width="18.0"/>
    <col customWidth="1" min="8" max="9" width="14.0"/>
    <col customWidth="1" min="10" max="10" width="24.0"/>
    <col customWidth="1" min="11" max="12" width="18.0"/>
    <col customWidth="1" min="13" max="13" width="12.0"/>
    <col customWidth="1" min="14" max="14" width="1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5" t="str">
        <f t="shared" ref="A3:A2000" si="1">CONCAT("AD507-",TEXT(ROW()-2,"0000"))</f>
        <v>AD507-0001</v>
      </c>
      <c r="C3" s="6" t="s">
        <v>15</v>
      </c>
      <c r="F3" s="6" t="s">
        <v>16</v>
      </c>
      <c r="G3" s="7" t="str">
        <f t="shared" ref="G3:G2000" si="2">IF(F3&lt;&gt;"",HYPERLINK("https://www.google.com/maps/search/?api=1&amp;query="&amp;SUBSTITUTE(F3," ",""),"🗺 Google Maps"),"")</f>
        <v>🗺 Google Maps</v>
      </c>
      <c r="H3" s="7" t="str">
        <f t="shared" ref="H3:H2000" si="3">IF(F3&lt;&gt;"",HYPERLINK("https://waze.com/ul?ll="&amp;SUBSTITUTE(F3," ","")&amp;"&amp;navigate=yes","🚗 Waze"),"")</f>
        <v>🚗 Waze</v>
      </c>
      <c r="I3" s="7" t="str">
        <f t="shared" ref="I3:I2000" si="4">IF(F3&lt;&gt;"",HYPERLINK("https://m.uber.com/ul/?action=setPickup&amp;pickup=my_location&amp;dropoff[latitude]="&amp;LEFT(SUBSTITUTE(F3," ",""),FIND(",",SUBSTITUTE(F3," ",""))-1)&amp;"&amp;dropoff[longitude]="&amp;MID(SUBSTITUTE(F3," ",""),FIND(",",SUBSTITUTE(F3," ",""))+1,99),"🚕 Uber"),"")</f>
        <v>🚕 Uber</v>
      </c>
      <c r="J3" s="7" t="str">
        <f t="shared" ref="J3:J2000" si="5">IF(F3&lt;&gt;"","https://api.qrserver.com/v1/create-qr-code/?size=200x200&amp;data="&amp;ENCODEURL("https://www.google.com/maps/search/?api=1&amp;query="&amp;SUBSTITUTE(F3," ","")),"")</f>
        <v>https://api.qrserver.com/v1/create-qr-code/?size=200x200&amp;data=https%3A%2F%2Fwww.google.com%2Fmaps%2Fsearch%2F%3Fapi%3D1%26query%3D9.006347151909075%2C-79.50405578653195</v>
      </c>
      <c r="K3" s="7" t="str">
        <f>IFERROR(__xludf.DUMMYFUNCTION("IF(C3&lt;&gt;"""",HYPERLINK(""https://wa.me/507""&amp;REGEXREPLACE(C3,""[^0-9]"","""")&amp;""?text=""&amp;ENCODEURL(""Ya llegue. Codigo: ""&amp;A3&amp;"". Ubicacion: ""&amp;""https://www.google.com/maps/search/?api=1&amp;query=""&amp;SUBSTITUTE(F3,"" "","""")),""📲 Avisar al cliente""),"""")"),"📲 Avisar al cliente")</f>
        <v>📲 Avisar al cliente</v>
      </c>
      <c r="L3" s="7" t="str">
        <f>IFERROR(__xludf.DUMMYFUNCTION("IF(C3&lt;&gt;"""",""https://api.qrserver.com/v1/create-qr-code/?size=200x200&amp;data=""&amp;ENCODEURL(""https://wa.me/507""&amp;REGEXREPLACE(C3,""[^0-9]"","""")&amp;""?text=""&amp;ENCODEURL(""Ya llegue. Codigo: ""&amp;A3&amp;"". Ubicacion: ""&amp;""https://www.google.com/maps/search/?api=1&amp;q"&amp;"uery=""&amp;SUBSTITUTE(F3,"" "",""""))),"""")"),"https://api.qrserver.com/v1/create-qr-code/?size=200x200&amp;data=https%3A%2F%2Fwa.me%2F50763564932%3Ftext%3DYa%2520llegue.%2520Codigo%253A%2520AD507-0001.%2520Ubicacion%253A%2520https%253A%252F%252Fwww.google.com%252Fmaps%252Fsearch%252F%253Fapi%253D1%2526qu"&amp;"ery%253D9.006347151909075%252C-79.50405578653195")</f>
        <v>https://api.qrserver.com/v1/create-qr-code/?size=200x200&amp;data=https%3A%2F%2Fwa.me%2F50763564932%3Ftext%3DYa%2520llegue.%2520Codigo%253A%2520AD507-0001.%2520Ubicacion%253A%2520https%253A%252F%252Fwww.google.com%252Fmaps%252Fsearch%252F%253Fapi%253D1%2526query%253D9.006347151909075%252C-79.50405578653195</v>
      </c>
      <c r="M3" s="5" t="str">
        <f t="shared" ref="M3:M2000" si="6">IF(B3&lt;&gt;"",TODAY(),"")</f>
        <v/>
      </c>
      <c r="N3" s="5" t="str">
        <f>=IF(F3&lt;&gt;"",
   IFERROR(
      IF(AND(
         REGEXMATCH(SUBSTITUTE(TRIM(F3), " ", ""), "^-?\d+(\.\d+)?,-?\d+(\.\d+)?$"),
         VALUE(REGEXEXTRACT(SUBSTITUTE(TRIM(F3), " ", ""), "^-?\d+(\.\d+)?")) &gt;= -90,
         VALUE(REGEXEXTRACT(SUBSTITUTE(TRIM(F3), " ", ""), "^-?\d+(\.\d+)?")) &lt;= 90,
         VALUE(REGEXEXTRACT(SUBSTITUTE(TRIM(F3), " ", ""), "-?\d+(\.\d+)?$")) &gt;= -180,
         VALUE(REGEXEXTRACT(SUBSTITUTE(TRIM(F3), " ", ""), "-?\d+(\.\d+)?$")) &lt;= 180),
      "OK", "REVISAR"),
   "REVISAR"),
"")</f>
        <v>#ERROR!</v>
      </c>
    </row>
    <row r="4">
      <c r="A4" s="5" t="str">
        <f t="shared" si="1"/>
        <v>AD507-0002</v>
      </c>
      <c r="C4" s="5"/>
      <c r="F4" s="6" t="s">
        <v>17</v>
      </c>
      <c r="G4" s="7" t="str">
        <f t="shared" si="2"/>
        <v>🗺 Google Maps</v>
      </c>
      <c r="H4" s="7" t="str">
        <f t="shared" si="3"/>
        <v>🚗 Waze</v>
      </c>
      <c r="I4" s="7" t="str">
        <f t="shared" si="4"/>
        <v>🚕 Uber</v>
      </c>
      <c r="J4" s="7" t="str">
        <f t="shared" si="5"/>
        <v>https://api.qrserver.com/v1/create-qr-code/?size=200x200&amp;data=https%3A%2F%2Fwww.google.com%2Fmaps%2Fsearch%2F%3Fapi%3D1%26query%3D9.006590920799805%2C-79.50404507116416</v>
      </c>
      <c r="K4" s="5" t="str">
        <f>IFERROR(__xludf.DUMMYFUNCTION("IF(C4&lt;&gt;"""",HYPERLINK(""https://wa.me/507""&amp;REGEXREPLACE(C4,""[^0-9]"","""")&amp;""?text=""&amp;ENCODEURL(""Ya llegue. Codigo: ""&amp;A4&amp;"". Ubicacion: ""&amp;""https://www.google.com/maps/search/?api=1&amp;query=""&amp;SUBSTITUTE(F4,"" "","""")),""📲 Avisar al cliente""),"""")"),"")</f>
        <v/>
      </c>
      <c r="L4" s="5" t="str">
        <f>IFERROR(__xludf.DUMMYFUNCTION("IF(C4&lt;&gt;"""",""https://api.qrserver.com/v1/create-qr-code/?size=200x200&amp;data=""&amp;ENCODEURL(""https://wa.me/507""&amp;REGEXREPLACE(C4,""[^0-9]"","""")&amp;""?text=""&amp;ENCODEURL(""Ya llegue. Codigo: ""&amp;A4&amp;"". Ubicacion: ""&amp;""https://www.google.com/maps/search/?api=1&amp;q"&amp;"uery=""&amp;SUBSTITUTE(F4,"" "",""""))),"""")"),"")</f>
        <v/>
      </c>
      <c r="M4" s="5" t="str">
        <f t="shared" si="6"/>
        <v/>
      </c>
      <c r="N4" s="5" t="str">
        <f>IFERROR(__xludf.DUMMYFUNCTION("IF(AND(F4&lt;&gt;"""",REGEXMATCH(SUBSTITUTE(F4,"" "",""""),""^-?\d+(\.\d+)?,-?\d+(\.\d+)?$""),VALUE(REGEXEXTRACT(SUBSTITUTE(F4,"" "",""""),""^-?\d+(\.\d+)?""))&gt;=-90,VALUE(REGEXEXTRACT(SUBSTITUTE(F4,"" "",""""),""^-?\d+(\.\d+)?""))&lt;=90,VALUE(REGEXEXTRACT(SUBSTIT"&amp;"UTE(F4,"" "",""""),""-?\d+(\.\d+)?$""))&gt;=-180,VALUE(REGEXEXTRACT(SUBSTITUTE(F4,"" "",""""),""-?\d+(\.\d+)?$""))&lt;=180),""OK"",""REVISAR"")"),"REVISAR")</f>
        <v>REVISAR</v>
      </c>
    </row>
    <row r="5">
      <c r="A5" s="5" t="str">
        <f t="shared" si="1"/>
        <v>AD507-0003</v>
      </c>
      <c r="C5" s="5"/>
      <c r="F5" s="6" t="s">
        <v>18</v>
      </c>
      <c r="G5" s="7" t="str">
        <f t="shared" si="2"/>
        <v>🗺 Google Maps</v>
      </c>
      <c r="H5" s="7" t="str">
        <f t="shared" si="3"/>
        <v>🚗 Waze</v>
      </c>
      <c r="I5" s="7" t="str">
        <f t="shared" si="4"/>
        <v>🚕 Uber</v>
      </c>
      <c r="J5" s="7" t="str">
        <f t="shared" si="5"/>
        <v>https://api.qrserver.com/v1/create-qr-code/?size=200x200&amp;data=https%3A%2F%2Fwww.google.com%2Fmaps%2Fsearch%2F%3Fapi%3D1%26query%3D9.00420326285912%2C-79.50704319902117</v>
      </c>
      <c r="K5" s="5" t="str">
        <f>IFERROR(__xludf.DUMMYFUNCTION("IF(C5&lt;&gt;"""",HYPERLINK(""https://wa.me/507""&amp;REGEXREPLACE(C5,""[^0-9]"","""")&amp;""?text=""&amp;ENCODEURL(""Ya llegue. Codigo: ""&amp;A5&amp;"". Ubicacion: ""&amp;""https://www.google.com/maps/search/?api=1&amp;query=""&amp;SUBSTITUTE(F5,"" "","""")),""📲 Avisar al cliente""),"""")"),"")</f>
        <v/>
      </c>
      <c r="L5" s="5" t="str">
        <f>IFERROR(__xludf.DUMMYFUNCTION("IF(C5&lt;&gt;"""",""https://api.qrserver.com/v1/create-qr-code/?size=200x200&amp;data=""&amp;ENCODEURL(""https://wa.me/507""&amp;REGEXREPLACE(C5,""[^0-9]"","""")&amp;""?text=""&amp;ENCODEURL(""Ya llegue. Codigo: ""&amp;A5&amp;"". Ubicacion: ""&amp;""https://www.google.com/maps/search/?api=1&amp;q"&amp;"uery=""&amp;SUBSTITUTE(F5,"" "",""""))),"""")"),"")</f>
        <v/>
      </c>
      <c r="M5" s="5" t="str">
        <f t="shared" si="6"/>
        <v/>
      </c>
      <c r="N5" s="5" t="str">
        <f>IFERROR(__xludf.DUMMYFUNCTION("IF(AND(F5&lt;&gt;"""",REGEXMATCH(SUBSTITUTE(F5,"" "",""""),""^-?\d+(\.\d+)?,-?\d+(\.\d+)?$""),VALUE(REGEXEXTRACT(SUBSTITUTE(F5,"" "",""""),""^-?\d+(\.\d+)?""))&gt;=-90,VALUE(REGEXEXTRACT(SUBSTITUTE(F5,"" "",""""),""^-?\d+(\.\d+)?""))&lt;=90,VALUE(REGEXEXTRACT(SUBSTIT"&amp;"UTE(F5,"" "",""""),""-?\d+(\.\d+)?$""))&gt;=-180,VALUE(REGEXEXTRACT(SUBSTITUTE(F5,"" "",""""),""-?\d+(\.\d+)?$""))&lt;=180),""OK"",""REVISAR"")"),"REVISAR")</f>
        <v>REVISAR</v>
      </c>
    </row>
    <row r="6">
      <c r="A6" s="5" t="str">
        <f t="shared" si="1"/>
        <v>AD507-0004</v>
      </c>
      <c r="C6" s="5"/>
      <c r="F6" s="6" t="s">
        <v>19</v>
      </c>
      <c r="G6" s="7" t="str">
        <f t="shared" si="2"/>
        <v>🗺 Google Maps</v>
      </c>
      <c r="H6" s="7" t="str">
        <f t="shared" si="3"/>
        <v>🚗 Waze</v>
      </c>
      <c r="I6" s="7" t="str">
        <f t="shared" si="4"/>
        <v>🚕 Uber</v>
      </c>
      <c r="J6" s="7" t="str">
        <f t="shared" si="5"/>
        <v>https://api.qrserver.com/v1/create-qr-code/?size=200x200&amp;data=https%3A%2F%2Fwww.google.com%2Fmaps%2Fsearch%2F%3Fapi%3D1%26query%3D9.062448198624551%2C-79.4026838109867</v>
      </c>
      <c r="K6" s="5" t="str">
        <f>IFERROR(__xludf.DUMMYFUNCTION("IF(C6&lt;&gt;"""",HYPERLINK(""https://wa.me/507""&amp;REGEXREPLACE(C6,""[^0-9]"","""")&amp;""?text=""&amp;ENCODEURL(""Ya llegue. Codigo: ""&amp;A6&amp;"". Ubicacion: ""&amp;""https://www.google.com/maps/search/?api=1&amp;query=""&amp;SUBSTITUTE(F6,"" "","""")),""📲 Avisar al cliente""),"""")"),"")</f>
        <v/>
      </c>
      <c r="L6" s="5" t="str">
        <f>IFERROR(__xludf.DUMMYFUNCTION("IF(C6&lt;&gt;"""",""https://api.qrserver.com/v1/create-qr-code/?size=200x200&amp;data=""&amp;ENCODEURL(""https://wa.me/507""&amp;REGEXREPLACE(C6,""[^0-9]"","""")&amp;""?text=""&amp;ENCODEURL(""Ya llegue. Codigo: ""&amp;A6&amp;"". Ubicacion: ""&amp;""https://www.google.com/maps/search/?api=1&amp;q"&amp;"uery=""&amp;SUBSTITUTE(F6,"" "",""""))),"""")"),"")</f>
        <v/>
      </c>
      <c r="M6" s="5" t="str">
        <f t="shared" si="6"/>
        <v/>
      </c>
      <c r="N6" s="5" t="str">
        <f>IFERROR(__xludf.DUMMYFUNCTION("IF(AND(F6&lt;&gt;"""",REGEXMATCH(SUBSTITUTE(F6,"" "",""""),""^-?\d+(\.\d+)?,-?\d+(\.\d+)?$""),VALUE(REGEXEXTRACT(SUBSTITUTE(F6,"" "",""""),""^-?\d+(\.\d+)?""))&gt;=-90,VALUE(REGEXEXTRACT(SUBSTITUTE(F6,"" "",""""),""^-?\d+(\.\d+)?""))&lt;=90,VALUE(REGEXEXTRACT(SUBSTIT"&amp;"UTE(F6,"" "",""""),""-?\d+(\.\d+)?$""))&gt;=-180,VALUE(REGEXEXTRACT(SUBSTITUTE(F6,"" "",""""),""-?\d+(\.\d+)?$""))&lt;=180),""OK"",""REVISAR"")"),"REVISAR")</f>
        <v>REVISAR</v>
      </c>
    </row>
    <row r="7">
      <c r="A7" s="5" t="str">
        <f t="shared" si="1"/>
        <v>AD507-0005</v>
      </c>
      <c r="C7" s="5"/>
      <c r="F7" s="5"/>
      <c r="G7" s="5" t="str">
        <f t="shared" si="2"/>
        <v/>
      </c>
      <c r="H7" s="5" t="str">
        <f t="shared" si="3"/>
        <v/>
      </c>
      <c r="I7" s="5" t="str">
        <f t="shared" si="4"/>
        <v/>
      </c>
      <c r="J7" s="5" t="str">
        <f t="shared" si="5"/>
        <v/>
      </c>
      <c r="K7" s="5" t="str">
        <f>IFERROR(__xludf.DUMMYFUNCTION("IF(C7&lt;&gt;"""",HYPERLINK(""https://wa.me/507""&amp;REGEXREPLACE(C7,""[^0-9]"","""")&amp;""?text=""&amp;ENCODEURL(""Ya llegue. Codigo: ""&amp;A7&amp;"". Ubicacion: ""&amp;""https://www.google.com/maps/search/?api=1&amp;query=""&amp;SUBSTITUTE(F7,"" "","""")),""📲 Avisar al cliente""),"""")"),"")</f>
        <v/>
      </c>
      <c r="L7" s="5" t="str">
        <f>IFERROR(__xludf.DUMMYFUNCTION("IF(C7&lt;&gt;"""",""https://api.qrserver.com/v1/create-qr-code/?size=200x200&amp;data=""&amp;ENCODEURL(""https://wa.me/507""&amp;REGEXREPLACE(C7,""[^0-9]"","""")&amp;""?text=""&amp;ENCODEURL(""Ya llegue. Codigo: ""&amp;A7&amp;"". Ubicacion: ""&amp;""https://www.google.com/maps/search/?api=1&amp;q"&amp;"uery=""&amp;SUBSTITUTE(F7,"" "",""""))),"""")"),"")</f>
        <v/>
      </c>
      <c r="M7" s="5" t="str">
        <f t="shared" si="6"/>
        <v/>
      </c>
      <c r="N7" s="5" t="str">
        <f>IFERROR(__xludf.DUMMYFUNCTION("IF(AND(F7&lt;&gt;"""",REGEXMATCH(SUBSTITUTE(F7,"" "",""""),""^-?\d+(\.\d+)?,-?\d+(\.\d+)?$""),VALUE(REGEXEXTRACT(SUBSTITUTE(F7,"" "",""""),""^-?\d+(\.\d+)?""))&gt;=-90,VALUE(REGEXEXTRACT(SUBSTITUTE(F7,"" "",""""),""^-?\d+(\.\d+)?""))&lt;=90,VALUE(REGEXEXTRACT(SUBSTIT"&amp;"UTE(F7,"" "",""""),""-?\d+(\.\d+)?$""))&gt;=-180,VALUE(REGEXEXTRACT(SUBSTITUTE(F7,"" "",""""),""-?\d+(\.\d+)?$""))&lt;=180),""OK"",""REVISAR"")"),"#N/A")</f>
        <v>#N/A</v>
      </c>
    </row>
    <row r="8">
      <c r="A8" s="5" t="str">
        <f t="shared" si="1"/>
        <v>AD507-0006</v>
      </c>
      <c r="C8" s="5"/>
      <c r="F8" s="5"/>
      <c r="G8" s="5" t="str">
        <f t="shared" si="2"/>
        <v/>
      </c>
      <c r="H8" s="5" t="str">
        <f t="shared" si="3"/>
        <v/>
      </c>
      <c r="I8" s="5" t="str">
        <f t="shared" si="4"/>
        <v/>
      </c>
      <c r="J8" s="5" t="str">
        <f t="shared" si="5"/>
        <v/>
      </c>
      <c r="K8" s="5" t="str">
        <f>IFERROR(__xludf.DUMMYFUNCTION("IF(C8&lt;&gt;"""",HYPERLINK(""https://wa.me/507""&amp;REGEXREPLACE(C8,""[^0-9]"","""")&amp;""?text=""&amp;ENCODEURL(""Ya llegue. Codigo: ""&amp;A8&amp;"". Ubicacion: ""&amp;""https://www.google.com/maps/search/?api=1&amp;query=""&amp;SUBSTITUTE(F8,"" "","""")),""📲 Avisar al cliente""),"""")"),"")</f>
        <v/>
      </c>
      <c r="L8" s="5" t="str">
        <f>IFERROR(__xludf.DUMMYFUNCTION("IF(C8&lt;&gt;"""",""https://api.qrserver.com/v1/create-qr-code/?size=200x200&amp;data=""&amp;ENCODEURL(""https://wa.me/507""&amp;REGEXREPLACE(C8,""[^0-9]"","""")&amp;""?text=""&amp;ENCODEURL(""Ya llegue. Codigo: ""&amp;A8&amp;"". Ubicacion: ""&amp;""https://www.google.com/maps/search/?api=1&amp;q"&amp;"uery=""&amp;SUBSTITUTE(F8,"" "",""""))),"""")"),"")</f>
        <v/>
      </c>
      <c r="M8" s="5" t="str">
        <f t="shared" si="6"/>
        <v/>
      </c>
      <c r="N8" s="5" t="str">
        <f>IFERROR(__xludf.DUMMYFUNCTION("IF(AND(F8&lt;&gt;"""",REGEXMATCH(SUBSTITUTE(F8,"" "",""""),""^-?\d+(\.\d+)?,-?\d+(\.\d+)?$""),VALUE(REGEXEXTRACT(SUBSTITUTE(F8,"" "",""""),""^-?\d+(\.\d+)?""))&gt;=-90,VALUE(REGEXEXTRACT(SUBSTITUTE(F8,"" "",""""),""^-?\d+(\.\d+)?""))&lt;=90,VALUE(REGEXEXTRACT(SUBSTIT"&amp;"UTE(F8,"" "",""""),""-?\d+(\.\d+)?$""))&gt;=-180,VALUE(REGEXEXTRACT(SUBSTITUTE(F8,"" "",""""),""-?\d+(\.\d+)?$""))&lt;=180),""OK"",""REVISAR"")"),"#N/A")</f>
        <v>#N/A</v>
      </c>
    </row>
    <row r="9">
      <c r="A9" s="5" t="str">
        <f t="shared" si="1"/>
        <v>AD507-0007</v>
      </c>
      <c r="C9" s="5"/>
      <c r="F9" s="5"/>
      <c r="G9" s="5" t="str">
        <f t="shared" si="2"/>
        <v/>
      </c>
      <c r="H9" s="5" t="str">
        <f t="shared" si="3"/>
        <v/>
      </c>
      <c r="I9" s="5" t="str">
        <f t="shared" si="4"/>
        <v/>
      </c>
      <c r="J9" s="5" t="str">
        <f t="shared" si="5"/>
        <v/>
      </c>
      <c r="K9" s="5" t="str">
        <f>IFERROR(__xludf.DUMMYFUNCTION("IF(C9&lt;&gt;"""",HYPERLINK(""https://wa.me/507""&amp;REGEXREPLACE(C9,""[^0-9]"","""")&amp;""?text=""&amp;ENCODEURL(""Ya llegue. Codigo: ""&amp;A9&amp;"". Ubicacion: ""&amp;""https://www.google.com/maps/search/?api=1&amp;query=""&amp;SUBSTITUTE(F9,"" "","""")),""📲 Avisar al cliente""),"""")"),"")</f>
        <v/>
      </c>
      <c r="L9" s="5" t="str">
        <f>IFERROR(__xludf.DUMMYFUNCTION("IF(C9&lt;&gt;"""",""https://api.qrserver.com/v1/create-qr-code/?size=200x200&amp;data=""&amp;ENCODEURL(""https://wa.me/507""&amp;REGEXREPLACE(C9,""[^0-9]"","""")&amp;""?text=""&amp;ENCODEURL(""Ya llegue. Codigo: ""&amp;A9&amp;"". Ubicacion: ""&amp;""https://www.google.com/maps/search/?api=1&amp;q"&amp;"uery=""&amp;SUBSTITUTE(F9,"" "",""""))),"""")"),"")</f>
        <v/>
      </c>
      <c r="M9" s="5" t="str">
        <f t="shared" si="6"/>
        <v/>
      </c>
      <c r="N9" s="5" t="str">
        <f>IFERROR(__xludf.DUMMYFUNCTION("IF(AND(F9&lt;&gt;"""",REGEXMATCH(SUBSTITUTE(F9,"" "",""""),""^-?\d+(\.\d+)?,-?\d+(\.\d+)?$""),VALUE(REGEXEXTRACT(SUBSTITUTE(F9,"" "",""""),""^-?\d+(\.\d+)?""))&gt;=-90,VALUE(REGEXEXTRACT(SUBSTITUTE(F9,"" "",""""),""^-?\d+(\.\d+)?""))&lt;=90,VALUE(REGEXEXTRACT(SUBSTIT"&amp;"UTE(F9,"" "",""""),""-?\d+(\.\d+)?$""))&gt;=-180,VALUE(REGEXEXTRACT(SUBSTITUTE(F9,"" "",""""),""-?\d+(\.\d+)?$""))&lt;=180),""OK"",""REVISAR"")"),"#N/A")</f>
        <v>#N/A</v>
      </c>
    </row>
    <row r="10">
      <c r="A10" s="5" t="str">
        <f t="shared" si="1"/>
        <v>AD507-0008</v>
      </c>
      <c r="C10" s="5"/>
      <c r="F10" s="5"/>
      <c r="G10" s="5" t="str">
        <f t="shared" si="2"/>
        <v/>
      </c>
      <c r="H10" s="5" t="str">
        <f t="shared" si="3"/>
        <v/>
      </c>
      <c r="I10" s="5" t="str">
        <f t="shared" si="4"/>
        <v/>
      </c>
      <c r="J10" s="5" t="str">
        <f t="shared" si="5"/>
        <v/>
      </c>
      <c r="K10" s="5" t="str">
        <f>IFERROR(__xludf.DUMMYFUNCTION("IF(C10&lt;&gt;"""",HYPERLINK(""https://wa.me/507""&amp;REGEXREPLACE(C10,""[^0-9]"","""")&amp;""?text=""&amp;ENCODEURL(""Ya llegue. Codigo: ""&amp;A10&amp;"". Ubicacion: ""&amp;""https://www.google.com/maps/search/?api=1&amp;query=""&amp;SUBSTITUTE(F10,"" "","""")),""📲 Avisar al cliente""),"""&amp;""")"),"")</f>
        <v/>
      </c>
      <c r="L10" s="5" t="str">
        <f>IFERROR(__xludf.DUMMYFUNCTION("IF(C10&lt;&gt;"""",""https://api.qrserver.com/v1/create-qr-code/?size=200x200&amp;data=""&amp;ENCODEURL(""https://wa.me/507""&amp;REGEXREPLACE(C10,""[^0-9]"","""")&amp;""?text=""&amp;ENCODEURL(""Ya llegue. Codigo: ""&amp;A10&amp;"". Ubicacion: ""&amp;""https://www.google.com/maps/search/?api="&amp;"1&amp;query=""&amp;SUBSTITUTE(F10,"" "",""""))),"""")"),"")</f>
        <v/>
      </c>
      <c r="M10" s="5" t="str">
        <f t="shared" si="6"/>
        <v/>
      </c>
      <c r="N10" s="5" t="str">
        <f>IFERROR(__xludf.DUMMYFUNCTION("IF(AND(F10&lt;&gt;"""",REGEXMATCH(SUBSTITUTE(F10,"" "",""""),""^-?\d+(\.\d+)?,-?\d+(\.\d+)?$""),VALUE(REGEXEXTRACT(SUBSTITUTE(F10,"" "",""""),""^-?\d+(\.\d+)?""))&gt;=-90,VALUE(REGEXEXTRACT(SUBSTITUTE(F10,"" "",""""),""^-?\d+(\.\d+)?""))&lt;=90,VALUE(REGEXEXTRACT(SUB"&amp;"STITUTE(F10,"" "",""""),""-?\d+(\.\d+)?$""))&gt;=-180,VALUE(REGEXEXTRACT(SUBSTITUTE(F10,"" "",""""),""-?\d+(\.\d+)?$""))&lt;=180),""OK"",""REVISAR"")"),"#N/A")</f>
        <v>#N/A</v>
      </c>
    </row>
    <row r="11">
      <c r="A11" s="5" t="str">
        <f t="shared" si="1"/>
        <v>AD507-0009</v>
      </c>
      <c r="C11" s="5"/>
      <c r="F11" s="5"/>
      <c r="G11" s="5" t="str">
        <f t="shared" si="2"/>
        <v/>
      </c>
      <c r="H11" s="5" t="str">
        <f t="shared" si="3"/>
        <v/>
      </c>
      <c r="I11" s="5" t="str">
        <f t="shared" si="4"/>
        <v/>
      </c>
      <c r="J11" s="5" t="str">
        <f t="shared" si="5"/>
        <v/>
      </c>
      <c r="K11" s="5" t="str">
        <f>IFERROR(__xludf.DUMMYFUNCTION("IF(C11&lt;&gt;"""",HYPERLINK(""https://wa.me/507""&amp;REGEXREPLACE(C11,""[^0-9]"","""")&amp;""?text=""&amp;ENCODEURL(""Ya llegue. Codigo: ""&amp;A11&amp;"". Ubicacion: ""&amp;""https://www.google.com/maps/search/?api=1&amp;query=""&amp;SUBSTITUTE(F11,"" "","""")),""📲 Avisar al cliente""),"""&amp;""")"),"")</f>
        <v/>
      </c>
      <c r="L11" s="5" t="str">
        <f>IFERROR(__xludf.DUMMYFUNCTION("IF(C11&lt;&gt;"""",""https://api.qrserver.com/v1/create-qr-code/?size=200x200&amp;data=""&amp;ENCODEURL(""https://wa.me/507""&amp;REGEXREPLACE(C11,""[^0-9]"","""")&amp;""?text=""&amp;ENCODEURL(""Ya llegue. Codigo: ""&amp;A11&amp;"". Ubicacion: ""&amp;""https://www.google.com/maps/search/?api="&amp;"1&amp;query=""&amp;SUBSTITUTE(F11,"" "",""""))),"""")"),"")</f>
        <v/>
      </c>
      <c r="M11" s="5" t="str">
        <f t="shared" si="6"/>
        <v/>
      </c>
      <c r="N11" s="5" t="str">
        <f>IFERROR(__xludf.DUMMYFUNCTION("IF(AND(F11&lt;&gt;"""",REGEXMATCH(SUBSTITUTE(F11,"" "",""""),""^-?\d+(\.\d+)?,-?\d+(\.\d+)?$""),VALUE(REGEXEXTRACT(SUBSTITUTE(F11,"" "",""""),""^-?\d+(\.\d+)?""))&gt;=-90,VALUE(REGEXEXTRACT(SUBSTITUTE(F11,"" "",""""),""^-?\d+(\.\d+)?""))&lt;=90,VALUE(REGEXEXTRACT(SUB"&amp;"STITUTE(F11,"" "",""""),""-?\d+(\.\d+)?$""))&gt;=-180,VALUE(REGEXEXTRACT(SUBSTITUTE(F11,"" "",""""),""-?\d+(\.\d+)?$""))&lt;=180),""OK"",""REVISAR"")"),"#N/A")</f>
        <v>#N/A</v>
      </c>
    </row>
    <row r="12">
      <c r="A12" s="5" t="str">
        <f t="shared" si="1"/>
        <v>AD507-0010</v>
      </c>
      <c r="C12" s="5"/>
      <c r="F12" s="5"/>
      <c r="G12" s="5" t="str">
        <f t="shared" si="2"/>
        <v/>
      </c>
      <c r="H12" s="5" t="str">
        <f t="shared" si="3"/>
        <v/>
      </c>
      <c r="I12" s="5" t="str">
        <f t="shared" si="4"/>
        <v/>
      </c>
      <c r="J12" s="5" t="str">
        <f t="shared" si="5"/>
        <v/>
      </c>
      <c r="K12" s="5" t="str">
        <f>IFERROR(__xludf.DUMMYFUNCTION("IF(C12&lt;&gt;"""",HYPERLINK(""https://wa.me/507""&amp;REGEXREPLACE(C12,""[^0-9]"","""")&amp;""?text=""&amp;ENCODEURL(""Ya llegue. Codigo: ""&amp;A12&amp;"". Ubicacion: ""&amp;""https://www.google.com/maps/search/?api=1&amp;query=""&amp;SUBSTITUTE(F12,"" "","""")),""📲 Avisar al cliente""),"""&amp;""")"),"")</f>
        <v/>
      </c>
      <c r="L12" s="5" t="str">
        <f>IFERROR(__xludf.DUMMYFUNCTION("IF(C12&lt;&gt;"""",""https://api.qrserver.com/v1/create-qr-code/?size=200x200&amp;data=""&amp;ENCODEURL(""https://wa.me/507""&amp;REGEXREPLACE(C12,""[^0-9]"","""")&amp;""?text=""&amp;ENCODEURL(""Ya llegue. Codigo: ""&amp;A12&amp;"". Ubicacion: ""&amp;""https://www.google.com/maps/search/?api="&amp;"1&amp;query=""&amp;SUBSTITUTE(F12,"" "",""""))),"""")"),"")</f>
        <v/>
      </c>
      <c r="M12" s="5" t="str">
        <f t="shared" si="6"/>
        <v/>
      </c>
      <c r="N12" s="5" t="str">
        <f>IFERROR(__xludf.DUMMYFUNCTION("IF(AND(F12&lt;&gt;"""",REGEXMATCH(SUBSTITUTE(F12,"" "",""""),""^-?\d+(\.\d+)?,-?\d+(\.\d+)?$""),VALUE(REGEXEXTRACT(SUBSTITUTE(F12,"" "",""""),""^-?\d+(\.\d+)?""))&gt;=-90,VALUE(REGEXEXTRACT(SUBSTITUTE(F12,"" "",""""),""^-?\d+(\.\d+)?""))&lt;=90,VALUE(REGEXEXTRACT(SUB"&amp;"STITUTE(F12,"" "",""""),""-?\d+(\.\d+)?$""))&gt;=-180,VALUE(REGEXEXTRACT(SUBSTITUTE(F12,"" "",""""),""-?\d+(\.\d+)?$""))&lt;=180),""OK"",""REVISAR"")"),"#N/A")</f>
        <v>#N/A</v>
      </c>
    </row>
    <row r="13">
      <c r="A13" s="5" t="str">
        <f t="shared" si="1"/>
        <v>AD507-0011</v>
      </c>
      <c r="C13" s="5"/>
      <c r="F13" s="5"/>
      <c r="G13" s="5" t="str">
        <f t="shared" si="2"/>
        <v/>
      </c>
      <c r="H13" s="5" t="str">
        <f t="shared" si="3"/>
        <v/>
      </c>
      <c r="I13" s="5" t="str">
        <f t="shared" si="4"/>
        <v/>
      </c>
      <c r="J13" s="5" t="str">
        <f t="shared" si="5"/>
        <v/>
      </c>
      <c r="K13" s="5" t="str">
        <f>IFERROR(__xludf.DUMMYFUNCTION("IF(C13&lt;&gt;"""",HYPERLINK(""https://wa.me/507""&amp;REGEXREPLACE(C13,""[^0-9]"","""")&amp;""?text=""&amp;ENCODEURL(""Ya llegue. Codigo: ""&amp;A13&amp;"". Ubicacion: ""&amp;""https://www.google.com/maps/search/?api=1&amp;query=""&amp;SUBSTITUTE(F13,"" "","""")),""📲 Avisar al cliente""),"""&amp;""")"),"")</f>
        <v/>
      </c>
      <c r="L13" s="5" t="str">
        <f>IFERROR(__xludf.DUMMYFUNCTION("IF(C13&lt;&gt;"""",""https://api.qrserver.com/v1/create-qr-code/?size=200x200&amp;data=""&amp;ENCODEURL(""https://wa.me/507""&amp;REGEXREPLACE(C13,""[^0-9]"","""")&amp;""?text=""&amp;ENCODEURL(""Ya llegue. Codigo: ""&amp;A13&amp;"". Ubicacion: ""&amp;""https://www.google.com/maps/search/?api="&amp;"1&amp;query=""&amp;SUBSTITUTE(F13,"" "",""""))),"""")"),"")</f>
        <v/>
      </c>
      <c r="M13" s="5" t="str">
        <f t="shared" si="6"/>
        <v/>
      </c>
      <c r="N13" s="5" t="str">
        <f>IFERROR(__xludf.DUMMYFUNCTION("IF(AND(F13&lt;&gt;"""",REGEXMATCH(SUBSTITUTE(F13,"" "",""""),""^-?\d+(\.\d+)?,-?\d+(\.\d+)?$""),VALUE(REGEXEXTRACT(SUBSTITUTE(F13,"" "",""""),""^-?\d+(\.\d+)?""))&gt;=-90,VALUE(REGEXEXTRACT(SUBSTITUTE(F13,"" "",""""),""^-?\d+(\.\d+)?""))&lt;=90,VALUE(REGEXEXTRACT(SUB"&amp;"STITUTE(F13,"" "",""""),""-?\d+(\.\d+)?$""))&gt;=-180,VALUE(REGEXEXTRACT(SUBSTITUTE(F13,"" "",""""),""-?\d+(\.\d+)?$""))&lt;=180),""OK"",""REVISAR"")"),"#N/A")</f>
        <v>#N/A</v>
      </c>
    </row>
    <row r="14">
      <c r="A14" s="5" t="str">
        <f t="shared" si="1"/>
        <v>AD507-0012</v>
      </c>
      <c r="C14" s="5"/>
      <c r="F14" s="5"/>
      <c r="G14" s="5" t="str">
        <f t="shared" si="2"/>
        <v/>
      </c>
      <c r="H14" s="5" t="str">
        <f t="shared" si="3"/>
        <v/>
      </c>
      <c r="I14" s="5" t="str">
        <f t="shared" si="4"/>
        <v/>
      </c>
      <c r="J14" s="5" t="str">
        <f t="shared" si="5"/>
        <v/>
      </c>
      <c r="K14" s="5" t="str">
        <f>IFERROR(__xludf.DUMMYFUNCTION("IF(C14&lt;&gt;"""",HYPERLINK(""https://wa.me/507""&amp;REGEXREPLACE(C14,""[^0-9]"","""")&amp;""?text=""&amp;ENCODEURL(""Ya llegue. Codigo: ""&amp;A14&amp;"". Ubicacion: ""&amp;""https://www.google.com/maps/search/?api=1&amp;query=""&amp;SUBSTITUTE(F14,"" "","""")),""📲 Avisar al cliente""),"""&amp;""")"),"")</f>
        <v/>
      </c>
      <c r="L14" s="5" t="str">
        <f>IFERROR(__xludf.DUMMYFUNCTION("IF(C14&lt;&gt;"""",""https://api.qrserver.com/v1/create-qr-code/?size=200x200&amp;data=""&amp;ENCODEURL(""https://wa.me/507""&amp;REGEXREPLACE(C14,""[^0-9]"","""")&amp;""?text=""&amp;ENCODEURL(""Ya llegue. Codigo: ""&amp;A14&amp;"". Ubicacion: ""&amp;""https://www.google.com/maps/search/?api="&amp;"1&amp;query=""&amp;SUBSTITUTE(F14,"" "",""""))),"""")"),"")</f>
        <v/>
      </c>
      <c r="M14" s="5" t="str">
        <f t="shared" si="6"/>
        <v/>
      </c>
      <c r="N14" s="5" t="str">
        <f>IFERROR(__xludf.DUMMYFUNCTION("IF(AND(F14&lt;&gt;"""",REGEXMATCH(SUBSTITUTE(F14,"" "",""""),""^-?\d+(\.\d+)?,-?\d+(\.\d+)?$""),VALUE(REGEXEXTRACT(SUBSTITUTE(F14,"" "",""""),""^-?\d+(\.\d+)?""))&gt;=-90,VALUE(REGEXEXTRACT(SUBSTITUTE(F14,"" "",""""),""^-?\d+(\.\d+)?""))&lt;=90,VALUE(REGEXEXTRACT(SUB"&amp;"STITUTE(F14,"" "",""""),""-?\d+(\.\d+)?$""))&gt;=-180,VALUE(REGEXEXTRACT(SUBSTITUTE(F14,"" "",""""),""-?\d+(\.\d+)?$""))&lt;=180),""OK"",""REVISAR"")"),"#N/A")</f>
        <v>#N/A</v>
      </c>
    </row>
    <row r="15">
      <c r="A15" s="5" t="str">
        <f t="shared" si="1"/>
        <v>AD507-0013</v>
      </c>
      <c r="C15" s="5"/>
      <c r="F15" s="5"/>
      <c r="G15" s="5" t="str">
        <f t="shared" si="2"/>
        <v/>
      </c>
      <c r="H15" s="5" t="str">
        <f t="shared" si="3"/>
        <v/>
      </c>
      <c r="I15" s="5" t="str">
        <f t="shared" si="4"/>
        <v/>
      </c>
      <c r="J15" s="5" t="str">
        <f t="shared" si="5"/>
        <v/>
      </c>
      <c r="K15" s="5" t="str">
        <f>IFERROR(__xludf.DUMMYFUNCTION("IF(C15&lt;&gt;"""",HYPERLINK(""https://wa.me/507""&amp;REGEXREPLACE(C15,""[^0-9]"","""")&amp;""?text=""&amp;ENCODEURL(""Ya llegue. Codigo: ""&amp;A15&amp;"". Ubicacion: ""&amp;""https://www.google.com/maps/search/?api=1&amp;query=""&amp;SUBSTITUTE(F15,"" "","""")),""📲 Avisar al cliente""),"""&amp;""")"),"")</f>
        <v/>
      </c>
      <c r="L15" s="5" t="str">
        <f>IFERROR(__xludf.DUMMYFUNCTION("IF(C15&lt;&gt;"""",""https://api.qrserver.com/v1/create-qr-code/?size=200x200&amp;data=""&amp;ENCODEURL(""https://wa.me/507""&amp;REGEXREPLACE(C15,""[^0-9]"","""")&amp;""?text=""&amp;ENCODEURL(""Ya llegue. Codigo: ""&amp;A15&amp;"". Ubicacion: ""&amp;""https://www.google.com/maps/search/?api="&amp;"1&amp;query=""&amp;SUBSTITUTE(F15,"" "",""""))),"""")"),"")</f>
        <v/>
      </c>
      <c r="M15" s="5" t="str">
        <f t="shared" si="6"/>
        <v/>
      </c>
      <c r="N15" s="5" t="str">
        <f>IFERROR(__xludf.DUMMYFUNCTION("IF(AND(F15&lt;&gt;"""",REGEXMATCH(SUBSTITUTE(F15,"" "",""""),""^-?\d+(\.\d+)?,-?\d+(\.\d+)?$""),VALUE(REGEXEXTRACT(SUBSTITUTE(F15,"" "",""""),""^-?\d+(\.\d+)?""))&gt;=-90,VALUE(REGEXEXTRACT(SUBSTITUTE(F15,"" "",""""),""^-?\d+(\.\d+)?""))&lt;=90,VALUE(REGEXEXTRACT(SUB"&amp;"STITUTE(F15,"" "",""""),""-?\d+(\.\d+)?$""))&gt;=-180,VALUE(REGEXEXTRACT(SUBSTITUTE(F15,"" "",""""),""-?\d+(\.\d+)?$""))&lt;=180),""OK"",""REVISAR"")"),"#N/A")</f>
        <v>#N/A</v>
      </c>
    </row>
    <row r="16">
      <c r="A16" s="5" t="str">
        <f t="shared" si="1"/>
        <v>AD507-0014</v>
      </c>
      <c r="C16" s="5"/>
      <c r="F16" s="5"/>
      <c r="G16" s="5" t="str">
        <f t="shared" si="2"/>
        <v/>
      </c>
      <c r="H16" s="5" t="str">
        <f t="shared" si="3"/>
        <v/>
      </c>
      <c r="I16" s="5" t="str">
        <f t="shared" si="4"/>
        <v/>
      </c>
      <c r="J16" s="5" t="str">
        <f t="shared" si="5"/>
        <v/>
      </c>
      <c r="K16" s="5" t="str">
        <f>IFERROR(__xludf.DUMMYFUNCTION("IF(C16&lt;&gt;"""",HYPERLINK(""https://wa.me/507""&amp;REGEXREPLACE(C16,""[^0-9]"","""")&amp;""?text=""&amp;ENCODEURL(""Ya llegue. Codigo: ""&amp;A16&amp;"". Ubicacion: ""&amp;""https://www.google.com/maps/search/?api=1&amp;query=""&amp;SUBSTITUTE(F16,"" "","""")),""📲 Avisar al cliente""),"""&amp;""")"),"")</f>
        <v/>
      </c>
      <c r="L16" s="5" t="str">
        <f>IFERROR(__xludf.DUMMYFUNCTION("IF(C16&lt;&gt;"""",""https://api.qrserver.com/v1/create-qr-code/?size=200x200&amp;data=""&amp;ENCODEURL(""https://wa.me/507""&amp;REGEXREPLACE(C16,""[^0-9]"","""")&amp;""?text=""&amp;ENCODEURL(""Ya llegue. Codigo: ""&amp;A16&amp;"". Ubicacion: ""&amp;""https://www.google.com/maps/search/?api="&amp;"1&amp;query=""&amp;SUBSTITUTE(F16,"" "",""""))),"""")"),"")</f>
        <v/>
      </c>
      <c r="M16" s="5" t="str">
        <f t="shared" si="6"/>
        <v/>
      </c>
      <c r="N16" s="5" t="str">
        <f>IFERROR(__xludf.DUMMYFUNCTION("IF(AND(F16&lt;&gt;"""",REGEXMATCH(SUBSTITUTE(F16,"" "",""""),""^-?\d+(\.\d+)?,-?\d+(\.\d+)?$""),VALUE(REGEXEXTRACT(SUBSTITUTE(F16,"" "",""""),""^-?\d+(\.\d+)?""))&gt;=-90,VALUE(REGEXEXTRACT(SUBSTITUTE(F16,"" "",""""),""^-?\d+(\.\d+)?""))&lt;=90,VALUE(REGEXEXTRACT(SUB"&amp;"STITUTE(F16,"" "",""""),""-?\d+(\.\d+)?$""))&gt;=-180,VALUE(REGEXEXTRACT(SUBSTITUTE(F16,"" "",""""),""-?\d+(\.\d+)?$""))&lt;=180),""OK"",""REVISAR"")"),"#N/A")</f>
        <v>#N/A</v>
      </c>
    </row>
    <row r="17">
      <c r="A17" s="5" t="str">
        <f t="shared" si="1"/>
        <v>AD507-0015</v>
      </c>
      <c r="C17" s="5"/>
      <c r="F17" s="5"/>
      <c r="G17" s="5" t="str">
        <f t="shared" si="2"/>
        <v/>
      </c>
      <c r="H17" s="5" t="str">
        <f t="shared" si="3"/>
        <v/>
      </c>
      <c r="I17" s="5" t="str">
        <f t="shared" si="4"/>
        <v/>
      </c>
      <c r="J17" s="5" t="str">
        <f t="shared" si="5"/>
        <v/>
      </c>
      <c r="K17" s="5" t="str">
        <f>IFERROR(__xludf.DUMMYFUNCTION("IF(C17&lt;&gt;"""",HYPERLINK(""https://wa.me/507""&amp;REGEXREPLACE(C17,""[^0-9]"","""")&amp;""?text=""&amp;ENCODEURL(""Ya llegue. Codigo: ""&amp;A17&amp;"". Ubicacion: ""&amp;""https://www.google.com/maps/search/?api=1&amp;query=""&amp;SUBSTITUTE(F17,"" "","""")),""📲 Avisar al cliente""),"""&amp;""")"),"")</f>
        <v/>
      </c>
      <c r="L17" s="5" t="str">
        <f>IFERROR(__xludf.DUMMYFUNCTION("IF(C17&lt;&gt;"""",""https://api.qrserver.com/v1/create-qr-code/?size=200x200&amp;data=""&amp;ENCODEURL(""https://wa.me/507""&amp;REGEXREPLACE(C17,""[^0-9]"","""")&amp;""?text=""&amp;ENCODEURL(""Ya llegue. Codigo: ""&amp;A17&amp;"". Ubicacion: ""&amp;""https://www.google.com/maps/search/?api="&amp;"1&amp;query=""&amp;SUBSTITUTE(F17,"" "",""""))),"""")"),"")</f>
        <v/>
      </c>
      <c r="M17" s="5" t="str">
        <f t="shared" si="6"/>
        <v/>
      </c>
      <c r="N17" s="5" t="str">
        <f>IFERROR(__xludf.DUMMYFUNCTION("IF(AND(F17&lt;&gt;"""",REGEXMATCH(SUBSTITUTE(F17,"" "",""""),""^-?\d+(\.\d+)?,-?\d+(\.\d+)?$""),VALUE(REGEXEXTRACT(SUBSTITUTE(F17,"" "",""""),""^-?\d+(\.\d+)?""))&gt;=-90,VALUE(REGEXEXTRACT(SUBSTITUTE(F17,"" "",""""),""^-?\d+(\.\d+)?""))&lt;=90,VALUE(REGEXEXTRACT(SUB"&amp;"STITUTE(F17,"" "",""""),""-?\d+(\.\d+)?$""))&gt;=-180,VALUE(REGEXEXTRACT(SUBSTITUTE(F17,"" "",""""),""-?\d+(\.\d+)?$""))&lt;=180),""OK"",""REVISAR"")"),"#N/A")</f>
        <v>#N/A</v>
      </c>
    </row>
    <row r="18">
      <c r="A18" s="5" t="str">
        <f t="shared" si="1"/>
        <v>AD507-0016</v>
      </c>
      <c r="C18" s="5"/>
      <c r="F18" s="5"/>
      <c r="G18" s="5" t="str">
        <f t="shared" si="2"/>
        <v/>
      </c>
      <c r="H18" s="5" t="str">
        <f t="shared" si="3"/>
        <v/>
      </c>
      <c r="I18" s="5" t="str">
        <f t="shared" si="4"/>
        <v/>
      </c>
      <c r="J18" s="5" t="str">
        <f t="shared" si="5"/>
        <v/>
      </c>
      <c r="K18" s="5" t="str">
        <f>IFERROR(__xludf.DUMMYFUNCTION("IF(C18&lt;&gt;"""",HYPERLINK(""https://wa.me/507""&amp;REGEXREPLACE(C18,""[^0-9]"","""")&amp;""?text=""&amp;ENCODEURL(""Ya llegue. Codigo: ""&amp;A18&amp;"". Ubicacion: ""&amp;""https://www.google.com/maps/search/?api=1&amp;query=""&amp;SUBSTITUTE(F18,"" "","""")),""📲 Avisar al cliente""),"""&amp;""")"),"")</f>
        <v/>
      </c>
      <c r="L18" s="5" t="str">
        <f>IFERROR(__xludf.DUMMYFUNCTION("IF(C18&lt;&gt;"""",""https://api.qrserver.com/v1/create-qr-code/?size=200x200&amp;data=""&amp;ENCODEURL(""https://wa.me/507""&amp;REGEXREPLACE(C18,""[^0-9]"","""")&amp;""?text=""&amp;ENCODEURL(""Ya llegue. Codigo: ""&amp;A18&amp;"". Ubicacion: ""&amp;""https://www.google.com/maps/search/?api="&amp;"1&amp;query=""&amp;SUBSTITUTE(F18,"" "",""""))),"""")"),"")</f>
        <v/>
      </c>
      <c r="M18" s="5" t="str">
        <f t="shared" si="6"/>
        <v/>
      </c>
      <c r="N18" s="5" t="str">
        <f>IFERROR(__xludf.DUMMYFUNCTION("IF(AND(F18&lt;&gt;"""",REGEXMATCH(SUBSTITUTE(F18,"" "",""""),""^-?\d+(\.\d+)?,-?\d+(\.\d+)?$""),VALUE(REGEXEXTRACT(SUBSTITUTE(F18,"" "",""""),""^-?\d+(\.\d+)?""))&gt;=-90,VALUE(REGEXEXTRACT(SUBSTITUTE(F18,"" "",""""),""^-?\d+(\.\d+)?""))&lt;=90,VALUE(REGEXEXTRACT(SUB"&amp;"STITUTE(F18,"" "",""""),""-?\d+(\.\d+)?$""))&gt;=-180,VALUE(REGEXEXTRACT(SUBSTITUTE(F18,"" "",""""),""-?\d+(\.\d+)?$""))&lt;=180),""OK"",""REVISAR"")"),"#N/A")</f>
        <v>#N/A</v>
      </c>
    </row>
    <row r="19">
      <c r="A19" s="5" t="str">
        <f t="shared" si="1"/>
        <v>AD507-0017</v>
      </c>
      <c r="C19" s="5"/>
      <c r="F19" s="5"/>
      <c r="G19" s="5" t="str">
        <f t="shared" si="2"/>
        <v/>
      </c>
      <c r="H19" s="5" t="str">
        <f t="shared" si="3"/>
        <v/>
      </c>
      <c r="I19" s="5" t="str">
        <f t="shared" si="4"/>
        <v/>
      </c>
      <c r="J19" s="5" t="str">
        <f t="shared" si="5"/>
        <v/>
      </c>
      <c r="K19" s="5" t="str">
        <f>IFERROR(__xludf.DUMMYFUNCTION("IF(C19&lt;&gt;"""",HYPERLINK(""https://wa.me/507""&amp;REGEXREPLACE(C19,""[^0-9]"","""")&amp;""?text=""&amp;ENCODEURL(""Ya llegue. Codigo: ""&amp;A19&amp;"". Ubicacion: ""&amp;""https://www.google.com/maps/search/?api=1&amp;query=""&amp;SUBSTITUTE(F19,"" "","""")),""📲 Avisar al cliente""),"""&amp;""")"),"")</f>
        <v/>
      </c>
      <c r="L19" s="5" t="str">
        <f>IFERROR(__xludf.DUMMYFUNCTION("IF(C19&lt;&gt;"""",""https://api.qrserver.com/v1/create-qr-code/?size=200x200&amp;data=""&amp;ENCODEURL(""https://wa.me/507""&amp;REGEXREPLACE(C19,""[^0-9]"","""")&amp;""?text=""&amp;ENCODEURL(""Ya llegue. Codigo: ""&amp;A19&amp;"". Ubicacion: ""&amp;""https://www.google.com/maps/search/?api="&amp;"1&amp;query=""&amp;SUBSTITUTE(F19,"" "",""""))),"""")"),"")</f>
        <v/>
      </c>
      <c r="M19" s="5" t="str">
        <f t="shared" si="6"/>
        <v/>
      </c>
      <c r="N19" s="5" t="str">
        <f>IFERROR(__xludf.DUMMYFUNCTION("IF(AND(F19&lt;&gt;"""",REGEXMATCH(SUBSTITUTE(F19,"" "",""""),""^-?\d+(\.\d+)?,-?\d+(\.\d+)?$""),VALUE(REGEXEXTRACT(SUBSTITUTE(F19,"" "",""""),""^-?\d+(\.\d+)?""))&gt;=-90,VALUE(REGEXEXTRACT(SUBSTITUTE(F19,"" "",""""),""^-?\d+(\.\d+)?""))&lt;=90,VALUE(REGEXEXTRACT(SUB"&amp;"STITUTE(F19,"" "",""""),""-?\d+(\.\d+)?$""))&gt;=-180,VALUE(REGEXEXTRACT(SUBSTITUTE(F19,"" "",""""),""-?\d+(\.\d+)?$""))&lt;=180),""OK"",""REVISAR"")"),"#N/A")</f>
        <v>#N/A</v>
      </c>
    </row>
    <row r="20">
      <c r="A20" s="5" t="str">
        <f t="shared" si="1"/>
        <v>AD507-0018</v>
      </c>
      <c r="C20" s="5"/>
      <c r="F20" s="5"/>
      <c r="G20" s="5" t="str">
        <f t="shared" si="2"/>
        <v/>
      </c>
      <c r="H20" s="5" t="str">
        <f t="shared" si="3"/>
        <v/>
      </c>
      <c r="I20" s="5" t="str">
        <f t="shared" si="4"/>
        <v/>
      </c>
      <c r="J20" s="5" t="str">
        <f t="shared" si="5"/>
        <v/>
      </c>
      <c r="K20" s="5" t="str">
        <f>IFERROR(__xludf.DUMMYFUNCTION("IF(C20&lt;&gt;"""",HYPERLINK(""https://wa.me/507""&amp;REGEXREPLACE(C20,""[^0-9]"","""")&amp;""?text=""&amp;ENCODEURL(""Ya llegue. Codigo: ""&amp;A20&amp;"". Ubicacion: ""&amp;""https://www.google.com/maps/search/?api=1&amp;query=""&amp;SUBSTITUTE(F20,"" "","""")),""📲 Avisar al cliente""),"""&amp;""")"),"")</f>
        <v/>
      </c>
      <c r="L20" s="5" t="str">
        <f>IFERROR(__xludf.DUMMYFUNCTION("IF(C20&lt;&gt;"""",""https://api.qrserver.com/v1/create-qr-code/?size=200x200&amp;data=""&amp;ENCODEURL(""https://wa.me/507""&amp;REGEXREPLACE(C20,""[^0-9]"","""")&amp;""?text=""&amp;ENCODEURL(""Ya llegue. Codigo: ""&amp;A20&amp;"". Ubicacion: ""&amp;""https://www.google.com/maps/search/?api="&amp;"1&amp;query=""&amp;SUBSTITUTE(F20,"" "",""""))),"""")"),"")</f>
        <v/>
      </c>
      <c r="M20" s="5" t="str">
        <f t="shared" si="6"/>
        <v/>
      </c>
      <c r="N20" s="5" t="str">
        <f>IFERROR(__xludf.DUMMYFUNCTION("IF(AND(F20&lt;&gt;"""",REGEXMATCH(SUBSTITUTE(F20,"" "",""""),""^-?\d+(\.\d+)?,-?\d+(\.\d+)?$""),VALUE(REGEXEXTRACT(SUBSTITUTE(F20,"" "",""""),""^-?\d+(\.\d+)?""))&gt;=-90,VALUE(REGEXEXTRACT(SUBSTITUTE(F20,"" "",""""),""^-?\d+(\.\d+)?""))&lt;=90,VALUE(REGEXEXTRACT(SUB"&amp;"STITUTE(F20,"" "",""""),""-?\d+(\.\d+)?$""))&gt;=-180,VALUE(REGEXEXTRACT(SUBSTITUTE(F20,"" "",""""),""-?\d+(\.\d+)?$""))&lt;=180),""OK"",""REVISAR"")"),"#N/A")</f>
        <v>#N/A</v>
      </c>
    </row>
    <row r="21" ht="15.75" customHeight="1">
      <c r="A21" s="5" t="str">
        <f t="shared" si="1"/>
        <v>AD507-0019</v>
      </c>
      <c r="C21" s="5"/>
      <c r="F21" s="5"/>
      <c r="G21" s="5" t="str">
        <f t="shared" si="2"/>
        <v/>
      </c>
      <c r="H21" s="5" t="str">
        <f t="shared" si="3"/>
        <v/>
      </c>
      <c r="I21" s="5" t="str">
        <f t="shared" si="4"/>
        <v/>
      </c>
      <c r="J21" s="5" t="str">
        <f t="shared" si="5"/>
        <v/>
      </c>
      <c r="K21" s="5" t="str">
        <f>IFERROR(__xludf.DUMMYFUNCTION("IF(C21&lt;&gt;"""",HYPERLINK(""https://wa.me/507""&amp;REGEXREPLACE(C21,""[^0-9]"","""")&amp;""?text=""&amp;ENCODEURL(""Ya llegue. Codigo: ""&amp;A21&amp;"". Ubicacion: ""&amp;""https://www.google.com/maps/search/?api=1&amp;query=""&amp;SUBSTITUTE(F21,"" "","""")),""📲 Avisar al cliente""),"""&amp;""")"),"")</f>
        <v/>
      </c>
      <c r="L21" s="5" t="str">
        <f>IFERROR(__xludf.DUMMYFUNCTION("IF(C21&lt;&gt;"""",""https://api.qrserver.com/v1/create-qr-code/?size=200x200&amp;data=""&amp;ENCODEURL(""https://wa.me/507""&amp;REGEXREPLACE(C21,""[^0-9]"","""")&amp;""?text=""&amp;ENCODEURL(""Ya llegue. Codigo: ""&amp;A21&amp;"". Ubicacion: ""&amp;""https://www.google.com/maps/search/?api="&amp;"1&amp;query=""&amp;SUBSTITUTE(F21,"" "",""""))),"""")"),"")</f>
        <v/>
      </c>
      <c r="M21" s="5" t="str">
        <f t="shared" si="6"/>
        <v/>
      </c>
      <c r="N21" s="5" t="str">
        <f>IFERROR(__xludf.DUMMYFUNCTION("IF(AND(F21&lt;&gt;"""",REGEXMATCH(SUBSTITUTE(F21,"" "",""""),""^-?\d+(\.\d+)?,-?\d+(\.\d+)?$""),VALUE(REGEXEXTRACT(SUBSTITUTE(F21,"" "",""""),""^-?\d+(\.\d+)?""))&gt;=-90,VALUE(REGEXEXTRACT(SUBSTITUTE(F21,"" "",""""),""^-?\d+(\.\d+)?""))&lt;=90,VALUE(REGEXEXTRACT(SUB"&amp;"STITUTE(F21,"" "",""""),""-?\d+(\.\d+)?$""))&gt;=-180,VALUE(REGEXEXTRACT(SUBSTITUTE(F21,"" "",""""),""-?\d+(\.\d+)?$""))&lt;=180),""OK"",""REVISAR"")"),"#N/A")</f>
        <v>#N/A</v>
      </c>
    </row>
    <row r="22" ht="15.75" customHeight="1">
      <c r="A22" s="5" t="str">
        <f t="shared" si="1"/>
        <v>AD507-0020</v>
      </c>
      <c r="C22" s="5"/>
      <c r="F22" s="5"/>
      <c r="G22" s="5" t="str">
        <f t="shared" si="2"/>
        <v/>
      </c>
      <c r="H22" s="5" t="str">
        <f t="shared" si="3"/>
        <v/>
      </c>
      <c r="I22" s="5" t="str">
        <f t="shared" si="4"/>
        <v/>
      </c>
      <c r="J22" s="5" t="str">
        <f t="shared" si="5"/>
        <v/>
      </c>
      <c r="K22" s="5" t="str">
        <f>IFERROR(__xludf.DUMMYFUNCTION("IF(C22&lt;&gt;"""",HYPERLINK(""https://wa.me/507""&amp;REGEXREPLACE(C22,""[^0-9]"","""")&amp;""?text=""&amp;ENCODEURL(""Ya llegue. Codigo: ""&amp;A22&amp;"". Ubicacion: ""&amp;""https://www.google.com/maps/search/?api=1&amp;query=""&amp;SUBSTITUTE(F22,"" "","""")),""📲 Avisar al cliente""),"""&amp;""")"),"")</f>
        <v/>
      </c>
      <c r="L22" s="5" t="str">
        <f>IFERROR(__xludf.DUMMYFUNCTION("IF(C22&lt;&gt;"""",""https://api.qrserver.com/v1/create-qr-code/?size=200x200&amp;data=""&amp;ENCODEURL(""https://wa.me/507""&amp;REGEXREPLACE(C22,""[^0-9]"","""")&amp;""?text=""&amp;ENCODEURL(""Ya llegue. Codigo: ""&amp;A22&amp;"". Ubicacion: ""&amp;""https://www.google.com/maps/search/?api="&amp;"1&amp;query=""&amp;SUBSTITUTE(F22,"" "",""""))),"""")"),"")</f>
        <v/>
      </c>
      <c r="M22" s="5" t="str">
        <f t="shared" si="6"/>
        <v/>
      </c>
      <c r="N22" s="5" t="str">
        <f>IFERROR(__xludf.DUMMYFUNCTION("IF(AND(F22&lt;&gt;"""",REGEXMATCH(SUBSTITUTE(F22,"" "",""""),""^-?\d+(\.\d+)?,-?\d+(\.\d+)?$""),VALUE(REGEXEXTRACT(SUBSTITUTE(F22,"" "",""""),""^-?\d+(\.\d+)?""))&gt;=-90,VALUE(REGEXEXTRACT(SUBSTITUTE(F22,"" "",""""),""^-?\d+(\.\d+)?""))&lt;=90,VALUE(REGEXEXTRACT(SUB"&amp;"STITUTE(F22,"" "",""""),""-?\d+(\.\d+)?$""))&gt;=-180,VALUE(REGEXEXTRACT(SUBSTITUTE(F22,"" "",""""),""-?\d+(\.\d+)?$""))&lt;=180),""OK"",""REVISAR"")"),"#N/A")</f>
        <v>#N/A</v>
      </c>
    </row>
    <row r="23" ht="15.75" customHeight="1">
      <c r="A23" s="5" t="str">
        <f t="shared" si="1"/>
        <v>AD507-0021</v>
      </c>
      <c r="C23" s="5"/>
      <c r="F23" s="5"/>
      <c r="G23" s="5" t="str">
        <f t="shared" si="2"/>
        <v/>
      </c>
      <c r="H23" s="5" t="str">
        <f t="shared" si="3"/>
        <v/>
      </c>
      <c r="I23" s="5" t="str">
        <f t="shared" si="4"/>
        <v/>
      </c>
      <c r="J23" s="5" t="str">
        <f t="shared" si="5"/>
        <v/>
      </c>
      <c r="K23" s="5" t="str">
        <f>IFERROR(__xludf.DUMMYFUNCTION("IF(C23&lt;&gt;"""",HYPERLINK(""https://wa.me/507""&amp;REGEXREPLACE(C23,""[^0-9]"","""")&amp;""?text=""&amp;ENCODEURL(""Ya llegue. Codigo: ""&amp;A23&amp;"". Ubicacion: ""&amp;""https://www.google.com/maps/search/?api=1&amp;query=""&amp;SUBSTITUTE(F23,"" "","""")),""📲 Avisar al cliente""),"""&amp;""")"),"")</f>
        <v/>
      </c>
      <c r="L23" s="5" t="str">
        <f>IFERROR(__xludf.DUMMYFUNCTION("IF(C23&lt;&gt;"""",""https://api.qrserver.com/v1/create-qr-code/?size=200x200&amp;data=""&amp;ENCODEURL(""https://wa.me/507""&amp;REGEXREPLACE(C23,""[^0-9]"","""")&amp;""?text=""&amp;ENCODEURL(""Ya llegue. Codigo: ""&amp;A23&amp;"". Ubicacion: ""&amp;""https://www.google.com/maps/search/?api="&amp;"1&amp;query=""&amp;SUBSTITUTE(F23,"" "",""""))),"""")"),"")</f>
        <v/>
      </c>
      <c r="M23" s="5" t="str">
        <f t="shared" si="6"/>
        <v/>
      </c>
      <c r="N23" s="5" t="str">
        <f>IFERROR(__xludf.DUMMYFUNCTION("IF(AND(F23&lt;&gt;"""",REGEXMATCH(SUBSTITUTE(F23,"" "",""""),""^-?\d+(\.\d+)?,-?\d+(\.\d+)?$""),VALUE(REGEXEXTRACT(SUBSTITUTE(F23,"" "",""""),""^-?\d+(\.\d+)?""))&gt;=-90,VALUE(REGEXEXTRACT(SUBSTITUTE(F23,"" "",""""),""^-?\d+(\.\d+)?""))&lt;=90,VALUE(REGEXEXTRACT(SUB"&amp;"STITUTE(F23,"" "",""""),""-?\d+(\.\d+)?$""))&gt;=-180,VALUE(REGEXEXTRACT(SUBSTITUTE(F23,"" "",""""),""-?\d+(\.\d+)?$""))&lt;=180),""OK"",""REVISAR"")"),"#N/A")</f>
        <v>#N/A</v>
      </c>
    </row>
    <row r="24" ht="15.75" customHeight="1">
      <c r="A24" s="5" t="str">
        <f t="shared" si="1"/>
        <v>AD507-0022</v>
      </c>
      <c r="C24" s="5"/>
      <c r="F24" s="5"/>
      <c r="G24" s="5" t="str">
        <f t="shared" si="2"/>
        <v/>
      </c>
      <c r="H24" s="5" t="str">
        <f t="shared" si="3"/>
        <v/>
      </c>
      <c r="I24" s="5" t="str">
        <f t="shared" si="4"/>
        <v/>
      </c>
      <c r="J24" s="5" t="str">
        <f t="shared" si="5"/>
        <v/>
      </c>
      <c r="K24" s="5" t="str">
        <f>IFERROR(__xludf.DUMMYFUNCTION("IF(C24&lt;&gt;"""",HYPERLINK(""https://wa.me/507""&amp;REGEXREPLACE(C24,""[^0-9]"","""")&amp;""?text=""&amp;ENCODEURL(""Ya llegue. Codigo: ""&amp;A24&amp;"". Ubicacion: ""&amp;""https://www.google.com/maps/search/?api=1&amp;query=""&amp;SUBSTITUTE(F24,"" "","""")),""📲 Avisar al cliente""),"""&amp;""")"),"")</f>
        <v/>
      </c>
      <c r="L24" s="5" t="str">
        <f>IFERROR(__xludf.DUMMYFUNCTION("IF(C24&lt;&gt;"""",""https://api.qrserver.com/v1/create-qr-code/?size=200x200&amp;data=""&amp;ENCODEURL(""https://wa.me/507""&amp;REGEXREPLACE(C24,""[^0-9]"","""")&amp;""?text=""&amp;ENCODEURL(""Ya llegue. Codigo: ""&amp;A24&amp;"". Ubicacion: ""&amp;""https://www.google.com/maps/search/?api="&amp;"1&amp;query=""&amp;SUBSTITUTE(F24,"" "",""""))),"""")"),"")</f>
        <v/>
      </c>
      <c r="M24" s="5" t="str">
        <f t="shared" si="6"/>
        <v/>
      </c>
      <c r="N24" s="5" t="str">
        <f>IFERROR(__xludf.DUMMYFUNCTION("IF(AND(F24&lt;&gt;"""",REGEXMATCH(SUBSTITUTE(F24,"" "",""""),""^-?\d+(\.\d+)?,-?\d+(\.\d+)?$""),VALUE(REGEXEXTRACT(SUBSTITUTE(F24,"" "",""""),""^-?\d+(\.\d+)?""))&gt;=-90,VALUE(REGEXEXTRACT(SUBSTITUTE(F24,"" "",""""),""^-?\d+(\.\d+)?""))&lt;=90,VALUE(REGEXEXTRACT(SUB"&amp;"STITUTE(F24,"" "",""""),""-?\d+(\.\d+)?$""))&gt;=-180,VALUE(REGEXEXTRACT(SUBSTITUTE(F24,"" "",""""),""-?\d+(\.\d+)?$""))&lt;=180),""OK"",""REVISAR"")"),"#N/A")</f>
        <v>#N/A</v>
      </c>
    </row>
    <row r="25" ht="15.75" customHeight="1">
      <c r="A25" s="5" t="str">
        <f t="shared" si="1"/>
        <v>AD507-0023</v>
      </c>
      <c r="C25" s="5"/>
      <c r="F25" s="5"/>
      <c r="G25" s="5" t="str">
        <f t="shared" si="2"/>
        <v/>
      </c>
      <c r="H25" s="5" t="str">
        <f t="shared" si="3"/>
        <v/>
      </c>
      <c r="I25" s="5" t="str">
        <f t="shared" si="4"/>
        <v/>
      </c>
      <c r="J25" s="5" t="str">
        <f t="shared" si="5"/>
        <v/>
      </c>
      <c r="K25" s="5" t="str">
        <f>IFERROR(__xludf.DUMMYFUNCTION("IF(C25&lt;&gt;"""",HYPERLINK(""https://wa.me/507""&amp;REGEXREPLACE(C25,""[^0-9]"","""")&amp;""?text=""&amp;ENCODEURL(""Ya llegue. Codigo: ""&amp;A25&amp;"". Ubicacion: ""&amp;""https://www.google.com/maps/search/?api=1&amp;query=""&amp;SUBSTITUTE(F25,"" "","""")),""📲 Avisar al cliente""),"""&amp;""")"),"")</f>
        <v/>
      </c>
      <c r="L25" s="5" t="str">
        <f>IFERROR(__xludf.DUMMYFUNCTION("IF(C25&lt;&gt;"""",""https://api.qrserver.com/v1/create-qr-code/?size=200x200&amp;data=""&amp;ENCODEURL(""https://wa.me/507""&amp;REGEXREPLACE(C25,""[^0-9]"","""")&amp;""?text=""&amp;ENCODEURL(""Ya llegue. Codigo: ""&amp;A25&amp;"". Ubicacion: ""&amp;""https://www.google.com/maps/search/?api="&amp;"1&amp;query=""&amp;SUBSTITUTE(F25,"" "",""""))),"""")"),"")</f>
        <v/>
      </c>
      <c r="M25" s="5" t="str">
        <f t="shared" si="6"/>
        <v/>
      </c>
      <c r="N25" s="5" t="str">
        <f>IFERROR(__xludf.DUMMYFUNCTION("IF(AND(F25&lt;&gt;"""",REGEXMATCH(SUBSTITUTE(F25,"" "",""""),""^-?\d+(\.\d+)?,-?\d+(\.\d+)?$""),VALUE(REGEXEXTRACT(SUBSTITUTE(F25,"" "",""""),""^-?\d+(\.\d+)?""))&gt;=-90,VALUE(REGEXEXTRACT(SUBSTITUTE(F25,"" "",""""),""^-?\d+(\.\d+)?""))&lt;=90,VALUE(REGEXEXTRACT(SUB"&amp;"STITUTE(F25,"" "",""""),""-?\d+(\.\d+)?$""))&gt;=-180,VALUE(REGEXEXTRACT(SUBSTITUTE(F25,"" "",""""),""-?\d+(\.\d+)?$""))&lt;=180),""OK"",""REVISAR"")"),"#N/A")</f>
        <v>#N/A</v>
      </c>
    </row>
    <row r="26" ht="15.75" customHeight="1">
      <c r="A26" s="5" t="str">
        <f t="shared" si="1"/>
        <v>AD507-0024</v>
      </c>
      <c r="C26" s="5"/>
      <c r="F26" s="5"/>
      <c r="G26" s="5" t="str">
        <f t="shared" si="2"/>
        <v/>
      </c>
      <c r="H26" s="5" t="str">
        <f t="shared" si="3"/>
        <v/>
      </c>
      <c r="I26" s="5" t="str">
        <f t="shared" si="4"/>
        <v/>
      </c>
      <c r="J26" s="5" t="str">
        <f t="shared" si="5"/>
        <v/>
      </c>
      <c r="K26" s="5" t="str">
        <f>IFERROR(__xludf.DUMMYFUNCTION("IF(C26&lt;&gt;"""",HYPERLINK(""https://wa.me/507""&amp;REGEXREPLACE(C26,""[^0-9]"","""")&amp;""?text=""&amp;ENCODEURL(""Ya llegue. Codigo: ""&amp;A26&amp;"". Ubicacion: ""&amp;""https://www.google.com/maps/search/?api=1&amp;query=""&amp;SUBSTITUTE(F26,"" "","""")),""📲 Avisar al cliente""),"""&amp;""")"),"")</f>
        <v/>
      </c>
      <c r="L26" s="5" t="str">
        <f>IFERROR(__xludf.DUMMYFUNCTION("IF(C26&lt;&gt;"""",""https://api.qrserver.com/v1/create-qr-code/?size=200x200&amp;data=""&amp;ENCODEURL(""https://wa.me/507""&amp;REGEXREPLACE(C26,""[^0-9]"","""")&amp;""?text=""&amp;ENCODEURL(""Ya llegue. Codigo: ""&amp;A26&amp;"". Ubicacion: ""&amp;""https://www.google.com/maps/search/?api="&amp;"1&amp;query=""&amp;SUBSTITUTE(F26,"" "",""""))),"""")"),"")</f>
        <v/>
      </c>
      <c r="M26" s="5" t="str">
        <f t="shared" si="6"/>
        <v/>
      </c>
      <c r="N26" s="5" t="str">
        <f>IFERROR(__xludf.DUMMYFUNCTION("IF(AND(F26&lt;&gt;"""",REGEXMATCH(SUBSTITUTE(F26,"" "",""""),""^-?\d+(\.\d+)?,-?\d+(\.\d+)?$""),VALUE(REGEXEXTRACT(SUBSTITUTE(F26,"" "",""""),""^-?\d+(\.\d+)?""))&gt;=-90,VALUE(REGEXEXTRACT(SUBSTITUTE(F26,"" "",""""),""^-?\d+(\.\d+)?""))&lt;=90,VALUE(REGEXEXTRACT(SUB"&amp;"STITUTE(F26,"" "",""""),""-?\d+(\.\d+)?$""))&gt;=-180,VALUE(REGEXEXTRACT(SUBSTITUTE(F26,"" "",""""),""-?\d+(\.\d+)?$""))&lt;=180),""OK"",""REVISAR"")"),"#N/A")</f>
        <v>#N/A</v>
      </c>
    </row>
    <row r="27" ht="15.75" customHeight="1">
      <c r="A27" s="5" t="str">
        <f t="shared" si="1"/>
        <v>AD507-0025</v>
      </c>
      <c r="C27" s="5"/>
      <c r="F27" s="5"/>
      <c r="G27" s="5" t="str">
        <f t="shared" si="2"/>
        <v/>
      </c>
      <c r="H27" s="5" t="str">
        <f t="shared" si="3"/>
        <v/>
      </c>
      <c r="I27" s="5" t="str">
        <f t="shared" si="4"/>
        <v/>
      </c>
      <c r="J27" s="5" t="str">
        <f t="shared" si="5"/>
        <v/>
      </c>
      <c r="K27" s="5" t="str">
        <f>IFERROR(__xludf.DUMMYFUNCTION("IF(C27&lt;&gt;"""",HYPERLINK(""https://wa.me/507""&amp;REGEXREPLACE(C27,""[^0-9]"","""")&amp;""?text=""&amp;ENCODEURL(""Ya llegue. Codigo: ""&amp;A27&amp;"". Ubicacion: ""&amp;""https://www.google.com/maps/search/?api=1&amp;query=""&amp;SUBSTITUTE(F27,"" "","""")),""📲 Avisar al cliente""),"""&amp;""")"),"")</f>
        <v/>
      </c>
      <c r="L27" s="5" t="str">
        <f>IFERROR(__xludf.DUMMYFUNCTION("IF(C27&lt;&gt;"""",""https://api.qrserver.com/v1/create-qr-code/?size=200x200&amp;data=""&amp;ENCODEURL(""https://wa.me/507""&amp;REGEXREPLACE(C27,""[^0-9]"","""")&amp;""?text=""&amp;ENCODEURL(""Ya llegue. Codigo: ""&amp;A27&amp;"". Ubicacion: ""&amp;""https://www.google.com/maps/search/?api="&amp;"1&amp;query=""&amp;SUBSTITUTE(F27,"" "",""""))),"""")"),"")</f>
        <v/>
      </c>
      <c r="M27" s="5" t="str">
        <f t="shared" si="6"/>
        <v/>
      </c>
      <c r="N27" s="5" t="str">
        <f>IFERROR(__xludf.DUMMYFUNCTION("IF(AND(F27&lt;&gt;"""",REGEXMATCH(SUBSTITUTE(F27,"" "",""""),""^-?\d+(\.\d+)?,-?\d+(\.\d+)?$""),VALUE(REGEXEXTRACT(SUBSTITUTE(F27,"" "",""""),""^-?\d+(\.\d+)?""))&gt;=-90,VALUE(REGEXEXTRACT(SUBSTITUTE(F27,"" "",""""),""^-?\d+(\.\d+)?""))&lt;=90,VALUE(REGEXEXTRACT(SUB"&amp;"STITUTE(F27,"" "",""""),""-?\d+(\.\d+)?$""))&gt;=-180,VALUE(REGEXEXTRACT(SUBSTITUTE(F27,"" "",""""),""-?\d+(\.\d+)?$""))&lt;=180),""OK"",""REVISAR"")"),"#N/A")</f>
        <v>#N/A</v>
      </c>
    </row>
    <row r="28" ht="15.75" customHeight="1">
      <c r="A28" s="5" t="str">
        <f t="shared" si="1"/>
        <v>AD507-0026</v>
      </c>
      <c r="C28" s="5"/>
      <c r="F28" s="5"/>
      <c r="G28" s="5" t="str">
        <f t="shared" si="2"/>
        <v/>
      </c>
      <c r="H28" s="5" t="str">
        <f t="shared" si="3"/>
        <v/>
      </c>
      <c r="I28" s="5" t="str">
        <f t="shared" si="4"/>
        <v/>
      </c>
      <c r="J28" s="5" t="str">
        <f t="shared" si="5"/>
        <v/>
      </c>
      <c r="K28" s="5" t="str">
        <f>IFERROR(__xludf.DUMMYFUNCTION("IF(C28&lt;&gt;"""",HYPERLINK(""https://wa.me/507""&amp;REGEXREPLACE(C28,""[^0-9]"","""")&amp;""?text=""&amp;ENCODEURL(""Ya llegue. Codigo: ""&amp;A28&amp;"". Ubicacion: ""&amp;""https://www.google.com/maps/search/?api=1&amp;query=""&amp;SUBSTITUTE(F28,"" "","""")),""📲 Avisar al cliente""),"""&amp;""")"),"")</f>
        <v/>
      </c>
      <c r="L28" s="5" t="str">
        <f>IFERROR(__xludf.DUMMYFUNCTION("IF(C28&lt;&gt;"""",""https://api.qrserver.com/v1/create-qr-code/?size=200x200&amp;data=""&amp;ENCODEURL(""https://wa.me/507""&amp;REGEXREPLACE(C28,""[^0-9]"","""")&amp;""?text=""&amp;ENCODEURL(""Ya llegue. Codigo: ""&amp;A28&amp;"". Ubicacion: ""&amp;""https://www.google.com/maps/search/?api="&amp;"1&amp;query=""&amp;SUBSTITUTE(F28,"" "",""""))),"""")"),"")</f>
        <v/>
      </c>
      <c r="M28" s="5" t="str">
        <f t="shared" si="6"/>
        <v/>
      </c>
      <c r="N28" s="5" t="str">
        <f>IFERROR(__xludf.DUMMYFUNCTION("IF(AND(F28&lt;&gt;"""",REGEXMATCH(SUBSTITUTE(F28,"" "",""""),""^-?\d+(\.\d+)?,-?\d+(\.\d+)?$""),VALUE(REGEXEXTRACT(SUBSTITUTE(F28,"" "",""""),""^-?\d+(\.\d+)?""))&gt;=-90,VALUE(REGEXEXTRACT(SUBSTITUTE(F28,"" "",""""),""^-?\d+(\.\d+)?""))&lt;=90,VALUE(REGEXEXTRACT(SUB"&amp;"STITUTE(F28,"" "",""""),""-?\d+(\.\d+)?$""))&gt;=-180,VALUE(REGEXEXTRACT(SUBSTITUTE(F28,"" "",""""),""-?\d+(\.\d+)?$""))&lt;=180),""OK"",""REVISAR"")"),"#N/A")</f>
        <v>#N/A</v>
      </c>
    </row>
    <row r="29" ht="15.75" customHeight="1">
      <c r="A29" s="5" t="str">
        <f t="shared" si="1"/>
        <v>AD507-0027</v>
      </c>
      <c r="C29" s="5"/>
      <c r="F29" s="5"/>
      <c r="G29" s="5" t="str">
        <f t="shared" si="2"/>
        <v/>
      </c>
      <c r="H29" s="5" t="str">
        <f t="shared" si="3"/>
        <v/>
      </c>
      <c r="I29" s="5" t="str">
        <f t="shared" si="4"/>
        <v/>
      </c>
      <c r="J29" s="5" t="str">
        <f t="shared" si="5"/>
        <v/>
      </c>
      <c r="K29" s="5" t="str">
        <f>IFERROR(__xludf.DUMMYFUNCTION("IF(C29&lt;&gt;"""",HYPERLINK(""https://wa.me/507""&amp;REGEXREPLACE(C29,""[^0-9]"","""")&amp;""?text=""&amp;ENCODEURL(""Ya llegue. Codigo: ""&amp;A29&amp;"". Ubicacion: ""&amp;""https://www.google.com/maps/search/?api=1&amp;query=""&amp;SUBSTITUTE(F29,"" "","""")),""📲 Avisar al cliente""),"""&amp;""")"),"")</f>
        <v/>
      </c>
      <c r="L29" s="5" t="str">
        <f>IFERROR(__xludf.DUMMYFUNCTION("IF(C29&lt;&gt;"""",""https://api.qrserver.com/v1/create-qr-code/?size=200x200&amp;data=""&amp;ENCODEURL(""https://wa.me/507""&amp;REGEXREPLACE(C29,""[^0-9]"","""")&amp;""?text=""&amp;ENCODEURL(""Ya llegue. Codigo: ""&amp;A29&amp;"". Ubicacion: ""&amp;""https://www.google.com/maps/search/?api="&amp;"1&amp;query=""&amp;SUBSTITUTE(F29,"" "",""""))),"""")"),"")</f>
        <v/>
      </c>
      <c r="M29" s="5" t="str">
        <f t="shared" si="6"/>
        <v/>
      </c>
      <c r="N29" s="5" t="str">
        <f>IFERROR(__xludf.DUMMYFUNCTION("IF(AND(F29&lt;&gt;"""",REGEXMATCH(SUBSTITUTE(F29,"" "",""""),""^-?\d+(\.\d+)?,-?\d+(\.\d+)?$""),VALUE(REGEXEXTRACT(SUBSTITUTE(F29,"" "",""""),""^-?\d+(\.\d+)?""))&gt;=-90,VALUE(REGEXEXTRACT(SUBSTITUTE(F29,"" "",""""),""^-?\d+(\.\d+)?""))&lt;=90,VALUE(REGEXEXTRACT(SUB"&amp;"STITUTE(F29,"" "",""""),""-?\d+(\.\d+)?$""))&gt;=-180,VALUE(REGEXEXTRACT(SUBSTITUTE(F29,"" "",""""),""-?\d+(\.\d+)?$""))&lt;=180),""OK"",""REVISAR"")"),"#N/A")</f>
        <v>#N/A</v>
      </c>
    </row>
    <row r="30" ht="15.75" customHeight="1">
      <c r="A30" s="5" t="str">
        <f t="shared" si="1"/>
        <v>AD507-0028</v>
      </c>
      <c r="C30" s="5"/>
      <c r="F30" s="5"/>
      <c r="G30" s="5" t="str">
        <f t="shared" si="2"/>
        <v/>
      </c>
      <c r="H30" s="5" t="str">
        <f t="shared" si="3"/>
        <v/>
      </c>
      <c r="I30" s="5" t="str">
        <f t="shared" si="4"/>
        <v/>
      </c>
      <c r="J30" s="5" t="str">
        <f t="shared" si="5"/>
        <v/>
      </c>
      <c r="K30" s="5" t="str">
        <f>IFERROR(__xludf.DUMMYFUNCTION("IF(C30&lt;&gt;"""",HYPERLINK(""https://wa.me/507""&amp;REGEXREPLACE(C30,""[^0-9]"","""")&amp;""?text=""&amp;ENCODEURL(""Ya llegue. Codigo: ""&amp;A30&amp;"". Ubicacion: ""&amp;""https://www.google.com/maps/search/?api=1&amp;query=""&amp;SUBSTITUTE(F30,"" "","""")),""📲 Avisar al cliente""),"""&amp;""")"),"")</f>
        <v/>
      </c>
      <c r="L30" s="5" t="str">
        <f>IFERROR(__xludf.DUMMYFUNCTION("IF(C30&lt;&gt;"""",""https://api.qrserver.com/v1/create-qr-code/?size=200x200&amp;data=""&amp;ENCODEURL(""https://wa.me/507""&amp;REGEXREPLACE(C30,""[^0-9]"","""")&amp;""?text=""&amp;ENCODEURL(""Ya llegue. Codigo: ""&amp;A30&amp;"". Ubicacion: ""&amp;""https://www.google.com/maps/search/?api="&amp;"1&amp;query=""&amp;SUBSTITUTE(F30,"" "",""""))),"""")"),"")</f>
        <v/>
      </c>
      <c r="M30" s="5" t="str">
        <f t="shared" si="6"/>
        <v/>
      </c>
      <c r="N30" s="5" t="str">
        <f>IFERROR(__xludf.DUMMYFUNCTION("IF(AND(F30&lt;&gt;"""",REGEXMATCH(SUBSTITUTE(F30,"" "",""""),""^-?\d+(\.\d+)?,-?\d+(\.\d+)?$""),VALUE(REGEXEXTRACT(SUBSTITUTE(F30,"" "",""""),""^-?\d+(\.\d+)?""))&gt;=-90,VALUE(REGEXEXTRACT(SUBSTITUTE(F30,"" "",""""),""^-?\d+(\.\d+)?""))&lt;=90,VALUE(REGEXEXTRACT(SUB"&amp;"STITUTE(F30,"" "",""""),""-?\d+(\.\d+)?$""))&gt;=-180,VALUE(REGEXEXTRACT(SUBSTITUTE(F30,"" "",""""),""-?\d+(\.\d+)?$""))&lt;=180),""OK"",""REVISAR"")"),"#N/A")</f>
        <v>#N/A</v>
      </c>
    </row>
    <row r="31" ht="15.75" customHeight="1">
      <c r="A31" s="5" t="str">
        <f t="shared" si="1"/>
        <v>AD507-0029</v>
      </c>
      <c r="C31" s="5"/>
      <c r="F31" s="5"/>
      <c r="G31" s="5" t="str">
        <f t="shared" si="2"/>
        <v/>
      </c>
      <c r="H31" s="5" t="str">
        <f t="shared" si="3"/>
        <v/>
      </c>
      <c r="I31" s="5" t="str">
        <f t="shared" si="4"/>
        <v/>
      </c>
      <c r="J31" s="5" t="str">
        <f t="shared" si="5"/>
        <v/>
      </c>
      <c r="K31" s="5" t="str">
        <f>IFERROR(__xludf.DUMMYFUNCTION("IF(C31&lt;&gt;"""",HYPERLINK(""https://wa.me/507""&amp;REGEXREPLACE(C31,""[^0-9]"","""")&amp;""?text=""&amp;ENCODEURL(""Ya llegue. Codigo: ""&amp;A31&amp;"". Ubicacion: ""&amp;""https://www.google.com/maps/search/?api=1&amp;query=""&amp;SUBSTITUTE(F31,"" "","""")),""📲 Avisar al cliente""),"""&amp;""")"),"")</f>
        <v/>
      </c>
      <c r="L31" s="5" t="str">
        <f>IFERROR(__xludf.DUMMYFUNCTION("IF(C31&lt;&gt;"""",""https://api.qrserver.com/v1/create-qr-code/?size=200x200&amp;data=""&amp;ENCODEURL(""https://wa.me/507""&amp;REGEXREPLACE(C31,""[^0-9]"","""")&amp;""?text=""&amp;ENCODEURL(""Ya llegue. Codigo: ""&amp;A31&amp;"". Ubicacion: ""&amp;""https://www.google.com/maps/search/?api="&amp;"1&amp;query=""&amp;SUBSTITUTE(F31,"" "",""""))),"""")"),"")</f>
        <v/>
      </c>
      <c r="M31" s="5" t="str">
        <f t="shared" si="6"/>
        <v/>
      </c>
      <c r="N31" s="5" t="str">
        <f>IFERROR(__xludf.DUMMYFUNCTION("IF(AND(F31&lt;&gt;"""",REGEXMATCH(SUBSTITUTE(F31,"" "",""""),""^-?\d+(\.\d+)?,-?\d+(\.\d+)?$""),VALUE(REGEXEXTRACT(SUBSTITUTE(F31,"" "",""""),""^-?\d+(\.\d+)?""))&gt;=-90,VALUE(REGEXEXTRACT(SUBSTITUTE(F31,"" "",""""),""^-?\d+(\.\d+)?""))&lt;=90,VALUE(REGEXEXTRACT(SUB"&amp;"STITUTE(F31,"" "",""""),""-?\d+(\.\d+)?$""))&gt;=-180,VALUE(REGEXEXTRACT(SUBSTITUTE(F31,"" "",""""),""-?\d+(\.\d+)?$""))&lt;=180),""OK"",""REVISAR"")"),"#N/A")</f>
        <v>#N/A</v>
      </c>
    </row>
    <row r="32" ht="15.75" customHeight="1">
      <c r="A32" s="5" t="str">
        <f t="shared" si="1"/>
        <v>AD507-0030</v>
      </c>
      <c r="C32" s="5"/>
      <c r="F32" s="5"/>
      <c r="G32" s="5" t="str">
        <f t="shared" si="2"/>
        <v/>
      </c>
      <c r="H32" s="5" t="str">
        <f t="shared" si="3"/>
        <v/>
      </c>
      <c r="I32" s="5" t="str">
        <f t="shared" si="4"/>
        <v/>
      </c>
      <c r="J32" s="5" t="str">
        <f t="shared" si="5"/>
        <v/>
      </c>
      <c r="K32" s="5" t="str">
        <f>IFERROR(__xludf.DUMMYFUNCTION("IF(C32&lt;&gt;"""",HYPERLINK(""https://wa.me/507""&amp;REGEXREPLACE(C32,""[^0-9]"","""")&amp;""?text=""&amp;ENCODEURL(""Ya llegue. Codigo: ""&amp;A32&amp;"". Ubicacion: ""&amp;""https://www.google.com/maps/search/?api=1&amp;query=""&amp;SUBSTITUTE(F32,"" "","""")),""📲 Avisar al cliente""),"""&amp;""")"),"")</f>
        <v/>
      </c>
      <c r="L32" s="5" t="str">
        <f>IFERROR(__xludf.DUMMYFUNCTION("IF(C32&lt;&gt;"""",""https://api.qrserver.com/v1/create-qr-code/?size=200x200&amp;data=""&amp;ENCODEURL(""https://wa.me/507""&amp;REGEXREPLACE(C32,""[^0-9]"","""")&amp;""?text=""&amp;ENCODEURL(""Ya llegue. Codigo: ""&amp;A32&amp;"". Ubicacion: ""&amp;""https://www.google.com/maps/search/?api="&amp;"1&amp;query=""&amp;SUBSTITUTE(F32,"" "",""""))),"""")"),"")</f>
        <v/>
      </c>
      <c r="M32" s="5" t="str">
        <f t="shared" si="6"/>
        <v/>
      </c>
      <c r="N32" s="5" t="str">
        <f>IFERROR(__xludf.DUMMYFUNCTION("IF(AND(F32&lt;&gt;"""",REGEXMATCH(SUBSTITUTE(F32,"" "",""""),""^-?\d+(\.\d+)?,-?\d+(\.\d+)?$""),VALUE(REGEXEXTRACT(SUBSTITUTE(F32,"" "",""""),""^-?\d+(\.\d+)?""))&gt;=-90,VALUE(REGEXEXTRACT(SUBSTITUTE(F32,"" "",""""),""^-?\d+(\.\d+)?""))&lt;=90,VALUE(REGEXEXTRACT(SUB"&amp;"STITUTE(F32,"" "",""""),""-?\d+(\.\d+)?$""))&gt;=-180,VALUE(REGEXEXTRACT(SUBSTITUTE(F32,"" "",""""),""-?\d+(\.\d+)?$""))&lt;=180),""OK"",""REVISAR"")"),"#N/A")</f>
        <v>#N/A</v>
      </c>
    </row>
    <row r="33" ht="15.75" customHeight="1">
      <c r="A33" s="5" t="str">
        <f t="shared" si="1"/>
        <v>AD507-0031</v>
      </c>
      <c r="C33" s="5"/>
      <c r="F33" s="5"/>
      <c r="G33" s="5" t="str">
        <f t="shared" si="2"/>
        <v/>
      </c>
      <c r="H33" s="5" t="str">
        <f t="shared" si="3"/>
        <v/>
      </c>
      <c r="I33" s="5" t="str">
        <f t="shared" si="4"/>
        <v/>
      </c>
      <c r="J33" s="5" t="str">
        <f t="shared" si="5"/>
        <v/>
      </c>
      <c r="K33" s="5" t="str">
        <f>IFERROR(__xludf.DUMMYFUNCTION("IF(C33&lt;&gt;"""",HYPERLINK(""https://wa.me/507""&amp;REGEXREPLACE(C33,""[^0-9]"","""")&amp;""?text=""&amp;ENCODEURL(""Ya llegue. Codigo: ""&amp;A33&amp;"". Ubicacion: ""&amp;""https://www.google.com/maps/search/?api=1&amp;query=""&amp;SUBSTITUTE(F33,"" "","""")),""📲 Avisar al cliente""),"""&amp;""")"),"")</f>
        <v/>
      </c>
      <c r="L33" s="5" t="str">
        <f>IFERROR(__xludf.DUMMYFUNCTION("IF(C33&lt;&gt;"""",""https://api.qrserver.com/v1/create-qr-code/?size=200x200&amp;data=""&amp;ENCODEURL(""https://wa.me/507""&amp;REGEXREPLACE(C33,""[^0-9]"","""")&amp;""?text=""&amp;ENCODEURL(""Ya llegue. Codigo: ""&amp;A33&amp;"". Ubicacion: ""&amp;""https://www.google.com/maps/search/?api="&amp;"1&amp;query=""&amp;SUBSTITUTE(F33,"" "",""""))),"""")"),"")</f>
        <v/>
      </c>
      <c r="M33" s="5" t="str">
        <f t="shared" si="6"/>
        <v/>
      </c>
      <c r="N33" s="5" t="str">
        <f>IFERROR(__xludf.DUMMYFUNCTION("IF(AND(F33&lt;&gt;"""",REGEXMATCH(SUBSTITUTE(F33,"" "",""""),""^-?\d+(\.\d+)?,-?\d+(\.\d+)?$""),VALUE(REGEXEXTRACT(SUBSTITUTE(F33,"" "",""""),""^-?\d+(\.\d+)?""))&gt;=-90,VALUE(REGEXEXTRACT(SUBSTITUTE(F33,"" "",""""),""^-?\d+(\.\d+)?""))&lt;=90,VALUE(REGEXEXTRACT(SUB"&amp;"STITUTE(F33,"" "",""""),""-?\d+(\.\d+)?$""))&gt;=-180,VALUE(REGEXEXTRACT(SUBSTITUTE(F33,"" "",""""),""-?\d+(\.\d+)?$""))&lt;=180),""OK"",""REVISAR"")"),"#N/A")</f>
        <v>#N/A</v>
      </c>
    </row>
    <row r="34" ht="15.75" customHeight="1">
      <c r="A34" s="5" t="str">
        <f t="shared" si="1"/>
        <v>AD507-0032</v>
      </c>
      <c r="C34" s="5"/>
      <c r="F34" s="5"/>
      <c r="G34" s="5" t="str">
        <f t="shared" si="2"/>
        <v/>
      </c>
      <c r="H34" s="5" t="str">
        <f t="shared" si="3"/>
        <v/>
      </c>
      <c r="I34" s="5" t="str">
        <f t="shared" si="4"/>
        <v/>
      </c>
      <c r="J34" s="5" t="str">
        <f t="shared" si="5"/>
        <v/>
      </c>
      <c r="K34" s="5" t="str">
        <f>IFERROR(__xludf.DUMMYFUNCTION("IF(C34&lt;&gt;"""",HYPERLINK(""https://wa.me/507""&amp;REGEXREPLACE(C34,""[^0-9]"","""")&amp;""?text=""&amp;ENCODEURL(""Ya llegue. Codigo: ""&amp;A34&amp;"". Ubicacion: ""&amp;""https://www.google.com/maps/search/?api=1&amp;query=""&amp;SUBSTITUTE(F34,"" "","""")),""📲 Avisar al cliente""),"""&amp;""")"),"")</f>
        <v/>
      </c>
      <c r="L34" s="5" t="str">
        <f>IFERROR(__xludf.DUMMYFUNCTION("IF(C34&lt;&gt;"""",""https://api.qrserver.com/v1/create-qr-code/?size=200x200&amp;data=""&amp;ENCODEURL(""https://wa.me/507""&amp;REGEXREPLACE(C34,""[^0-9]"","""")&amp;""?text=""&amp;ENCODEURL(""Ya llegue. Codigo: ""&amp;A34&amp;"". Ubicacion: ""&amp;""https://www.google.com/maps/search/?api="&amp;"1&amp;query=""&amp;SUBSTITUTE(F34,"" "",""""))),"""")"),"")</f>
        <v/>
      </c>
      <c r="M34" s="5" t="str">
        <f t="shared" si="6"/>
        <v/>
      </c>
      <c r="N34" s="5" t="str">
        <f>IFERROR(__xludf.DUMMYFUNCTION("IF(AND(F34&lt;&gt;"""",REGEXMATCH(SUBSTITUTE(F34,"" "",""""),""^-?\d+(\.\d+)?,-?\d+(\.\d+)?$""),VALUE(REGEXEXTRACT(SUBSTITUTE(F34,"" "",""""),""^-?\d+(\.\d+)?""))&gt;=-90,VALUE(REGEXEXTRACT(SUBSTITUTE(F34,"" "",""""),""^-?\d+(\.\d+)?""))&lt;=90,VALUE(REGEXEXTRACT(SUB"&amp;"STITUTE(F34,"" "",""""),""-?\d+(\.\d+)?$""))&gt;=-180,VALUE(REGEXEXTRACT(SUBSTITUTE(F34,"" "",""""),""-?\d+(\.\d+)?$""))&lt;=180),""OK"",""REVISAR"")"),"#N/A")</f>
        <v>#N/A</v>
      </c>
    </row>
    <row r="35" ht="15.75" customHeight="1">
      <c r="A35" s="5" t="str">
        <f t="shared" si="1"/>
        <v>AD507-0033</v>
      </c>
      <c r="C35" s="5"/>
      <c r="F35" s="5"/>
      <c r="G35" s="5" t="str">
        <f t="shared" si="2"/>
        <v/>
      </c>
      <c r="H35" s="5" t="str">
        <f t="shared" si="3"/>
        <v/>
      </c>
      <c r="I35" s="5" t="str">
        <f t="shared" si="4"/>
        <v/>
      </c>
      <c r="J35" s="5" t="str">
        <f t="shared" si="5"/>
        <v/>
      </c>
      <c r="K35" s="5" t="str">
        <f>IFERROR(__xludf.DUMMYFUNCTION("IF(C35&lt;&gt;"""",HYPERLINK(""https://wa.me/507""&amp;REGEXREPLACE(C35,""[^0-9]"","""")&amp;""?text=""&amp;ENCODEURL(""Ya llegue. Codigo: ""&amp;A35&amp;"". Ubicacion: ""&amp;""https://www.google.com/maps/search/?api=1&amp;query=""&amp;SUBSTITUTE(F35,"" "","""")),""📲 Avisar al cliente""),"""&amp;""")"),"")</f>
        <v/>
      </c>
      <c r="L35" s="5" t="str">
        <f>IFERROR(__xludf.DUMMYFUNCTION("IF(C35&lt;&gt;"""",""https://api.qrserver.com/v1/create-qr-code/?size=200x200&amp;data=""&amp;ENCODEURL(""https://wa.me/507""&amp;REGEXREPLACE(C35,""[^0-9]"","""")&amp;""?text=""&amp;ENCODEURL(""Ya llegue. Codigo: ""&amp;A35&amp;"". Ubicacion: ""&amp;""https://www.google.com/maps/search/?api="&amp;"1&amp;query=""&amp;SUBSTITUTE(F35,"" "",""""))),"""")"),"")</f>
        <v/>
      </c>
      <c r="M35" s="5" t="str">
        <f t="shared" si="6"/>
        <v/>
      </c>
      <c r="N35" s="5" t="str">
        <f>IFERROR(__xludf.DUMMYFUNCTION("IF(AND(F35&lt;&gt;"""",REGEXMATCH(SUBSTITUTE(F35,"" "",""""),""^-?\d+(\.\d+)?,-?\d+(\.\d+)?$""),VALUE(REGEXEXTRACT(SUBSTITUTE(F35,"" "",""""),""^-?\d+(\.\d+)?""))&gt;=-90,VALUE(REGEXEXTRACT(SUBSTITUTE(F35,"" "",""""),""^-?\d+(\.\d+)?""))&lt;=90,VALUE(REGEXEXTRACT(SUB"&amp;"STITUTE(F35,"" "",""""),""-?\d+(\.\d+)?$""))&gt;=-180,VALUE(REGEXEXTRACT(SUBSTITUTE(F35,"" "",""""),""-?\d+(\.\d+)?$""))&lt;=180),""OK"",""REVISAR"")"),"#N/A")</f>
        <v>#N/A</v>
      </c>
    </row>
    <row r="36" ht="15.75" customHeight="1">
      <c r="A36" s="5" t="str">
        <f t="shared" si="1"/>
        <v>AD507-0034</v>
      </c>
      <c r="C36" s="5"/>
      <c r="F36" s="5"/>
      <c r="G36" s="5" t="str">
        <f t="shared" si="2"/>
        <v/>
      </c>
      <c r="H36" s="5" t="str">
        <f t="shared" si="3"/>
        <v/>
      </c>
      <c r="I36" s="5" t="str">
        <f t="shared" si="4"/>
        <v/>
      </c>
      <c r="J36" s="5" t="str">
        <f t="shared" si="5"/>
        <v/>
      </c>
      <c r="K36" s="5" t="str">
        <f>IFERROR(__xludf.DUMMYFUNCTION("IF(C36&lt;&gt;"""",HYPERLINK(""https://wa.me/507""&amp;REGEXREPLACE(C36,""[^0-9]"","""")&amp;""?text=""&amp;ENCODEURL(""Ya llegue. Codigo: ""&amp;A36&amp;"". Ubicacion: ""&amp;""https://www.google.com/maps/search/?api=1&amp;query=""&amp;SUBSTITUTE(F36,"" "","""")),""📲 Avisar al cliente""),"""&amp;""")"),"")</f>
        <v/>
      </c>
      <c r="L36" s="5" t="str">
        <f>IFERROR(__xludf.DUMMYFUNCTION("IF(C36&lt;&gt;"""",""https://api.qrserver.com/v1/create-qr-code/?size=200x200&amp;data=""&amp;ENCODEURL(""https://wa.me/507""&amp;REGEXREPLACE(C36,""[^0-9]"","""")&amp;""?text=""&amp;ENCODEURL(""Ya llegue. Codigo: ""&amp;A36&amp;"". Ubicacion: ""&amp;""https://www.google.com/maps/search/?api="&amp;"1&amp;query=""&amp;SUBSTITUTE(F36,"" "",""""))),"""")"),"")</f>
        <v/>
      </c>
      <c r="M36" s="5" t="str">
        <f t="shared" si="6"/>
        <v/>
      </c>
      <c r="N36" s="5" t="str">
        <f>IFERROR(__xludf.DUMMYFUNCTION("IF(AND(F36&lt;&gt;"""",REGEXMATCH(SUBSTITUTE(F36,"" "",""""),""^-?\d+(\.\d+)?,-?\d+(\.\d+)?$""),VALUE(REGEXEXTRACT(SUBSTITUTE(F36,"" "",""""),""^-?\d+(\.\d+)?""))&gt;=-90,VALUE(REGEXEXTRACT(SUBSTITUTE(F36,"" "",""""),""^-?\d+(\.\d+)?""))&lt;=90,VALUE(REGEXEXTRACT(SUB"&amp;"STITUTE(F36,"" "",""""),""-?\d+(\.\d+)?$""))&gt;=-180,VALUE(REGEXEXTRACT(SUBSTITUTE(F36,"" "",""""),""-?\d+(\.\d+)?$""))&lt;=180),""OK"",""REVISAR"")"),"#N/A")</f>
        <v>#N/A</v>
      </c>
    </row>
    <row r="37" ht="15.75" customHeight="1">
      <c r="A37" s="5" t="str">
        <f t="shared" si="1"/>
        <v>AD507-0035</v>
      </c>
      <c r="C37" s="5"/>
      <c r="F37" s="5"/>
      <c r="G37" s="5" t="str">
        <f t="shared" si="2"/>
        <v/>
      </c>
      <c r="H37" s="5" t="str">
        <f t="shared" si="3"/>
        <v/>
      </c>
      <c r="I37" s="5" t="str">
        <f t="shared" si="4"/>
        <v/>
      </c>
      <c r="J37" s="5" t="str">
        <f t="shared" si="5"/>
        <v/>
      </c>
      <c r="K37" s="5" t="str">
        <f>IFERROR(__xludf.DUMMYFUNCTION("IF(C37&lt;&gt;"""",HYPERLINK(""https://wa.me/507""&amp;REGEXREPLACE(C37,""[^0-9]"","""")&amp;""?text=""&amp;ENCODEURL(""Ya llegue. Codigo: ""&amp;A37&amp;"". Ubicacion: ""&amp;""https://www.google.com/maps/search/?api=1&amp;query=""&amp;SUBSTITUTE(F37,"" "","""")),""📲 Avisar al cliente""),"""&amp;""")"),"")</f>
        <v/>
      </c>
      <c r="L37" s="5" t="str">
        <f>IFERROR(__xludf.DUMMYFUNCTION("IF(C37&lt;&gt;"""",""https://api.qrserver.com/v1/create-qr-code/?size=200x200&amp;data=""&amp;ENCODEURL(""https://wa.me/507""&amp;REGEXREPLACE(C37,""[^0-9]"","""")&amp;""?text=""&amp;ENCODEURL(""Ya llegue. Codigo: ""&amp;A37&amp;"". Ubicacion: ""&amp;""https://www.google.com/maps/search/?api="&amp;"1&amp;query=""&amp;SUBSTITUTE(F37,"" "",""""))),"""")"),"")</f>
        <v/>
      </c>
      <c r="M37" s="5" t="str">
        <f t="shared" si="6"/>
        <v/>
      </c>
      <c r="N37" s="5" t="str">
        <f>IFERROR(__xludf.DUMMYFUNCTION("IF(AND(F37&lt;&gt;"""",REGEXMATCH(SUBSTITUTE(F37,"" "",""""),""^-?\d+(\.\d+)?,-?\d+(\.\d+)?$""),VALUE(REGEXEXTRACT(SUBSTITUTE(F37,"" "",""""),""^-?\d+(\.\d+)?""))&gt;=-90,VALUE(REGEXEXTRACT(SUBSTITUTE(F37,"" "",""""),""^-?\d+(\.\d+)?""))&lt;=90,VALUE(REGEXEXTRACT(SUB"&amp;"STITUTE(F37,"" "",""""),""-?\d+(\.\d+)?$""))&gt;=-180,VALUE(REGEXEXTRACT(SUBSTITUTE(F37,"" "",""""),""-?\d+(\.\d+)?$""))&lt;=180),""OK"",""REVISAR"")"),"#N/A")</f>
        <v>#N/A</v>
      </c>
    </row>
    <row r="38" ht="15.75" customHeight="1">
      <c r="A38" s="5" t="str">
        <f t="shared" si="1"/>
        <v>AD507-0036</v>
      </c>
      <c r="C38" s="5"/>
      <c r="F38" s="5"/>
      <c r="G38" s="5" t="str">
        <f t="shared" si="2"/>
        <v/>
      </c>
      <c r="H38" s="5" t="str">
        <f t="shared" si="3"/>
        <v/>
      </c>
      <c r="I38" s="5" t="str">
        <f t="shared" si="4"/>
        <v/>
      </c>
      <c r="J38" s="5" t="str">
        <f t="shared" si="5"/>
        <v/>
      </c>
      <c r="K38" s="5" t="str">
        <f>IFERROR(__xludf.DUMMYFUNCTION("IF(C38&lt;&gt;"""",HYPERLINK(""https://wa.me/507""&amp;REGEXREPLACE(C38,""[^0-9]"","""")&amp;""?text=""&amp;ENCODEURL(""Ya llegue. Codigo: ""&amp;A38&amp;"". Ubicacion: ""&amp;""https://www.google.com/maps/search/?api=1&amp;query=""&amp;SUBSTITUTE(F38,"" "","""")),""📲 Avisar al cliente""),"""&amp;""")"),"")</f>
        <v/>
      </c>
      <c r="L38" s="5" t="str">
        <f>IFERROR(__xludf.DUMMYFUNCTION("IF(C38&lt;&gt;"""",""https://api.qrserver.com/v1/create-qr-code/?size=200x200&amp;data=""&amp;ENCODEURL(""https://wa.me/507""&amp;REGEXREPLACE(C38,""[^0-9]"","""")&amp;""?text=""&amp;ENCODEURL(""Ya llegue. Codigo: ""&amp;A38&amp;"". Ubicacion: ""&amp;""https://www.google.com/maps/search/?api="&amp;"1&amp;query=""&amp;SUBSTITUTE(F38,"" "",""""))),"""")"),"")</f>
        <v/>
      </c>
      <c r="M38" s="5" t="str">
        <f t="shared" si="6"/>
        <v/>
      </c>
      <c r="N38" s="5" t="str">
        <f>IFERROR(__xludf.DUMMYFUNCTION("IF(AND(F38&lt;&gt;"""",REGEXMATCH(SUBSTITUTE(F38,"" "",""""),""^-?\d+(\.\d+)?,-?\d+(\.\d+)?$""),VALUE(REGEXEXTRACT(SUBSTITUTE(F38,"" "",""""),""^-?\d+(\.\d+)?""))&gt;=-90,VALUE(REGEXEXTRACT(SUBSTITUTE(F38,"" "",""""),""^-?\d+(\.\d+)?""))&lt;=90,VALUE(REGEXEXTRACT(SUB"&amp;"STITUTE(F38,"" "",""""),""-?\d+(\.\d+)?$""))&gt;=-180,VALUE(REGEXEXTRACT(SUBSTITUTE(F38,"" "",""""),""-?\d+(\.\d+)?$""))&lt;=180),""OK"",""REVISAR"")"),"#N/A")</f>
        <v>#N/A</v>
      </c>
    </row>
    <row r="39" ht="15.75" customHeight="1">
      <c r="A39" s="5" t="str">
        <f t="shared" si="1"/>
        <v>AD507-0037</v>
      </c>
      <c r="C39" s="5"/>
      <c r="F39" s="5"/>
      <c r="G39" s="5" t="str">
        <f t="shared" si="2"/>
        <v/>
      </c>
      <c r="H39" s="5" t="str">
        <f t="shared" si="3"/>
        <v/>
      </c>
      <c r="I39" s="5" t="str">
        <f t="shared" si="4"/>
        <v/>
      </c>
      <c r="J39" s="5" t="str">
        <f t="shared" si="5"/>
        <v/>
      </c>
      <c r="K39" s="5" t="str">
        <f>IFERROR(__xludf.DUMMYFUNCTION("IF(C39&lt;&gt;"""",HYPERLINK(""https://wa.me/507""&amp;REGEXREPLACE(C39,""[^0-9]"","""")&amp;""?text=""&amp;ENCODEURL(""Ya llegue. Codigo: ""&amp;A39&amp;"". Ubicacion: ""&amp;""https://www.google.com/maps/search/?api=1&amp;query=""&amp;SUBSTITUTE(F39,"" "","""")),""📲 Avisar al cliente""),"""&amp;""")"),"")</f>
        <v/>
      </c>
      <c r="L39" s="5" t="str">
        <f>IFERROR(__xludf.DUMMYFUNCTION("IF(C39&lt;&gt;"""",""https://api.qrserver.com/v1/create-qr-code/?size=200x200&amp;data=""&amp;ENCODEURL(""https://wa.me/507""&amp;REGEXREPLACE(C39,""[^0-9]"","""")&amp;""?text=""&amp;ENCODEURL(""Ya llegue. Codigo: ""&amp;A39&amp;"". Ubicacion: ""&amp;""https://www.google.com/maps/search/?api="&amp;"1&amp;query=""&amp;SUBSTITUTE(F39,"" "",""""))),"""")"),"")</f>
        <v/>
      </c>
      <c r="M39" s="5" t="str">
        <f t="shared" si="6"/>
        <v/>
      </c>
      <c r="N39" s="5" t="str">
        <f>IFERROR(__xludf.DUMMYFUNCTION("IF(AND(F39&lt;&gt;"""",REGEXMATCH(SUBSTITUTE(F39,"" "",""""),""^-?\d+(\.\d+)?,-?\d+(\.\d+)?$""),VALUE(REGEXEXTRACT(SUBSTITUTE(F39,"" "",""""),""^-?\d+(\.\d+)?""))&gt;=-90,VALUE(REGEXEXTRACT(SUBSTITUTE(F39,"" "",""""),""^-?\d+(\.\d+)?""))&lt;=90,VALUE(REGEXEXTRACT(SUB"&amp;"STITUTE(F39,"" "",""""),""-?\d+(\.\d+)?$""))&gt;=-180,VALUE(REGEXEXTRACT(SUBSTITUTE(F39,"" "",""""),""-?\d+(\.\d+)?$""))&lt;=180),""OK"",""REVISAR"")"),"#N/A")</f>
        <v>#N/A</v>
      </c>
    </row>
    <row r="40" ht="15.75" customHeight="1">
      <c r="A40" s="5" t="str">
        <f t="shared" si="1"/>
        <v>AD507-0038</v>
      </c>
      <c r="C40" s="5"/>
      <c r="F40" s="5"/>
      <c r="G40" s="5" t="str">
        <f t="shared" si="2"/>
        <v/>
      </c>
      <c r="H40" s="5" t="str">
        <f t="shared" si="3"/>
        <v/>
      </c>
      <c r="I40" s="5" t="str">
        <f t="shared" si="4"/>
        <v/>
      </c>
      <c r="J40" s="5" t="str">
        <f t="shared" si="5"/>
        <v/>
      </c>
      <c r="K40" s="5" t="str">
        <f>IFERROR(__xludf.DUMMYFUNCTION("IF(C40&lt;&gt;"""",HYPERLINK(""https://wa.me/507""&amp;REGEXREPLACE(C40,""[^0-9]"","""")&amp;""?text=""&amp;ENCODEURL(""Ya llegue. Codigo: ""&amp;A40&amp;"". Ubicacion: ""&amp;""https://www.google.com/maps/search/?api=1&amp;query=""&amp;SUBSTITUTE(F40,"" "","""")),""📲 Avisar al cliente""),"""&amp;""")"),"")</f>
        <v/>
      </c>
      <c r="L40" s="5" t="str">
        <f>IFERROR(__xludf.DUMMYFUNCTION("IF(C40&lt;&gt;"""",""https://api.qrserver.com/v1/create-qr-code/?size=200x200&amp;data=""&amp;ENCODEURL(""https://wa.me/507""&amp;REGEXREPLACE(C40,""[^0-9]"","""")&amp;""?text=""&amp;ENCODEURL(""Ya llegue. Codigo: ""&amp;A40&amp;"". Ubicacion: ""&amp;""https://www.google.com/maps/search/?api="&amp;"1&amp;query=""&amp;SUBSTITUTE(F40,"" "",""""))),"""")"),"")</f>
        <v/>
      </c>
      <c r="M40" s="5" t="str">
        <f t="shared" si="6"/>
        <v/>
      </c>
      <c r="N40" s="5" t="str">
        <f>IFERROR(__xludf.DUMMYFUNCTION("IF(AND(F40&lt;&gt;"""",REGEXMATCH(SUBSTITUTE(F40,"" "",""""),""^-?\d+(\.\d+)?,-?\d+(\.\d+)?$""),VALUE(REGEXEXTRACT(SUBSTITUTE(F40,"" "",""""),""^-?\d+(\.\d+)?""))&gt;=-90,VALUE(REGEXEXTRACT(SUBSTITUTE(F40,"" "",""""),""^-?\d+(\.\d+)?""))&lt;=90,VALUE(REGEXEXTRACT(SUB"&amp;"STITUTE(F40,"" "",""""),""-?\d+(\.\d+)?$""))&gt;=-180,VALUE(REGEXEXTRACT(SUBSTITUTE(F40,"" "",""""),""-?\d+(\.\d+)?$""))&lt;=180),""OK"",""REVISAR"")"),"#N/A")</f>
        <v>#N/A</v>
      </c>
    </row>
    <row r="41" ht="15.75" customHeight="1">
      <c r="A41" s="5" t="str">
        <f t="shared" si="1"/>
        <v>AD507-0039</v>
      </c>
      <c r="C41" s="5"/>
      <c r="F41" s="5"/>
      <c r="G41" s="5" t="str">
        <f t="shared" si="2"/>
        <v/>
      </c>
      <c r="H41" s="5" t="str">
        <f t="shared" si="3"/>
        <v/>
      </c>
      <c r="I41" s="5" t="str">
        <f t="shared" si="4"/>
        <v/>
      </c>
      <c r="J41" s="5" t="str">
        <f t="shared" si="5"/>
        <v/>
      </c>
      <c r="K41" s="5" t="str">
        <f>IFERROR(__xludf.DUMMYFUNCTION("IF(C41&lt;&gt;"""",HYPERLINK(""https://wa.me/507""&amp;REGEXREPLACE(C41,""[^0-9]"","""")&amp;""?text=""&amp;ENCODEURL(""Ya llegue. Codigo: ""&amp;A41&amp;"". Ubicacion: ""&amp;""https://www.google.com/maps/search/?api=1&amp;query=""&amp;SUBSTITUTE(F41,"" "","""")),""📲 Avisar al cliente""),"""&amp;""")"),"")</f>
        <v/>
      </c>
      <c r="L41" s="5" t="str">
        <f>IFERROR(__xludf.DUMMYFUNCTION("IF(C41&lt;&gt;"""",""https://api.qrserver.com/v1/create-qr-code/?size=200x200&amp;data=""&amp;ENCODEURL(""https://wa.me/507""&amp;REGEXREPLACE(C41,""[^0-9]"","""")&amp;""?text=""&amp;ENCODEURL(""Ya llegue. Codigo: ""&amp;A41&amp;"". Ubicacion: ""&amp;""https://www.google.com/maps/search/?api="&amp;"1&amp;query=""&amp;SUBSTITUTE(F41,"" "",""""))),"""")"),"")</f>
        <v/>
      </c>
      <c r="M41" s="5" t="str">
        <f t="shared" si="6"/>
        <v/>
      </c>
      <c r="N41" s="5" t="str">
        <f>IFERROR(__xludf.DUMMYFUNCTION("IF(AND(F41&lt;&gt;"""",REGEXMATCH(SUBSTITUTE(F41,"" "",""""),""^-?\d+(\.\d+)?,-?\d+(\.\d+)?$""),VALUE(REGEXEXTRACT(SUBSTITUTE(F41,"" "",""""),""^-?\d+(\.\d+)?""))&gt;=-90,VALUE(REGEXEXTRACT(SUBSTITUTE(F41,"" "",""""),""^-?\d+(\.\d+)?""))&lt;=90,VALUE(REGEXEXTRACT(SUB"&amp;"STITUTE(F41,"" "",""""),""-?\d+(\.\d+)?$""))&gt;=-180,VALUE(REGEXEXTRACT(SUBSTITUTE(F41,"" "",""""),""-?\d+(\.\d+)?$""))&lt;=180),""OK"",""REVISAR"")"),"#N/A")</f>
        <v>#N/A</v>
      </c>
    </row>
    <row r="42" ht="15.75" customHeight="1">
      <c r="A42" s="5" t="str">
        <f t="shared" si="1"/>
        <v>AD507-0040</v>
      </c>
      <c r="C42" s="5"/>
      <c r="F42" s="5"/>
      <c r="G42" s="5" t="str">
        <f t="shared" si="2"/>
        <v/>
      </c>
      <c r="H42" s="5" t="str">
        <f t="shared" si="3"/>
        <v/>
      </c>
      <c r="I42" s="5" t="str">
        <f t="shared" si="4"/>
        <v/>
      </c>
      <c r="J42" s="5" t="str">
        <f t="shared" si="5"/>
        <v/>
      </c>
      <c r="K42" s="5" t="str">
        <f>IFERROR(__xludf.DUMMYFUNCTION("IF(C42&lt;&gt;"""",HYPERLINK(""https://wa.me/507""&amp;REGEXREPLACE(C42,""[^0-9]"","""")&amp;""?text=""&amp;ENCODEURL(""Ya llegue. Codigo: ""&amp;A42&amp;"". Ubicacion: ""&amp;""https://www.google.com/maps/search/?api=1&amp;query=""&amp;SUBSTITUTE(F42,"" "","""")),""📲 Avisar al cliente""),"""&amp;""")"),"")</f>
        <v/>
      </c>
      <c r="L42" s="5" t="str">
        <f>IFERROR(__xludf.DUMMYFUNCTION("IF(C42&lt;&gt;"""",""https://api.qrserver.com/v1/create-qr-code/?size=200x200&amp;data=""&amp;ENCODEURL(""https://wa.me/507""&amp;REGEXREPLACE(C42,""[^0-9]"","""")&amp;""?text=""&amp;ENCODEURL(""Ya llegue. Codigo: ""&amp;A42&amp;"". Ubicacion: ""&amp;""https://www.google.com/maps/search/?api="&amp;"1&amp;query=""&amp;SUBSTITUTE(F42,"" "",""""))),"""")"),"")</f>
        <v/>
      </c>
      <c r="M42" s="5" t="str">
        <f t="shared" si="6"/>
        <v/>
      </c>
      <c r="N42" s="5" t="str">
        <f>IFERROR(__xludf.DUMMYFUNCTION("IF(AND(F42&lt;&gt;"""",REGEXMATCH(SUBSTITUTE(F42,"" "",""""),""^-?\d+(\.\d+)?,-?\d+(\.\d+)?$""),VALUE(REGEXEXTRACT(SUBSTITUTE(F42,"" "",""""),""^-?\d+(\.\d+)?""))&gt;=-90,VALUE(REGEXEXTRACT(SUBSTITUTE(F42,"" "",""""),""^-?\d+(\.\d+)?""))&lt;=90,VALUE(REGEXEXTRACT(SUB"&amp;"STITUTE(F42,"" "",""""),""-?\d+(\.\d+)?$""))&gt;=-180,VALUE(REGEXEXTRACT(SUBSTITUTE(F42,"" "",""""),""-?\d+(\.\d+)?$""))&lt;=180),""OK"",""REVISAR"")"),"#N/A")</f>
        <v>#N/A</v>
      </c>
    </row>
    <row r="43" ht="15.75" customHeight="1">
      <c r="A43" s="5" t="str">
        <f t="shared" si="1"/>
        <v>AD507-0041</v>
      </c>
      <c r="C43" s="5"/>
      <c r="F43" s="5"/>
      <c r="G43" s="5" t="str">
        <f t="shared" si="2"/>
        <v/>
      </c>
      <c r="H43" s="5" t="str">
        <f t="shared" si="3"/>
        <v/>
      </c>
      <c r="I43" s="5" t="str">
        <f t="shared" si="4"/>
        <v/>
      </c>
      <c r="J43" s="5" t="str">
        <f t="shared" si="5"/>
        <v/>
      </c>
      <c r="K43" s="5" t="str">
        <f>IFERROR(__xludf.DUMMYFUNCTION("IF(C43&lt;&gt;"""",HYPERLINK(""https://wa.me/507""&amp;REGEXREPLACE(C43,""[^0-9]"","""")&amp;""?text=""&amp;ENCODEURL(""Ya llegue. Codigo: ""&amp;A43&amp;"". Ubicacion: ""&amp;""https://www.google.com/maps/search/?api=1&amp;query=""&amp;SUBSTITUTE(F43,"" "","""")),""📲 Avisar al cliente""),"""&amp;""")"),"")</f>
        <v/>
      </c>
      <c r="L43" s="5" t="str">
        <f>IFERROR(__xludf.DUMMYFUNCTION("IF(C43&lt;&gt;"""",""https://api.qrserver.com/v1/create-qr-code/?size=200x200&amp;data=""&amp;ENCODEURL(""https://wa.me/507""&amp;REGEXREPLACE(C43,""[^0-9]"","""")&amp;""?text=""&amp;ENCODEURL(""Ya llegue. Codigo: ""&amp;A43&amp;"". Ubicacion: ""&amp;""https://www.google.com/maps/search/?api="&amp;"1&amp;query=""&amp;SUBSTITUTE(F43,"" "",""""))),"""")"),"")</f>
        <v/>
      </c>
      <c r="M43" s="5" t="str">
        <f t="shared" si="6"/>
        <v/>
      </c>
      <c r="N43" s="5" t="str">
        <f>IFERROR(__xludf.DUMMYFUNCTION("IF(AND(F43&lt;&gt;"""",REGEXMATCH(SUBSTITUTE(F43,"" "",""""),""^-?\d+(\.\d+)?,-?\d+(\.\d+)?$""),VALUE(REGEXEXTRACT(SUBSTITUTE(F43,"" "",""""),""^-?\d+(\.\d+)?""))&gt;=-90,VALUE(REGEXEXTRACT(SUBSTITUTE(F43,"" "",""""),""^-?\d+(\.\d+)?""))&lt;=90,VALUE(REGEXEXTRACT(SUB"&amp;"STITUTE(F43,"" "",""""),""-?\d+(\.\d+)?$""))&gt;=-180,VALUE(REGEXEXTRACT(SUBSTITUTE(F43,"" "",""""),""-?\d+(\.\d+)?$""))&lt;=180),""OK"",""REVISAR"")"),"#N/A")</f>
        <v>#N/A</v>
      </c>
    </row>
    <row r="44" ht="15.75" customHeight="1">
      <c r="A44" s="5" t="str">
        <f t="shared" si="1"/>
        <v>AD507-0042</v>
      </c>
      <c r="C44" s="5"/>
      <c r="F44" s="5"/>
      <c r="G44" s="5" t="str">
        <f t="shared" si="2"/>
        <v/>
      </c>
      <c r="H44" s="5" t="str">
        <f t="shared" si="3"/>
        <v/>
      </c>
      <c r="I44" s="5" t="str">
        <f t="shared" si="4"/>
        <v/>
      </c>
      <c r="J44" s="5" t="str">
        <f t="shared" si="5"/>
        <v/>
      </c>
      <c r="K44" s="5" t="str">
        <f>IFERROR(__xludf.DUMMYFUNCTION("IF(C44&lt;&gt;"""",HYPERLINK(""https://wa.me/507""&amp;REGEXREPLACE(C44,""[^0-9]"","""")&amp;""?text=""&amp;ENCODEURL(""Ya llegue. Codigo: ""&amp;A44&amp;"". Ubicacion: ""&amp;""https://www.google.com/maps/search/?api=1&amp;query=""&amp;SUBSTITUTE(F44,"" "","""")),""📲 Avisar al cliente""),"""&amp;""")"),"")</f>
        <v/>
      </c>
      <c r="L44" s="5" t="str">
        <f>IFERROR(__xludf.DUMMYFUNCTION("IF(C44&lt;&gt;"""",""https://api.qrserver.com/v1/create-qr-code/?size=200x200&amp;data=""&amp;ENCODEURL(""https://wa.me/507""&amp;REGEXREPLACE(C44,""[^0-9]"","""")&amp;""?text=""&amp;ENCODEURL(""Ya llegue. Codigo: ""&amp;A44&amp;"". Ubicacion: ""&amp;""https://www.google.com/maps/search/?api="&amp;"1&amp;query=""&amp;SUBSTITUTE(F44,"" "",""""))),"""")"),"")</f>
        <v/>
      </c>
      <c r="M44" s="5" t="str">
        <f t="shared" si="6"/>
        <v/>
      </c>
      <c r="N44" s="5" t="str">
        <f>IFERROR(__xludf.DUMMYFUNCTION("IF(AND(F44&lt;&gt;"""",REGEXMATCH(SUBSTITUTE(F44,"" "",""""),""^-?\d+(\.\d+)?,-?\d+(\.\d+)?$""),VALUE(REGEXEXTRACT(SUBSTITUTE(F44,"" "",""""),""^-?\d+(\.\d+)?""))&gt;=-90,VALUE(REGEXEXTRACT(SUBSTITUTE(F44,"" "",""""),""^-?\d+(\.\d+)?""))&lt;=90,VALUE(REGEXEXTRACT(SUB"&amp;"STITUTE(F44,"" "",""""),""-?\d+(\.\d+)?$""))&gt;=-180,VALUE(REGEXEXTRACT(SUBSTITUTE(F44,"" "",""""),""-?\d+(\.\d+)?$""))&lt;=180),""OK"",""REVISAR"")"),"#N/A")</f>
        <v>#N/A</v>
      </c>
    </row>
    <row r="45" ht="15.75" customHeight="1">
      <c r="A45" s="5" t="str">
        <f t="shared" si="1"/>
        <v>AD507-0043</v>
      </c>
      <c r="C45" s="5"/>
      <c r="F45" s="5"/>
      <c r="G45" s="5" t="str">
        <f t="shared" si="2"/>
        <v/>
      </c>
      <c r="H45" s="5" t="str">
        <f t="shared" si="3"/>
        <v/>
      </c>
      <c r="I45" s="5" t="str">
        <f t="shared" si="4"/>
        <v/>
      </c>
      <c r="J45" s="5" t="str">
        <f t="shared" si="5"/>
        <v/>
      </c>
      <c r="K45" s="5" t="str">
        <f>IFERROR(__xludf.DUMMYFUNCTION("IF(C45&lt;&gt;"""",HYPERLINK(""https://wa.me/507""&amp;REGEXREPLACE(C45,""[^0-9]"","""")&amp;""?text=""&amp;ENCODEURL(""Ya llegue. Codigo: ""&amp;A45&amp;"". Ubicacion: ""&amp;""https://www.google.com/maps/search/?api=1&amp;query=""&amp;SUBSTITUTE(F45,"" "","""")),""📲 Avisar al cliente""),"""&amp;""")"),"")</f>
        <v/>
      </c>
      <c r="L45" s="5" t="str">
        <f>IFERROR(__xludf.DUMMYFUNCTION("IF(C45&lt;&gt;"""",""https://api.qrserver.com/v1/create-qr-code/?size=200x200&amp;data=""&amp;ENCODEURL(""https://wa.me/507""&amp;REGEXREPLACE(C45,""[^0-9]"","""")&amp;""?text=""&amp;ENCODEURL(""Ya llegue. Codigo: ""&amp;A45&amp;"". Ubicacion: ""&amp;""https://www.google.com/maps/search/?api="&amp;"1&amp;query=""&amp;SUBSTITUTE(F45,"" "",""""))),"""")"),"")</f>
        <v/>
      </c>
      <c r="M45" s="5" t="str">
        <f t="shared" si="6"/>
        <v/>
      </c>
      <c r="N45" s="5" t="str">
        <f>IFERROR(__xludf.DUMMYFUNCTION("IF(AND(F45&lt;&gt;"""",REGEXMATCH(SUBSTITUTE(F45,"" "",""""),""^-?\d+(\.\d+)?,-?\d+(\.\d+)?$""),VALUE(REGEXEXTRACT(SUBSTITUTE(F45,"" "",""""),""^-?\d+(\.\d+)?""))&gt;=-90,VALUE(REGEXEXTRACT(SUBSTITUTE(F45,"" "",""""),""^-?\d+(\.\d+)?""))&lt;=90,VALUE(REGEXEXTRACT(SUB"&amp;"STITUTE(F45,"" "",""""),""-?\d+(\.\d+)?$""))&gt;=-180,VALUE(REGEXEXTRACT(SUBSTITUTE(F45,"" "",""""),""-?\d+(\.\d+)?$""))&lt;=180),""OK"",""REVISAR"")"),"#N/A")</f>
        <v>#N/A</v>
      </c>
    </row>
    <row r="46" ht="15.75" customHeight="1">
      <c r="A46" s="5" t="str">
        <f t="shared" si="1"/>
        <v>AD507-0044</v>
      </c>
      <c r="C46" s="5"/>
      <c r="F46" s="5"/>
      <c r="G46" s="5" t="str">
        <f t="shared" si="2"/>
        <v/>
      </c>
      <c r="H46" s="5" t="str">
        <f t="shared" si="3"/>
        <v/>
      </c>
      <c r="I46" s="5" t="str">
        <f t="shared" si="4"/>
        <v/>
      </c>
      <c r="J46" s="5" t="str">
        <f t="shared" si="5"/>
        <v/>
      </c>
      <c r="K46" s="5" t="str">
        <f>IFERROR(__xludf.DUMMYFUNCTION("IF(C46&lt;&gt;"""",HYPERLINK(""https://wa.me/507""&amp;REGEXREPLACE(C46,""[^0-9]"","""")&amp;""?text=""&amp;ENCODEURL(""Ya llegue. Codigo: ""&amp;A46&amp;"". Ubicacion: ""&amp;""https://www.google.com/maps/search/?api=1&amp;query=""&amp;SUBSTITUTE(F46,"" "","""")),""📲 Avisar al cliente""),"""&amp;""")"),"")</f>
        <v/>
      </c>
      <c r="L46" s="5" t="str">
        <f>IFERROR(__xludf.DUMMYFUNCTION("IF(C46&lt;&gt;"""",""https://api.qrserver.com/v1/create-qr-code/?size=200x200&amp;data=""&amp;ENCODEURL(""https://wa.me/507""&amp;REGEXREPLACE(C46,""[^0-9]"","""")&amp;""?text=""&amp;ENCODEURL(""Ya llegue. Codigo: ""&amp;A46&amp;"". Ubicacion: ""&amp;""https://www.google.com/maps/search/?api="&amp;"1&amp;query=""&amp;SUBSTITUTE(F46,"" "",""""))),"""")"),"")</f>
        <v/>
      </c>
      <c r="M46" s="5" t="str">
        <f t="shared" si="6"/>
        <v/>
      </c>
      <c r="N46" s="5" t="str">
        <f>IFERROR(__xludf.DUMMYFUNCTION("IF(AND(F46&lt;&gt;"""",REGEXMATCH(SUBSTITUTE(F46,"" "",""""),""^-?\d+(\.\d+)?,-?\d+(\.\d+)?$""),VALUE(REGEXEXTRACT(SUBSTITUTE(F46,"" "",""""),""^-?\d+(\.\d+)?""))&gt;=-90,VALUE(REGEXEXTRACT(SUBSTITUTE(F46,"" "",""""),""^-?\d+(\.\d+)?""))&lt;=90,VALUE(REGEXEXTRACT(SUB"&amp;"STITUTE(F46,"" "",""""),""-?\d+(\.\d+)?$""))&gt;=-180,VALUE(REGEXEXTRACT(SUBSTITUTE(F46,"" "",""""),""-?\d+(\.\d+)?$""))&lt;=180),""OK"",""REVISAR"")"),"#N/A")</f>
        <v>#N/A</v>
      </c>
    </row>
    <row r="47" ht="15.75" customHeight="1">
      <c r="A47" s="5" t="str">
        <f t="shared" si="1"/>
        <v>AD507-0045</v>
      </c>
      <c r="C47" s="5"/>
      <c r="F47" s="5"/>
      <c r="G47" s="5" t="str">
        <f t="shared" si="2"/>
        <v/>
      </c>
      <c r="H47" s="5" t="str">
        <f t="shared" si="3"/>
        <v/>
      </c>
      <c r="I47" s="5" t="str">
        <f t="shared" si="4"/>
        <v/>
      </c>
      <c r="J47" s="5" t="str">
        <f t="shared" si="5"/>
        <v/>
      </c>
      <c r="K47" s="5" t="str">
        <f>IFERROR(__xludf.DUMMYFUNCTION("IF(C47&lt;&gt;"""",HYPERLINK(""https://wa.me/507""&amp;REGEXREPLACE(C47,""[^0-9]"","""")&amp;""?text=""&amp;ENCODEURL(""Ya llegue. Codigo: ""&amp;A47&amp;"". Ubicacion: ""&amp;""https://www.google.com/maps/search/?api=1&amp;query=""&amp;SUBSTITUTE(F47,"" "","""")),""📲 Avisar al cliente""),"""&amp;""")"),"")</f>
        <v/>
      </c>
      <c r="L47" s="5" t="str">
        <f>IFERROR(__xludf.DUMMYFUNCTION("IF(C47&lt;&gt;"""",""https://api.qrserver.com/v1/create-qr-code/?size=200x200&amp;data=""&amp;ENCODEURL(""https://wa.me/507""&amp;REGEXREPLACE(C47,""[^0-9]"","""")&amp;""?text=""&amp;ENCODEURL(""Ya llegue. Codigo: ""&amp;A47&amp;"". Ubicacion: ""&amp;""https://www.google.com/maps/search/?api="&amp;"1&amp;query=""&amp;SUBSTITUTE(F47,"" "",""""))),"""")"),"")</f>
        <v/>
      </c>
      <c r="M47" s="5" t="str">
        <f t="shared" si="6"/>
        <v/>
      </c>
      <c r="N47" s="5" t="str">
        <f>IFERROR(__xludf.DUMMYFUNCTION("IF(AND(F47&lt;&gt;"""",REGEXMATCH(SUBSTITUTE(F47,"" "",""""),""^-?\d+(\.\d+)?,-?\d+(\.\d+)?$""),VALUE(REGEXEXTRACT(SUBSTITUTE(F47,"" "",""""),""^-?\d+(\.\d+)?""))&gt;=-90,VALUE(REGEXEXTRACT(SUBSTITUTE(F47,"" "",""""),""^-?\d+(\.\d+)?""))&lt;=90,VALUE(REGEXEXTRACT(SUB"&amp;"STITUTE(F47,"" "",""""),""-?\d+(\.\d+)?$""))&gt;=-180,VALUE(REGEXEXTRACT(SUBSTITUTE(F47,"" "",""""),""-?\d+(\.\d+)?$""))&lt;=180),""OK"",""REVISAR"")"),"#N/A")</f>
        <v>#N/A</v>
      </c>
    </row>
    <row r="48" ht="15.75" customHeight="1">
      <c r="A48" s="5" t="str">
        <f t="shared" si="1"/>
        <v>AD507-0046</v>
      </c>
      <c r="C48" s="5"/>
      <c r="F48" s="5"/>
      <c r="G48" s="5" t="str">
        <f t="shared" si="2"/>
        <v/>
      </c>
      <c r="H48" s="5" t="str">
        <f t="shared" si="3"/>
        <v/>
      </c>
      <c r="I48" s="5" t="str">
        <f t="shared" si="4"/>
        <v/>
      </c>
      <c r="J48" s="5" t="str">
        <f t="shared" si="5"/>
        <v/>
      </c>
      <c r="K48" s="5" t="str">
        <f>IFERROR(__xludf.DUMMYFUNCTION("IF(C48&lt;&gt;"""",HYPERLINK(""https://wa.me/507""&amp;REGEXREPLACE(C48,""[^0-9]"","""")&amp;""?text=""&amp;ENCODEURL(""Ya llegue. Codigo: ""&amp;A48&amp;"". Ubicacion: ""&amp;""https://www.google.com/maps/search/?api=1&amp;query=""&amp;SUBSTITUTE(F48,"" "","""")),""📲 Avisar al cliente""),"""&amp;""")"),"")</f>
        <v/>
      </c>
      <c r="L48" s="5" t="str">
        <f>IFERROR(__xludf.DUMMYFUNCTION("IF(C48&lt;&gt;"""",""https://api.qrserver.com/v1/create-qr-code/?size=200x200&amp;data=""&amp;ENCODEURL(""https://wa.me/507""&amp;REGEXREPLACE(C48,""[^0-9]"","""")&amp;""?text=""&amp;ENCODEURL(""Ya llegue. Codigo: ""&amp;A48&amp;"". Ubicacion: ""&amp;""https://www.google.com/maps/search/?api="&amp;"1&amp;query=""&amp;SUBSTITUTE(F48,"" "",""""))),"""")"),"")</f>
        <v/>
      </c>
      <c r="M48" s="5" t="str">
        <f t="shared" si="6"/>
        <v/>
      </c>
      <c r="N48" s="5" t="str">
        <f>IFERROR(__xludf.DUMMYFUNCTION("IF(AND(F48&lt;&gt;"""",REGEXMATCH(SUBSTITUTE(F48,"" "",""""),""^-?\d+(\.\d+)?,-?\d+(\.\d+)?$""),VALUE(REGEXEXTRACT(SUBSTITUTE(F48,"" "",""""),""^-?\d+(\.\d+)?""))&gt;=-90,VALUE(REGEXEXTRACT(SUBSTITUTE(F48,"" "",""""),""^-?\d+(\.\d+)?""))&lt;=90,VALUE(REGEXEXTRACT(SUB"&amp;"STITUTE(F48,"" "",""""),""-?\d+(\.\d+)?$""))&gt;=-180,VALUE(REGEXEXTRACT(SUBSTITUTE(F48,"" "",""""),""-?\d+(\.\d+)?$""))&lt;=180),""OK"",""REVISAR"")"),"#N/A")</f>
        <v>#N/A</v>
      </c>
    </row>
    <row r="49" ht="15.75" customHeight="1">
      <c r="A49" s="5" t="str">
        <f t="shared" si="1"/>
        <v>AD507-0047</v>
      </c>
      <c r="C49" s="5"/>
      <c r="F49" s="5"/>
      <c r="G49" s="5" t="str">
        <f t="shared" si="2"/>
        <v/>
      </c>
      <c r="H49" s="5" t="str">
        <f t="shared" si="3"/>
        <v/>
      </c>
      <c r="I49" s="5" t="str">
        <f t="shared" si="4"/>
        <v/>
      </c>
      <c r="J49" s="5" t="str">
        <f t="shared" si="5"/>
        <v/>
      </c>
      <c r="K49" s="5" t="str">
        <f>IFERROR(__xludf.DUMMYFUNCTION("IF(C49&lt;&gt;"""",HYPERLINK(""https://wa.me/507""&amp;REGEXREPLACE(C49,""[^0-9]"","""")&amp;""?text=""&amp;ENCODEURL(""Ya llegue. Codigo: ""&amp;A49&amp;"". Ubicacion: ""&amp;""https://www.google.com/maps/search/?api=1&amp;query=""&amp;SUBSTITUTE(F49,"" "","""")),""📲 Avisar al cliente""),"""&amp;""")"),"")</f>
        <v/>
      </c>
      <c r="L49" s="5" t="str">
        <f>IFERROR(__xludf.DUMMYFUNCTION("IF(C49&lt;&gt;"""",""https://api.qrserver.com/v1/create-qr-code/?size=200x200&amp;data=""&amp;ENCODEURL(""https://wa.me/507""&amp;REGEXREPLACE(C49,""[^0-9]"","""")&amp;""?text=""&amp;ENCODEURL(""Ya llegue. Codigo: ""&amp;A49&amp;"". Ubicacion: ""&amp;""https://www.google.com/maps/search/?api="&amp;"1&amp;query=""&amp;SUBSTITUTE(F49,"" "",""""))),"""")"),"")</f>
        <v/>
      </c>
      <c r="M49" s="5" t="str">
        <f t="shared" si="6"/>
        <v/>
      </c>
      <c r="N49" s="5" t="str">
        <f>IFERROR(__xludf.DUMMYFUNCTION("IF(AND(F49&lt;&gt;"""",REGEXMATCH(SUBSTITUTE(F49,"" "",""""),""^-?\d+(\.\d+)?,-?\d+(\.\d+)?$""),VALUE(REGEXEXTRACT(SUBSTITUTE(F49,"" "",""""),""^-?\d+(\.\d+)?""))&gt;=-90,VALUE(REGEXEXTRACT(SUBSTITUTE(F49,"" "",""""),""^-?\d+(\.\d+)?""))&lt;=90,VALUE(REGEXEXTRACT(SUB"&amp;"STITUTE(F49,"" "",""""),""-?\d+(\.\d+)?$""))&gt;=-180,VALUE(REGEXEXTRACT(SUBSTITUTE(F49,"" "",""""),""-?\d+(\.\d+)?$""))&lt;=180),""OK"",""REVISAR"")"),"#N/A")</f>
        <v>#N/A</v>
      </c>
    </row>
    <row r="50" ht="15.75" customHeight="1">
      <c r="A50" s="5" t="str">
        <f t="shared" si="1"/>
        <v>AD507-0048</v>
      </c>
      <c r="C50" s="5"/>
      <c r="F50" s="5"/>
      <c r="G50" s="5" t="str">
        <f t="shared" si="2"/>
        <v/>
      </c>
      <c r="H50" s="5" t="str">
        <f t="shared" si="3"/>
        <v/>
      </c>
      <c r="I50" s="5" t="str">
        <f t="shared" si="4"/>
        <v/>
      </c>
      <c r="J50" s="5" t="str">
        <f t="shared" si="5"/>
        <v/>
      </c>
      <c r="K50" s="5" t="str">
        <f>IFERROR(__xludf.DUMMYFUNCTION("IF(C50&lt;&gt;"""",HYPERLINK(""https://wa.me/507""&amp;REGEXREPLACE(C50,""[^0-9]"","""")&amp;""?text=""&amp;ENCODEURL(""Ya llegue. Codigo: ""&amp;A50&amp;"". Ubicacion: ""&amp;""https://www.google.com/maps/search/?api=1&amp;query=""&amp;SUBSTITUTE(F50,"" "","""")),""📲 Avisar al cliente""),"""&amp;""")"),"")</f>
        <v/>
      </c>
      <c r="L50" s="5" t="str">
        <f>IFERROR(__xludf.DUMMYFUNCTION("IF(C50&lt;&gt;"""",""https://api.qrserver.com/v1/create-qr-code/?size=200x200&amp;data=""&amp;ENCODEURL(""https://wa.me/507""&amp;REGEXREPLACE(C50,""[^0-9]"","""")&amp;""?text=""&amp;ENCODEURL(""Ya llegue. Codigo: ""&amp;A50&amp;"". Ubicacion: ""&amp;""https://www.google.com/maps/search/?api="&amp;"1&amp;query=""&amp;SUBSTITUTE(F50,"" "",""""))),"""")"),"")</f>
        <v/>
      </c>
      <c r="M50" s="5" t="str">
        <f t="shared" si="6"/>
        <v/>
      </c>
      <c r="N50" s="5" t="str">
        <f>IFERROR(__xludf.DUMMYFUNCTION("IF(AND(F50&lt;&gt;"""",REGEXMATCH(SUBSTITUTE(F50,"" "",""""),""^-?\d+(\.\d+)?,-?\d+(\.\d+)?$""),VALUE(REGEXEXTRACT(SUBSTITUTE(F50,"" "",""""),""^-?\d+(\.\d+)?""))&gt;=-90,VALUE(REGEXEXTRACT(SUBSTITUTE(F50,"" "",""""),""^-?\d+(\.\d+)?""))&lt;=90,VALUE(REGEXEXTRACT(SUB"&amp;"STITUTE(F50,"" "",""""),""-?\d+(\.\d+)?$""))&gt;=-180,VALUE(REGEXEXTRACT(SUBSTITUTE(F50,"" "",""""),""-?\d+(\.\d+)?$""))&lt;=180),""OK"",""REVISAR"")"),"#N/A")</f>
        <v>#N/A</v>
      </c>
    </row>
    <row r="51" ht="15.75" customHeight="1">
      <c r="A51" s="5" t="str">
        <f t="shared" si="1"/>
        <v>AD507-0049</v>
      </c>
      <c r="C51" s="5"/>
      <c r="F51" s="5"/>
      <c r="G51" s="5" t="str">
        <f t="shared" si="2"/>
        <v/>
      </c>
      <c r="H51" s="5" t="str">
        <f t="shared" si="3"/>
        <v/>
      </c>
      <c r="I51" s="5" t="str">
        <f t="shared" si="4"/>
        <v/>
      </c>
      <c r="J51" s="5" t="str">
        <f t="shared" si="5"/>
        <v/>
      </c>
      <c r="K51" s="5" t="str">
        <f>IFERROR(__xludf.DUMMYFUNCTION("IF(C51&lt;&gt;"""",HYPERLINK(""https://wa.me/507""&amp;REGEXREPLACE(C51,""[^0-9]"","""")&amp;""?text=""&amp;ENCODEURL(""Ya llegue. Codigo: ""&amp;A51&amp;"". Ubicacion: ""&amp;""https://www.google.com/maps/search/?api=1&amp;query=""&amp;SUBSTITUTE(F51,"" "","""")),""📲 Avisar al cliente""),"""&amp;""")"),"")</f>
        <v/>
      </c>
      <c r="L51" s="5" t="str">
        <f>IFERROR(__xludf.DUMMYFUNCTION("IF(C51&lt;&gt;"""",""https://api.qrserver.com/v1/create-qr-code/?size=200x200&amp;data=""&amp;ENCODEURL(""https://wa.me/507""&amp;REGEXREPLACE(C51,""[^0-9]"","""")&amp;""?text=""&amp;ENCODEURL(""Ya llegue. Codigo: ""&amp;A51&amp;"". Ubicacion: ""&amp;""https://www.google.com/maps/search/?api="&amp;"1&amp;query=""&amp;SUBSTITUTE(F51,"" "",""""))),"""")"),"")</f>
        <v/>
      </c>
      <c r="M51" s="5" t="str">
        <f t="shared" si="6"/>
        <v/>
      </c>
      <c r="N51" s="5" t="str">
        <f>IFERROR(__xludf.DUMMYFUNCTION("IF(AND(F51&lt;&gt;"""",REGEXMATCH(SUBSTITUTE(F51,"" "",""""),""^-?\d+(\.\d+)?,-?\d+(\.\d+)?$""),VALUE(REGEXEXTRACT(SUBSTITUTE(F51,"" "",""""),""^-?\d+(\.\d+)?""))&gt;=-90,VALUE(REGEXEXTRACT(SUBSTITUTE(F51,"" "",""""),""^-?\d+(\.\d+)?""))&lt;=90,VALUE(REGEXEXTRACT(SUB"&amp;"STITUTE(F51,"" "",""""),""-?\d+(\.\d+)?$""))&gt;=-180,VALUE(REGEXEXTRACT(SUBSTITUTE(F51,"" "",""""),""-?\d+(\.\d+)?$""))&lt;=180),""OK"",""REVISAR"")"),"#N/A")</f>
        <v>#N/A</v>
      </c>
    </row>
    <row r="52" ht="15.75" customHeight="1">
      <c r="A52" s="5" t="str">
        <f t="shared" si="1"/>
        <v>AD507-0050</v>
      </c>
      <c r="C52" s="5"/>
      <c r="F52" s="5"/>
      <c r="G52" s="5" t="str">
        <f t="shared" si="2"/>
        <v/>
      </c>
      <c r="H52" s="5" t="str">
        <f t="shared" si="3"/>
        <v/>
      </c>
      <c r="I52" s="5" t="str">
        <f t="shared" si="4"/>
        <v/>
      </c>
      <c r="J52" s="5" t="str">
        <f t="shared" si="5"/>
        <v/>
      </c>
      <c r="K52" s="5" t="str">
        <f>IFERROR(__xludf.DUMMYFUNCTION("IF(C52&lt;&gt;"""",HYPERLINK(""https://wa.me/507""&amp;REGEXREPLACE(C52,""[^0-9]"","""")&amp;""?text=""&amp;ENCODEURL(""Ya llegue. Codigo: ""&amp;A52&amp;"". Ubicacion: ""&amp;""https://www.google.com/maps/search/?api=1&amp;query=""&amp;SUBSTITUTE(F52,"" "","""")),""📲 Avisar al cliente""),"""&amp;""")"),"")</f>
        <v/>
      </c>
      <c r="L52" s="5" t="str">
        <f>IFERROR(__xludf.DUMMYFUNCTION("IF(C52&lt;&gt;"""",""https://api.qrserver.com/v1/create-qr-code/?size=200x200&amp;data=""&amp;ENCODEURL(""https://wa.me/507""&amp;REGEXREPLACE(C52,""[^0-9]"","""")&amp;""?text=""&amp;ENCODEURL(""Ya llegue. Codigo: ""&amp;A52&amp;"". Ubicacion: ""&amp;""https://www.google.com/maps/search/?api="&amp;"1&amp;query=""&amp;SUBSTITUTE(F52,"" "",""""))),"""")"),"")</f>
        <v/>
      </c>
      <c r="M52" s="5" t="str">
        <f t="shared" si="6"/>
        <v/>
      </c>
      <c r="N52" s="5" t="str">
        <f>IFERROR(__xludf.DUMMYFUNCTION("IF(AND(F52&lt;&gt;"""",REGEXMATCH(SUBSTITUTE(F52,"" "",""""),""^-?\d+(\.\d+)?,-?\d+(\.\d+)?$""),VALUE(REGEXEXTRACT(SUBSTITUTE(F52,"" "",""""),""^-?\d+(\.\d+)?""))&gt;=-90,VALUE(REGEXEXTRACT(SUBSTITUTE(F52,"" "",""""),""^-?\d+(\.\d+)?""))&lt;=90,VALUE(REGEXEXTRACT(SUB"&amp;"STITUTE(F52,"" "",""""),""-?\d+(\.\d+)?$""))&gt;=-180,VALUE(REGEXEXTRACT(SUBSTITUTE(F52,"" "",""""),""-?\d+(\.\d+)?$""))&lt;=180),""OK"",""REVISAR"")"),"#N/A")</f>
        <v>#N/A</v>
      </c>
    </row>
    <row r="53" ht="15.75" customHeight="1">
      <c r="A53" s="5" t="str">
        <f t="shared" si="1"/>
        <v>AD507-0051</v>
      </c>
      <c r="C53" s="5"/>
      <c r="F53" s="5"/>
      <c r="G53" s="5" t="str">
        <f t="shared" si="2"/>
        <v/>
      </c>
      <c r="H53" s="5" t="str">
        <f t="shared" si="3"/>
        <v/>
      </c>
      <c r="I53" s="5" t="str">
        <f t="shared" si="4"/>
        <v/>
      </c>
      <c r="J53" s="5" t="str">
        <f t="shared" si="5"/>
        <v/>
      </c>
      <c r="K53" s="5" t="str">
        <f>IFERROR(__xludf.DUMMYFUNCTION("IF(C53&lt;&gt;"""",HYPERLINK(""https://wa.me/507""&amp;REGEXREPLACE(C53,""[^0-9]"","""")&amp;""?text=""&amp;ENCODEURL(""Ya llegue. Codigo: ""&amp;A53&amp;"". Ubicacion: ""&amp;""https://www.google.com/maps/search/?api=1&amp;query=""&amp;SUBSTITUTE(F53,"" "","""")),""📲 Avisar al cliente""),"""&amp;""")"),"")</f>
        <v/>
      </c>
      <c r="L53" s="5" t="str">
        <f>IFERROR(__xludf.DUMMYFUNCTION("IF(C53&lt;&gt;"""",""https://api.qrserver.com/v1/create-qr-code/?size=200x200&amp;data=""&amp;ENCODEURL(""https://wa.me/507""&amp;REGEXREPLACE(C53,""[^0-9]"","""")&amp;""?text=""&amp;ENCODEURL(""Ya llegue. Codigo: ""&amp;A53&amp;"". Ubicacion: ""&amp;""https://www.google.com/maps/search/?api="&amp;"1&amp;query=""&amp;SUBSTITUTE(F53,"" "",""""))),"""")"),"")</f>
        <v/>
      </c>
      <c r="M53" s="5" t="str">
        <f t="shared" si="6"/>
        <v/>
      </c>
      <c r="N53" s="5" t="str">
        <f>IFERROR(__xludf.DUMMYFUNCTION("IF(AND(F53&lt;&gt;"""",REGEXMATCH(SUBSTITUTE(F53,"" "",""""),""^-?\d+(\.\d+)?,-?\d+(\.\d+)?$""),VALUE(REGEXEXTRACT(SUBSTITUTE(F53,"" "",""""),""^-?\d+(\.\d+)?""))&gt;=-90,VALUE(REGEXEXTRACT(SUBSTITUTE(F53,"" "",""""),""^-?\d+(\.\d+)?""))&lt;=90,VALUE(REGEXEXTRACT(SUB"&amp;"STITUTE(F53,"" "",""""),""-?\d+(\.\d+)?$""))&gt;=-180,VALUE(REGEXEXTRACT(SUBSTITUTE(F53,"" "",""""),""-?\d+(\.\d+)?$""))&lt;=180),""OK"",""REVISAR"")"),"#N/A")</f>
        <v>#N/A</v>
      </c>
    </row>
    <row r="54" ht="15.75" customHeight="1">
      <c r="A54" s="5" t="str">
        <f t="shared" si="1"/>
        <v>AD507-0052</v>
      </c>
      <c r="C54" s="5"/>
      <c r="F54" s="5"/>
      <c r="G54" s="5" t="str">
        <f t="shared" si="2"/>
        <v/>
      </c>
      <c r="H54" s="5" t="str">
        <f t="shared" si="3"/>
        <v/>
      </c>
      <c r="I54" s="5" t="str">
        <f t="shared" si="4"/>
        <v/>
      </c>
      <c r="J54" s="5" t="str">
        <f t="shared" si="5"/>
        <v/>
      </c>
      <c r="K54" s="5" t="str">
        <f>IFERROR(__xludf.DUMMYFUNCTION("IF(C54&lt;&gt;"""",HYPERLINK(""https://wa.me/507""&amp;REGEXREPLACE(C54,""[^0-9]"","""")&amp;""?text=""&amp;ENCODEURL(""Ya llegue. Codigo: ""&amp;A54&amp;"". Ubicacion: ""&amp;""https://www.google.com/maps/search/?api=1&amp;query=""&amp;SUBSTITUTE(F54,"" "","""")),""📲 Avisar al cliente""),"""&amp;""")"),"")</f>
        <v/>
      </c>
      <c r="L54" s="5" t="str">
        <f>IFERROR(__xludf.DUMMYFUNCTION("IF(C54&lt;&gt;"""",""https://api.qrserver.com/v1/create-qr-code/?size=200x200&amp;data=""&amp;ENCODEURL(""https://wa.me/507""&amp;REGEXREPLACE(C54,""[^0-9]"","""")&amp;""?text=""&amp;ENCODEURL(""Ya llegue. Codigo: ""&amp;A54&amp;"". Ubicacion: ""&amp;""https://www.google.com/maps/search/?api="&amp;"1&amp;query=""&amp;SUBSTITUTE(F54,"" "",""""))),"""")"),"")</f>
        <v/>
      </c>
      <c r="M54" s="5" t="str">
        <f t="shared" si="6"/>
        <v/>
      </c>
      <c r="N54" s="5" t="str">
        <f>IFERROR(__xludf.DUMMYFUNCTION("IF(AND(F54&lt;&gt;"""",REGEXMATCH(SUBSTITUTE(F54,"" "",""""),""^-?\d+(\.\d+)?,-?\d+(\.\d+)?$""),VALUE(REGEXEXTRACT(SUBSTITUTE(F54,"" "",""""),""^-?\d+(\.\d+)?""))&gt;=-90,VALUE(REGEXEXTRACT(SUBSTITUTE(F54,"" "",""""),""^-?\d+(\.\d+)?""))&lt;=90,VALUE(REGEXEXTRACT(SUB"&amp;"STITUTE(F54,"" "",""""),""-?\d+(\.\d+)?$""))&gt;=-180,VALUE(REGEXEXTRACT(SUBSTITUTE(F54,"" "",""""),""-?\d+(\.\d+)?$""))&lt;=180),""OK"",""REVISAR"")"),"#N/A")</f>
        <v>#N/A</v>
      </c>
    </row>
    <row r="55" ht="15.75" customHeight="1">
      <c r="A55" s="5" t="str">
        <f t="shared" si="1"/>
        <v>AD507-0053</v>
      </c>
      <c r="C55" s="5"/>
      <c r="F55" s="5"/>
      <c r="G55" s="5" t="str">
        <f t="shared" si="2"/>
        <v/>
      </c>
      <c r="H55" s="5" t="str">
        <f t="shared" si="3"/>
        <v/>
      </c>
      <c r="I55" s="5" t="str">
        <f t="shared" si="4"/>
        <v/>
      </c>
      <c r="J55" s="5" t="str">
        <f t="shared" si="5"/>
        <v/>
      </c>
      <c r="K55" s="5" t="str">
        <f>IFERROR(__xludf.DUMMYFUNCTION("IF(C55&lt;&gt;"""",HYPERLINK(""https://wa.me/507""&amp;REGEXREPLACE(C55,""[^0-9]"","""")&amp;""?text=""&amp;ENCODEURL(""Ya llegue. Codigo: ""&amp;A55&amp;"". Ubicacion: ""&amp;""https://www.google.com/maps/search/?api=1&amp;query=""&amp;SUBSTITUTE(F55,"" "","""")),""📲 Avisar al cliente""),"""&amp;""")"),"")</f>
        <v/>
      </c>
      <c r="L55" s="5" t="str">
        <f>IFERROR(__xludf.DUMMYFUNCTION("IF(C55&lt;&gt;"""",""https://api.qrserver.com/v1/create-qr-code/?size=200x200&amp;data=""&amp;ENCODEURL(""https://wa.me/507""&amp;REGEXREPLACE(C55,""[^0-9]"","""")&amp;""?text=""&amp;ENCODEURL(""Ya llegue. Codigo: ""&amp;A55&amp;"". Ubicacion: ""&amp;""https://www.google.com/maps/search/?api="&amp;"1&amp;query=""&amp;SUBSTITUTE(F55,"" "",""""))),"""")"),"")</f>
        <v/>
      </c>
      <c r="M55" s="5" t="str">
        <f t="shared" si="6"/>
        <v/>
      </c>
      <c r="N55" s="5" t="str">
        <f>IFERROR(__xludf.DUMMYFUNCTION("IF(AND(F55&lt;&gt;"""",REGEXMATCH(SUBSTITUTE(F55,"" "",""""),""^-?\d+(\.\d+)?,-?\d+(\.\d+)?$""),VALUE(REGEXEXTRACT(SUBSTITUTE(F55,"" "",""""),""^-?\d+(\.\d+)?""))&gt;=-90,VALUE(REGEXEXTRACT(SUBSTITUTE(F55,"" "",""""),""^-?\d+(\.\d+)?""))&lt;=90,VALUE(REGEXEXTRACT(SUB"&amp;"STITUTE(F55,"" "",""""),""-?\d+(\.\d+)?$""))&gt;=-180,VALUE(REGEXEXTRACT(SUBSTITUTE(F55,"" "",""""),""-?\d+(\.\d+)?$""))&lt;=180),""OK"",""REVISAR"")"),"#N/A")</f>
        <v>#N/A</v>
      </c>
    </row>
    <row r="56" ht="15.75" customHeight="1">
      <c r="A56" s="5" t="str">
        <f t="shared" si="1"/>
        <v>AD507-0054</v>
      </c>
      <c r="C56" s="5"/>
      <c r="F56" s="5"/>
      <c r="G56" s="5" t="str">
        <f t="shared" si="2"/>
        <v/>
      </c>
      <c r="H56" s="5" t="str">
        <f t="shared" si="3"/>
        <v/>
      </c>
      <c r="I56" s="5" t="str">
        <f t="shared" si="4"/>
        <v/>
      </c>
      <c r="J56" s="5" t="str">
        <f t="shared" si="5"/>
        <v/>
      </c>
      <c r="K56" s="5" t="str">
        <f>IFERROR(__xludf.DUMMYFUNCTION("IF(C56&lt;&gt;"""",HYPERLINK(""https://wa.me/507""&amp;REGEXREPLACE(C56,""[^0-9]"","""")&amp;""?text=""&amp;ENCODEURL(""Ya llegue. Codigo: ""&amp;A56&amp;"". Ubicacion: ""&amp;""https://www.google.com/maps/search/?api=1&amp;query=""&amp;SUBSTITUTE(F56,"" "","""")),""📲 Avisar al cliente""),"""&amp;""")"),"")</f>
        <v/>
      </c>
      <c r="L56" s="5" t="str">
        <f>IFERROR(__xludf.DUMMYFUNCTION("IF(C56&lt;&gt;"""",""https://api.qrserver.com/v1/create-qr-code/?size=200x200&amp;data=""&amp;ENCODEURL(""https://wa.me/507""&amp;REGEXREPLACE(C56,""[^0-9]"","""")&amp;""?text=""&amp;ENCODEURL(""Ya llegue. Codigo: ""&amp;A56&amp;"". Ubicacion: ""&amp;""https://www.google.com/maps/search/?api="&amp;"1&amp;query=""&amp;SUBSTITUTE(F56,"" "",""""))),"""")"),"")</f>
        <v/>
      </c>
      <c r="M56" s="5" t="str">
        <f t="shared" si="6"/>
        <v/>
      </c>
      <c r="N56" s="5" t="str">
        <f>IFERROR(__xludf.DUMMYFUNCTION("IF(AND(F56&lt;&gt;"""",REGEXMATCH(SUBSTITUTE(F56,"" "",""""),""^-?\d+(\.\d+)?,-?\d+(\.\d+)?$""),VALUE(REGEXEXTRACT(SUBSTITUTE(F56,"" "",""""),""^-?\d+(\.\d+)?""))&gt;=-90,VALUE(REGEXEXTRACT(SUBSTITUTE(F56,"" "",""""),""^-?\d+(\.\d+)?""))&lt;=90,VALUE(REGEXEXTRACT(SUB"&amp;"STITUTE(F56,"" "",""""),""-?\d+(\.\d+)?$""))&gt;=-180,VALUE(REGEXEXTRACT(SUBSTITUTE(F56,"" "",""""),""-?\d+(\.\d+)?$""))&lt;=180),""OK"",""REVISAR"")"),"#N/A")</f>
        <v>#N/A</v>
      </c>
    </row>
    <row r="57" ht="15.75" customHeight="1">
      <c r="A57" s="5" t="str">
        <f t="shared" si="1"/>
        <v>AD507-0055</v>
      </c>
      <c r="C57" s="5"/>
      <c r="F57" s="5"/>
      <c r="G57" s="5" t="str">
        <f t="shared" si="2"/>
        <v/>
      </c>
      <c r="H57" s="5" t="str">
        <f t="shared" si="3"/>
        <v/>
      </c>
      <c r="I57" s="5" t="str">
        <f t="shared" si="4"/>
        <v/>
      </c>
      <c r="J57" s="5" t="str">
        <f t="shared" si="5"/>
        <v/>
      </c>
      <c r="K57" s="5" t="str">
        <f>IFERROR(__xludf.DUMMYFUNCTION("IF(C57&lt;&gt;"""",HYPERLINK(""https://wa.me/507""&amp;REGEXREPLACE(C57,""[^0-9]"","""")&amp;""?text=""&amp;ENCODEURL(""Ya llegue. Codigo: ""&amp;A57&amp;"". Ubicacion: ""&amp;""https://www.google.com/maps/search/?api=1&amp;query=""&amp;SUBSTITUTE(F57,"" "","""")),""📲 Avisar al cliente""),"""&amp;""")"),"")</f>
        <v/>
      </c>
      <c r="L57" s="5" t="str">
        <f>IFERROR(__xludf.DUMMYFUNCTION("IF(C57&lt;&gt;"""",""https://api.qrserver.com/v1/create-qr-code/?size=200x200&amp;data=""&amp;ENCODEURL(""https://wa.me/507""&amp;REGEXREPLACE(C57,""[^0-9]"","""")&amp;""?text=""&amp;ENCODEURL(""Ya llegue. Codigo: ""&amp;A57&amp;"". Ubicacion: ""&amp;""https://www.google.com/maps/search/?api="&amp;"1&amp;query=""&amp;SUBSTITUTE(F57,"" "",""""))),"""")"),"")</f>
        <v/>
      </c>
      <c r="M57" s="5" t="str">
        <f t="shared" si="6"/>
        <v/>
      </c>
      <c r="N57" s="5" t="str">
        <f>IFERROR(__xludf.DUMMYFUNCTION("IF(AND(F57&lt;&gt;"""",REGEXMATCH(SUBSTITUTE(F57,"" "",""""),""^-?\d+(\.\d+)?,-?\d+(\.\d+)?$""),VALUE(REGEXEXTRACT(SUBSTITUTE(F57,"" "",""""),""^-?\d+(\.\d+)?""))&gt;=-90,VALUE(REGEXEXTRACT(SUBSTITUTE(F57,"" "",""""),""^-?\d+(\.\d+)?""))&lt;=90,VALUE(REGEXEXTRACT(SUB"&amp;"STITUTE(F57,"" "",""""),""-?\d+(\.\d+)?$""))&gt;=-180,VALUE(REGEXEXTRACT(SUBSTITUTE(F57,"" "",""""),""-?\d+(\.\d+)?$""))&lt;=180),""OK"",""REVISAR"")"),"#N/A")</f>
        <v>#N/A</v>
      </c>
    </row>
    <row r="58" ht="15.75" customHeight="1">
      <c r="A58" s="5" t="str">
        <f t="shared" si="1"/>
        <v>AD507-0056</v>
      </c>
      <c r="C58" s="5"/>
      <c r="F58" s="5"/>
      <c r="G58" s="5" t="str">
        <f t="shared" si="2"/>
        <v/>
      </c>
      <c r="H58" s="5" t="str">
        <f t="shared" si="3"/>
        <v/>
      </c>
      <c r="I58" s="5" t="str">
        <f t="shared" si="4"/>
        <v/>
      </c>
      <c r="J58" s="5" t="str">
        <f t="shared" si="5"/>
        <v/>
      </c>
      <c r="K58" s="5" t="str">
        <f>IFERROR(__xludf.DUMMYFUNCTION("IF(C58&lt;&gt;"""",HYPERLINK(""https://wa.me/507""&amp;REGEXREPLACE(C58,""[^0-9]"","""")&amp;""?text=""&amp;ENCODEURL(""Ya llegue. Codigo: ""&amp;A58&amp;"". Ubicacion: ""&amp;""https://www.google.com/maps/search/?api=1&amp;query=""&amp;SUBSTITUTE(F58,"" "","""")),""📲 Avisar al cliente""),"""&amp;""")"),"")</f>
        <v/>
      </c>
      <c r="L58" s="5" t="str">
        <f>IFERROR(__xludf.DUMMYFUNCTION("IF(C58&lt;&gt;"""",""https://api.qrserver.com/v1/create-qr-code/?size=200x200&amp;data=""&amp;ENCODEURL(""https://wa.me/507""&amp;REGEXREPLACE(C58,""[^0-9]"","""")&amp;""?text=""&amp;ENCODEURL(""Ya llegue. Codigo: ""&amp;A58&amp;"". Ubicacion: ""&amp;""https://www.google.com/maps/search/?api="&amp;"1&amp;query=""&amp;SUBSTITUTE(F58,"" "",""""))),"""")"),"")</f>
        <v/>
      </c>
      <c r="M58" s="5" t="str">
        <f t="shared" si="6"/>
        <v/>
      </c>
      <c r="N58" s="5" t="str">
        <f>IFERROR(__xludf.DUMMYFUNCTION("IF(AND(F58&lt;&gt;"""",REGEXMATCH(SUBSTITUTE(F58,"" "",""""),""^-?\d+(\.\d+)?,-?\d+(\.\d+)?$""),VALUE(REGEXEXTRACT(SUBSTITUTE(F58,"" "",""""),""^-?\d+(\.\d+)?""))&gt;=-90,VALUE(REGEXEXTRACT(SUBSTITUTE(F58,"" "",""""),""^-?\d+(\.\d+)?""))&lt;=90,VALUE(REGEXEXTRACT(SUB"&amp;"STITUTE(F58,"" "",""""),""-?\d+(\.\d+)?$""))&gt;=-180,VALUE(REGEXEXTRACT(SUBSTITUTE(F58,"" "",""""),""-?\d+(\.\d+)?$""))&lt;=180),""OK"",""REVISAR"")"),"#N/A")</f>
        <v>#N/A</v>
      </c>
    </row>
    <row r="59" ht="15.75" customHeight="1">
      <c r="A59" s="5" t="str">
        <f t="shared" si="1"/>
        <v>AD507-0057</v>
      </c>
      <c r="C59" s="5"/>
      <c r="F59" s="5"/>
      <c r="G59" s="5" t="str">
        <f t="shared" si="2"/>
        <v/>
      </c>
      <c r="H59" s="5" t="str">
        <f t="shared" si="3"/>
        <v/>
      </c>
      <c r="I59" s="5" t="str">
        <f t="shared" si="4"/>
        <v/>
      </c>
      <c r="J59" s="5" t="str">
        <f t="shared" si="5"/>
        <v/>
      </c>
      <c r="K59" s="5" t="str">
        <f>IFERROR(__xludf.DUMMYFUNCTION("IF(C59&lt;&gt;"""",HYPERLINK(""https://wa.me/507""&amp;REGEXREPLACE(C59,""[^0-9]"","""")&amp;""?text=""&amp;ENCODEURL(""Ya llegue. Codigo: ""&amp;A59&amp;"". Ubicacion: ""&amp;""https://www.google.com/maps/search/?api=1&amp;query=""&amp;SUBSTITUTE(F59,"" "","""")),""📲 Avisar al cliente""),"""&amp;""")"),"")</f>
        <v/>
      </c>
      <c r="L59" s="5" t="str">
        <f>IFERROR(__xludf.DUMMYFUNCTION("IF(C59&lt;&gt;"""",""https://api.qrserver.com/v1/create-qr-code/?size=200x200&amp;data=""&amp;ENCODEURL(""https://wa.me/507""&amp;REGEXREPLACE(C59,""[^0-9]"","""")&amp;""?text=""&amp;ENCODEURL(""Ya llegue. Codigo: ""&amp;A59&amp;"". Ubicacion: ""&amp;""https://www.google.com/maps/search/?api="&amp;"1&amp;query=""&amp;SUBSTITUTE(F59,"" "",""""))),"""")"),"")</f>
        <v/>
      </c>
      <c r="M59" s="5" t="str">
        <f t="shared" si="6"/>
        <v/>
      </c>
      <c r="N59" s="5" t="str">
        <f>IFERROR(__xludf.DUMMYFUNCTION("IF(AND(F59&lt;&gt;"""",REGEXMATCH(SUBSTITUTE(F59,"" "",""""),""^-?\d+(\.\d+)?,-?\d+(\.\d+)?$""),VALUE(REGEXEXTRACT(SUBSTITUTE(F59,"" "",""""),""^-?\d+(\.\d+)?""))&gt;=-90,VALUE(REGEXEXTRACT(SUBSTITUTE(F59,"" "",""""),""^-?\d+(\.\d+)?""))&lt;=90,VALUE(REGEXEXTRACT(SUB"&amp;"STITUTE(F59,"" "",""""),""-?\d+(\.\d+)?$""))&gt;=-180,VALUE(REGEXEXTRACT(SUBSTITUTE(F59,"" "",""""),""-?\d+(\.\d+)?$""))&lt;=180),""OK"",""REVISAR"")"),"#N/A")</f>
        <v>#N/A</v>
      </c>
    </row>
    <row r="60" ht="15.75" customHeight="1">
      <c r="A60" s="5" t="str">
        <f t="shared" si="1"/>
        <v>AD507-0058</v>
      </c>
      <c r="C60" s="5"/>
      <c r="F60" s="5"/>
      <c r="G60" s="5" t="str">
        <f t="shared" si="2"/>
        <v/>
      </c>
      <c r="H60" s="5" t="str">
        <f t="shared" si="3"/>
        <v/>
      </c>
      <c r="I60" s="5" t="str">
        <f t="shared" si="4"/>
        <v/>
      </c>
      <c r="J60" s="5" t="str">
        <f t="shared" si="5"/>
        <v/>
      </c>
      <c r="K60" s="5" t="str">
        <f>IFERROR(__xludf.DUMMYFUNCTION("IF(C60&lt;&gt;"""",HYPERLINK(""https://wa.me/507""&amp;REGEXREPLACE(C60,""[^0-9]"","""")&amp;""?text=""&amp;ENCODEURL(""Ya llegue. Codigo: ""&amp;A60&amp;"". Ubicacion: ""&amp;""https://www.google.com/maps/search/?api=1&amp;query=""&amp;SUBSTITUTE(F60,"" "","""")),""📲 Avisar al cliente""),"""&amp;""")"),"")</f>
        <v/>
      </c>
      <c r="L60" s="5" t="str">
        <f>IFERROR(__xludf.DUMMYFUNCTION("IF(C60&lt;&gt;"""",""https://api.qrserver.com/v1/create-qr-code/?size=200x200&amp;data=""&amp;ENCODEURL(""https://wa.me/507""&amp;REGEXREPLACE(C60,""[^0-9]"","""")&amp;""?text=""&amp;ENCODEURL(""Ya llegue. Codigo: ""&amp;A60&amp;"". Ubicacion: ""&amp;""https://www.google.com/maps/search/?api="&amp;"1&amp;query=""&amp;SUBSTITUTE(F60,"" "",""""))),"""")"),"")</f>
        <v/>
      </c>
      <c r="M60" s="5" t="str">
        <f t="shared" si="6"/>
        <v/>
      </c>
      <c r="N60" s="5" t="str">
        <f>IFERROR(__xludf.DUMMYFUNCTION("IF(AND(F60&lt;&gt;"""",REGEXMATCH(SUBSTITUTE(F60,"" "",""""),""^-?\d+(\.\d+)?,-?\d+(\.\d+)?$""),VALUE(REGEXEXTRACT(SUBSTITUTE(F60,"" "",""""),""^-?\d+(\.\d+)?""))&gt;=-90,VALUE(REGEXEXTRACT(SUBSTITUTE(F60,"" "",""""),""^-?\d+(\.\d+)?""))&lt;=90,VALUE(REGEXEXTRACT(SUB"&amp;"STITUTE(F60,"" "",""""),""-?\d+(\.\d+)?$""))&gt;=-180,VALUE(REGEXEXTRACT(SUBSTITUTE(F60,"" "",""""),""-?\d+(\.\d+)?$""))&lt;=180),""OK"",""REVISAR"")"),"#N/A")</f>
        <v>#N/A</v>
      </c>
    </row>
    <row r="61" ht="15.75" customHeight="1">
      <c r="A61" s="5" t="str">
        <f t="shared" si="1"/>
        <v>AD507-0059</v>
      </c>
      <c r="C61" s="5"/>
      <c r="F61" s="5"/>
      <c r="G61" s="5" t="str">
        <f t="shared" si="2"/>
        <v/>
      </c>
      <c r="H61" s="5" t="str">
        <f t="shared" si="3"/>
        <v/>
      </c>
      <c r="I61" s="5" t="str">
        <f t="shared" si="4"/>
        <v/>
      </c>
      <c r="J61" s="5" t="str">
        <f t="shared" si="5"/>
        <v/>
      </c>
      <c r="K61" s="5" t="str">
        <f>IFERROR(__xludf.DUMMYFUNCTION("IF(C61&lt;&gt;"""",HYPERLINK(""https://wa.me/507""&amp;REGEXREPLACE(C61,""[^0-9]"","""")&amp;""?text=""&amp;ENCODEURL(""Ya llegue. Codigo: ""&amp;A61&amp;"". Ubicacion: ""&amp;""https://www.google.com/maps/search/?api=1&amp;query=""&amp;SUBSTITUTE(F61,"" "","""")),""📲 Avisar al cliente""),"""&amp;""")"),"")</f>
        <v/>
      </c>
      <c r="L61" s="5" t="str">
        <f>IFERROR(__xludf.DUMMYFUNCTION("IF(C61&lt;&gt;"""",""https://api.qrserver.com/v1/create-qr-code/?size=200x200&amp;data=""&amp;ENCODEURL(""https://wa.me/507""&amp;REGEXREPLACE(C61,""[^0-9]"","""")&amp;""?text=""&amp;ENCODEURL(""Ya llegue. Codigo: ""&amp;A61&amp;"". Ubicacion: ""&amp;""https://www.google.com/maps/search/?api="&amp;"1&amp;query=""&amp;SUBSTITUTE(F61,"" "",""""))),"""")"),"")</f>
        <v/>
      </c>
      <c r="M61" s="5" t="str">
        <f t="shared" si="6"/>
        <v/>
      </c>
      <c r="N61" s="5" t="str">
        <f>IFERROR(__xludf.DUMMYFUNCTION("IF(AND(F61&lt;&gt;"""",REGEXMATCH(SUBSTITUTE(F61,"" "",""""),""^-?\d+(\.\d+)?,-?\d+(\.\d+)?$""),VALUE(REGEXEXTRACT(SUBSTITUTE(F61,"" "",""""),""^-?\d+(\.\d+)?""))&gt;=-90,VALUE(REGEXEXTRACT(SUBSTITUTE(F61,"" "",""""),""^-?\d+(\.\d+)?""))&lt;=90,VALUE(REGEXEXTRACT(SUB"&amp;"STITUTE(F61,"" "",""""),""-?\d+(\.\d+)?$""))&gt;=-180,VALUE(REGEXEXTRACT(SUBSTITUTE(F61,"" "",""""),""-?\d+(\.\d+)?$""))&lt;=180),""OK"",""REVISAR"")"),"#N/A")</f>
        <v>#N/A</v>
      </c>
    </row>
    <row r="62" ht="15.75" customHeight="1">
      <c r="A62" s="5" t="str">
        <f t="shared" si="1"/>
        <v>AD507-0060</v>
      </c>
      <c r="C62" s="5"/>
      <c r="F62" s="5"/>
      <c r="G62" s="5" t="str">
        <f t="shared" si="2"/>
        <v/>
      </c>
      <c r="H62" s="5" t="str">
        <f t="shared" si="3"/>
        <v/>
      </c>
      <c r="I62" s="5" t="str">
        <f t="shared" si="4"/>
        <v/>
      </c>
      <c r="J62" s="5" t="str">
        <f t="shared" si="5"/>
        <v/>
      </c>
      <c r="K62" s="5" t="str">
        <f>IFERROR(__xludf.DUMMYFUNCTION("IF(C62&lt;&gt;"""",HYPERLINK(""https://wa.me/507""&amp;REGEXREPLACE(C62,""[^0-9]"","""")&amp;""?text=""&amp;ENCODEURL(""Ya llegue. Codigo: ""&amp;A62&amp;"". Ubicacion: ""&amp;""https://www.google.com/maps/search/?api=1&amp;query=""&amp;SUBSTITUTE(F62,"" "","""")),""📲 Avisar al cliente""),"""&amp;""")"),"")</f>
        <v/>
      </c>
      <c r="L62" s="5" t="str">
        <f>IFERROR(__xludf.DUMMYFUNCTION("IF(C62&lt;&gt;"""",""https://api.qrserver.com/v1/create-qr-code/?size=200x200&amp;data=""&amp;ENCODEURL(""https://wa.me/507""&amp;REGEXREPLACE(C62,""[^0-9]"","""")&amp;""?text=""&amp;ENCODEURL(""Ya llegue. Codigo: ""&amp;A62&amp;"". Ubicacion: ""&amp;""https://www.google.com/maps/search/?api="&amp;"1&amp;query=""&amp;SUBSTITUTE(F62,"" "",""""))),"""")"),"")</f>
        <v/>
      </c>
      <c r="M62" s="5" t="str">
        <f t="shared" si="6"/>
        <v/>
      </c>
      <c r="N62" s="5" t="str">
        <f>IFERROR(__xludf.DUMMYFUNCTION("IF(AND(F62&lt;&gt;"""",REGEXMATCH(SUBSTITUTE(F62,"" "",""""),""^-?\d+(\.\d+)?,-?\d+(\.\d+)?$""),VALUE(REGEXEXTRACT(SUBSTITUTE(F62,"" "",""""),""^-?\d+(\.\d+)?""))&gt;=-90,VALUE(REGEXEXTRACT(SUBSTITUTE(F62,"" "",""""),""^-?\d+(\.\d+)?""))&lt;=90,VALUE(REGEXEXTRACT(SUB"&amp;"STITUTE(F62,"" "",""""),""-?\d+(\.\d+)?$""))&gt;=-180,VALUE(REGEXEXTRACT(SUBSTITUTE(F62,"" "",""""),""-?\d+(\.\d+)?$""))&lt;=180),""OK"",""REVISAR"")"),"#N/A")</f>
        <v>#N/A</v>
      </c>
    </row>
    <row r="63" ht="15.75" customHeight="1">
      <c r="A63" s="5" t="str">
        <f t="shared" si="1"/>
        <v>AD507-0061</v>
      </c>
      <c r="C63" s="5"/>
      <c r="F63" s="5"/>
      <c r="G63" s="5" t="str">
        <f t="shared" si="2"/>
        <v/>
      </c>
      <c r="H63" s="5" t="str">
        <f t="shared" si="3"/>
        <v/>
      </c>
      <c r="I63" s="5" t="str">
        <f t="shared" si="4"/>
        <v/>
      </c>
      <c r="J63" s="5" t="str">
        <f t="shared" si="5"/>
        <v/>
      </c>
      <c r="K63" s="5" t="str">
        <f>IFERROR(__xludf.DUMMYFUNCTION("IF(C63&lt;&gt;"""",HYPERLINK(""https://wa.me/507""&amp;REGEXREPLACE(C63,""[^0-9]"","""")&amp;""?text=""&amp;ENCODEURL(""Ya llegue. Codigo: ""&amp;A63&amp;"". Ubicacion: ""&amp;""https://www.google.com/maps/search/?api=1&amp;query=""&amp;SUBSTITUTE(F63,"" "","""")),""📲 Avisar al cliente""),"""&amp;""")"),"")</f>
        <v/>
      </c>
      <c r="L63" s="5" t="str">
        <f>IFERROR(__xludf.DUMMYFUNCTION("IF(C63&lt;&gt;"""",""https://api.qrserver.com/v1/create-qr-code/?size=200x200&amp;data=""&amp;ENCODEURL(""https://wa.me/507""&amp;REGEXREPLACE(C63,""[^0-9]"","""")&amp;""?text=""&amp;ENCODEURL(""Ya llegue. Codigo: ""&amp;A63&amp;"". Ubicacion: ""&amp;""https://www.google.com/maps/search/?api="&amp;"1&amp;query=""&amp;SUBSTITUTE(F63,"" "",""""))),"""")"),"")</f>
        <v/>
      </c>
      <c r="M63" s="5" t="str">
        <f t="shared" si="6"/>
        <v/>
      </c>
      <c r="N63" s="5" t="str">
        <f>IFERROR(__xludf.DUMMYFUNCTION("IF(AND(F63&lt;&gt;"""",REGEXMATCH(SUBSTITUTE(F63,"" "",""""),""^-?\d+(\.\d+)?,-?\d+(\.\d+)?$""),VALUE(REGEXEXTRACT(SUBSTITUTE(F63,"" "",""""),""^-?\d+(\.\d+)?""))&gt;=-90,VALUE(REGEXEXTRACT(SUBSTITUTE(F63,"" "",""""),""^-?\d+(\.\d+)?""))&lt;=90,VALUE(REGEXEXTRACT(SUB"&amp;"STITUTE(F63,"" "",""""),""-?\d+(\.\d+)?$""))&gt;=-180,VALUE(REGEXEXTRACT(SUBSTITUTE(F63,"" "",""""),""-?\d+(\.\d+)?$""))&lt;=180),""OK"",""REVISAR"")"),"#N/A")</f>
        <v>#N/A</v>
      </c>
    </row>
    <row r="64" ht="15.75" customHeight="1">
      <c r="A64" s="5" t="str">
        <f t="shared" si="1"/>
        <v>AD507-0062</v>
      </c>
      <c r="C64" s="5"/>
      <c r="F64" s="5"/>
      <c r="G64" s="5" t="str">
        <f t="shared" si="2"/>
        <v/>
      </c>
      <c r="H64" s="5" t="str">
        <f t="shared" si="3"/>
        <v/>
      </c>
      <c r="I64" s="5" t="str">
        <f t="shared" si="4"/>
        <v/>
      </c>
      <c r="J64" s="5" t="str">
        <f t="shared" si="5"/>
        <v/>
      </c>
      <c r="K64" s="5" t="str">
        <f>IFERROR(__xludf.DUMMYFUNCTION("IF(C64&lt;&gt;"""",HYPERLINK(""https://wa.me/507""&amp;REGEXREPLACE(C64,""[^0-9]"","""")&amp;""?text=""&amp;ENCODEURL(""Ya llegue. Codigo: ""&amp;A64&amp;"". Ubicacion: ""&amp;""https://www.google.com/maps/search/?api=1&amp;query=""&amp;SUBSTITUTE(F64,"" "","""")),""📲 Avisar al cliente""),"""&amp;""")"),"")</f>
        <v/>
      </c>
      <c r="L64" s="5" t="str">
        <f>IFERROR(__xludf.DUMMYFUNCTION("IF(C64&lt;&gt;"""",""https://api.qrserver.com/v1/create-qr-code/?size=200x200&amp;data=""&amp;ENCODEURL(""https://wa.me/507""&amp;REGEXREPLACE(C64,""[^0-9]"","""")&amp;""?text=""&amp;ENCODEURL(""Ya llegue. Codigo: ""&amp;A64&amp;"". Ubicacion: ""&amp;""https://www.google.com/maps/search/?api="&amp;"1&amp;query=""&amp;SUBSTITUTE(F64,"" "",""""))),"""")"),"")</f>
        <v/>
      </c>
      <c r="M64" s="5" t="str">
        <f t="shared" si="6"/>
        <v/>
      </c>
      <c r="N64" s="5" t="str">
        <f>IFERROR(__xludf.DUMMYFUNCTION("IF(AND(F64&lt;&gt;"""",REGEXMATCH(SUBSTITUTE(F64,"" "",""""),""^-?\d+(\.\d+)?,-?\d+(\.\d+)?$""),VALUE(REGEXEXTRACT(SUBSTITUTE(F64,"" "",""""),""^-?\d+(\.\d+)?""))&gt;=-90,VALUE(REGEXEXTRACT(SUBSTITUTE(F64,"" "",""""),""^-?\d+(\.\d+)?""))&lt;=90,VALUE(REGEXEXTRACT(SUB"&amp;"STITUTE(F64,"" "",""""),""-?\d+(\.\d+)?$""))&gt;=-180,VALUE(REGEXEXTRACT(SUBSTITUTE(F64,"" "",""""),""-?\d+(\.\d+)?$""))&lt;=180),""OK"",""REVISAR"")"),"#N/A")</f>
        <v>#N/A</v>
      </c>
    </row>
    <row r="65" ht="15.75" customHeight="1">
      <c r="A65" s="5" t="str">
        <f t="shared" si="1"/>
        <v>AD507-0063</v>
      </c>
      <c r="C65" s="5"/>
      <c r="F65" s="5"/>
      <c r="G65" s="5" t="str">
        <f t="shared" si="2"/>
        <v/>
      </c>
      <c r="H65" s="5" t="str">
        <f t="shared" si="3"/>
        <v/>
      </c>
      <c r="I65" s="5" t="str">
        <f t="shared" si="4"/>
        <v/>
      </c>
      <c r="J65" s="5" t="str">
        <f t="shared" si="5"/>
        <v/>
      </c>
      <c r="K65" s="5" t="str">
        <f>IFERROR(__xludf.DUMMYFUNCTION("IF(C65&lt;&gt;"""",HYPERLINK(""https://wa.me/507""&amp;REGEXREPLACE(C65,""[^0-9]"","""")&amp;""?text=""&amp;ENCODEURL(""Ya llegue. Codigo: ""&amp;A65&amp;"". Ubicacion: ""&amp;""https://www.google.com/maps/search/?api=1&amp;query=""&amp;SUBSTITUTE(F65,"" "","""")),""📲 Avisar al cliente""),"""&amp;""")"),"")</f>
        <v/>
      </c>
      <c r="L65" s="5" t="str">
        <f>IFERROR(__xludf.DUMMYFUNCTION("IF(C65&lt;&gt;"""",""https://api.qrserver.com/v1/create-qr-code/?size=200x200&amp;data=""&amp;ENCODEURL(""https://wa.me/507""&amp;REGEXREPLACE(C65,""[^0-9]"","""")&amp;""?text=""&amp;ENCODEURL(""Ya llegue. Codigo: ""&amp;A65&amp;"". Ubicacion: ""&amp;""https://www.google.com/maps/search/?api="&amp;"1&amp;query=""&amp;SUBSTITUTE(F65,"" "",""""))),"""")"),"")</f>
        <v/>
      </c>
      <c r="M65" s="5" t="str">
        <f t="shared" si="6"/>
        <v/>
      </c>
      <c r="N65" s="5" t="str">
        <f>IFERROR(__xludf.DUMMYFUNCTION("IF(AND(F65&lt;&gt;"""",REGEXMATCH(SUBSTITUTE(F65,"" "",""""),""^-?\d+(\.\d+)?,-?\d+(\.\d+)?$""),VALUE(REGEXEXTRACT(SUBSTITUTE(F65,"" "",""""),""^-?\d+(\.\d+)?""))&gt;=-90,VALUE(REGEXEXTRACT(SUBSTITUTE(F65,"" "",""""),""^-?\d+(\.\d+)?""))&lt;=90,VALUE(REGEXEXTRACT(SUB"&amp;"STITUTE(F65,"" "",""""),""-?\d+(\.\d+)?$""))&gt;=-180,VALUE(REGEXEXTRACT(SUBSTITUTE(F65,"" "",""""),""-?\d+(\.\d+)?$""))&lt;=180),""OK"",""REVISAR"")"),"#N/A")</f>
        <v>#N/A</v>
      </c>
    </row>
    <row r="66" ht="15.75" customHeight="1">
      <c r="A66" s="5" t="str">
        <f t="shared" si="1"/>
        <v>AD507-0064</v>
      </c>
      <c r="C66" s="5"/>
      <c r="F66" s="5"/>
      <c r="G66" s="5" t="str">
        <f t="shared" si="2"/>
        <v/>
      </c>
      <c r="H66" s="5" t="str">
        <f t="shared" si="3"/>
        <v/>
      </c>
      <c r="I66" s="5" t="str">
        <f t="shared" si="4"/>
        <v/>
      </c>
      <c r="J66" s="5" t="str">
        <f t="shared" si="5"/>
        <v/>
      </c>
      <c r="K66" s="5" t="str">
        <f>IFERROR(__xludf.DUMMYFUNCTION("IF(C66&lt;&gt;"""",HYPERLINK(""https://wa.me/507""&amp;REGEXREPLACE(C66,""[^0-9]"","""")&amp;""?text=""&amp;ENCODEURL(""Ya llegue. Codigo: ""&amp;A66&amp;"". Ubicacion: ""&amp;""https://www.google.com/maps/search/?api=1&amp;query=""&amp;SUBSTITUTE(F66,"" "","""")),""📲 Avisar al cliente""),"""&amp;""")"),"")</f>
        <v/>
      </c>
      <c r="L66" s="5" t="str">
        <f>IFERROR(__xludf.DUMMYFUNCTION("IF(C66&lt;&gt;"""",""https://api.qrserver.com/v1/create-qr-code/?size=200x200&amp;data=""&amp;ENCODEURL(""https://wa.me/507""&amp;REGEXREPLACE(C66,""[^0-9]"","""")&amp;""?text=""&amp;ENCODEURL(""Ya llegue. Codigo: ""&amp;A66&amp;"". Ubicacion: ""&amp;""https://www.google.com/maps/search/?api="&amp;"1&amp;query=""&amp;SUBSTITUTE(F66,"" "",""""))),"""")"),"")</f>
        <v/>
      </c>
      <c r="M66" s="5" t="str">
        <f t="shared" si="6"/>
        <v/>
      </c>
      <c r="N66" s="5" t="str">
        <f>IFERROR(__xludf.DUMMYFUNCTION("IF(AND(F66&lt;&gt;"""",REGEXMATCH(SUBSTITUTE(F66,"" "",""""),""^-?\d+(\.\d+)?,-?\d+(\.\d+)?$""),VALUE(REGEXEXTRACT(SUBSTITUTE(F66,"" "",""""),""^-?\d+(\.\d+)?""))&gt;=-90,VALUE(REGEXEXTRACT(SUBSTITUTE(F66,"" "",""""),""^-?\d+(\.\d+)?""))&lt;=90,VALUE(REGEXEXTRACT(SUB"&amp;"STITUTE(F66,"" "",""""),""-?\d+(\.\d+)?$""))&gt;=-180,VALUE(REGEXEXTRACT(SUBSTITUTE(F66,"" "",""""),""-?\d+(\.\d+)?$""))&lt;=180),""OK"",""REVISAR"")"),"#N/A")</f>
        <v>#N/A</v>
      </c>
    </row>
    <row r="67" ht="15.75" customHeight="1">
      <c r="A67" s="5" t="str">
        <f t="shared" si="1"/>
        <v>AD507-0065</v>
      </c>
      <c r="C67" s="5"/>
      <c r="F67" s="5"/>
      <c r="G67" s="5" t="str">
        <f t="shared" si="2"/>
        <v/>
      </c>
      <c r="H67" s="5" t="str">
        <f t="shared" si="3"/>
        <v/>
      </c>
      <c r="I67" s="5" t="str">
        <f t="shared" si="4"/>
        <v/>
      </c>
      <c r="J67" s="5" t="str">
        <f t="shared" si="5"/>
        <v/>
      </c>
      <c r="K67" s="5" t="str">
        <f>IFERROR(__xludf.DUMMYFUNCTION("IF(C67&lt;&gt;"""",HYPERLINK(""https://wa.me/507""&amp;REGEXREPLACE(C67,""[^0-9]"","""")&amp;""?text=""&amp;ENCODEURL(""Ya llegue. Codigo: ""&amp;A67&amp;"". Ubicacion: ""&amp;""https://www.google.com/maps/search/?api=1&amp;query=""&amp;SUBSTITUTE(F67,"" "","""")),""📲 Avisar al cliente""),"""&amp;""")"),"")</f>
        <v/>
      </c>
      <c r="L67" s="5" t="str">
        <f>IFERROR(__xludf.DUMMYFUNCTION("IF(C67&lt;&gt;"""",""https://api.qrserver.com/v1/create-qr-code/?size=200x200&amp;data=""&amp;ENCODEURL(""https://wa.me/507""&amp;REGEXREPLACE(C67,""[^0-9]"","""")&amp;""?text=""&amp;ENCODEURL(""Ya llegue. Codigo: ""&amp;A67&amp;"". Ubicacion: ""&amp;""https://www.google.com/maps/search/?api="&amp;"1&amp;query=""&amp;SUBSTITUTE(F67,"" "",""""))),"""")"),"")</f>
        <v/>
      </c>
      <c r="M67" s="5" t="str">
        <f t="shared" si="6"/>
        <v/>
      </c>
      <c r="N67" s="5" t="str">
        <f>IFERROR(__xludf.DUMMYFUNCTION("IF(AND(F67&lt;&gt;"""",REGEXMATCH(SUBSTITUTE(F67,"" "",""""),""^-?\d+(\.\d+)?,-?\d+(\.\d+)?$""),VALUE(REGEXEXTRACT(SUBSTITUTE(F67,"" "",""""),""^-?\d+(\.\d+)?""))&gt;=-90,VALUE(REGEXEXTRACT(SUBSTITUTE(F67,"" "",""""),""^-?\d+(\.\d+)?""))&lt;=90,VALUE(REGEXEXTRACT(SUB"&amp;"STITUTE(F67,"" "",""""),""-?\d+(\.\d+)?$""))&gt;=-180,VALUE(REGEXEXTRACT(SUBSTITUTE(F67,"" "",""""),""-?\d+(\.\d+)?$""))&lt;=180),""OK"",""REVISAR"")"),"#N/A")</f>
        <v>#N/A</v>
      </c>
    </row>
    <row r="68" ht="15.75" customHeight="1">
      <c r="A68" s="5" t="str">
        <f t="shared" si="1"/>
        <v>AD507-0066</v>
      </c>
      <c r="C68" s="5"/>
      <c r="F68" s="5"/>
      <c r="G68" s="5" t="str">
        <f t="shared" si="2"/>
        <v/>
      </c>
      <c r="H68" s="5" t="str">
        <f t="shared" si="3"/>
        <v/>
      </c>
      <c r="I68" s="5" t="str">
        <f t="shared" si="4"/>
        <v/>
      </c>
      <c r="J68" s="5" t="str">
        <f t="shared" si="5"/>
        <v/>
      </c>
      <c r="K68" s="5" t="str">
        <f>IFERROR(__xludf.DUMMYFUNCTION("IF(C68&lt;&gt;"""",HYPERLINK(""https://wa.me/507""&amp;REGEXREPLACE(C68,""[^0-9]"","""")&amp;""?text=""&amp;ENCODEURL(""Ya llegue. Codigo: ""&amp;A68&amp;"". Ubicacion: ""&amp;""https://www.google.com/maps/search/?api=1&amp;query=""&amp;SUBSTITUTE(F68,"" "","""")),""📲 Avisar al cliente""),"""&amp;""")"),"")</f>
        <v/>
      </c>
      <c r="L68" s="5" t="str">
        <f>IFERROR(__xludf.DUMMYFUNCTION("IF(C68&lt;&gt;"""",""https://api.qrserver.com/v1/create-qr-code/?size=200x200&amp;data=""&amp;ENCODEURL(""https://wa.me/507""&amp;REGEXREPLACE(C68,""[^0-9]"","""")&amp;""?text=""&amp;ENCODEURL(""Ya llegue. Codigo: ""&amp;A68&amp;"". Ubicacion: ""&amp;""https://www.google.com/maps/search/?api="&amp;"1&amp;query=""&amp;SUBSTITUTE(F68,"" "",""""))),"""")"),"")</f>
        <v/>
      </c>
      <c r="M68" s="5" t="str">
        <f t="shared" si="6"/>
        <v/>
      </c>
      <c r="N68" s="5" t="str">
        <f>IFERROR(__xludf.DUMMYFUNCTION("IF(AND(F68&lt;&gt;"""",REGEXMATCH(SUBSTITUTE(F68,"" "",""""),""^-?\d+(\.\d+)?,-?\d+(\.\d+)?$""),VALUE(REGEXEXTRACT(SUBSTITUTE(F68,"" "",""""),""^-?\d+(\.\d+)?""))&gt;=-90,VALUE(REGEXEXTRACT(SUBSTITUTE(F68,"" "",""""),""^-?\d+(\.\d+)?""))&lt;=90,VALUE(REGEXEXTRACT(SUB"&amp;"STITUTE(F68,"" "",""""),""-?\d+(\.\d+)?$""))&gt;=-180,VALUE(REGEXEXTRACT(SUBSTITUTE(F68,"" "",""""),""-?\d+(\.\d+)?$""))&lt;=180),""OK"",""REVISAR"")"),"#N/A")</f>
        <v>#N/A</v>
      </c>
    </row>
    <row r="69" ht="15.75" customHeight="1">
      <c r="A69" s="5" t="str">
        <f t="shared" si="1"/>
        <v>AD507-0067</v>
      </c>
      <c r="C69" s="5"/>
      <c r="F69" s="5"/>
      <c r="G69" s="5" t="str">
        <f t="shared" si="2"/>
        <v/>
      </c>
      <c r="H69" s="5" t="str">
        <f t="shared" si="3"/>
        <v/>
      </c>
      <c r="I69" s="5" t="str">
        <f t="shared" si="4"/>
        <v/>
      </c>
      <c r="J69" s="5" t="str">
        <f t="shared" si="5"/>
        <v/>
      </c>
      <c r="K69" s="5" t="str">
        <f>IFERROR(__xludf.DUMMYFUNCTION("IF(C69&lt;&gt;"""",HYPERLINK(""https://wa.me/507""&amp;REGEXREPLACE(C69,""[^0-9]"","""")&amp;""?text=""&amp;ENCODEURL(""Ya llegue. Codigo: ""&amp;A69&amp;"". Ubicacion: ""&amp;""https://www.google.com/maps/search/?api=1&amp;query=""&amp;SUBSTITUTE(F69,"" "","""")),""📲 Avisar al cliente""),"""&amp;""")"),"")</f>
        <v/>
      </c>
      <c r="L69" s="5" t="str">
        <f>IFERROR(__xludf.DUMMYFUNCTION("IF(C69&lt;&gt;"""",""https://api.qrserver.com/v1/create-qr-code/?size=200x200&amp;data=""&amp;ENCODEURL(""https://wa.me/507""&amp;REGEXREPLACE(C69,""[^0-9]"","""")&amp;""?text=""&amp;ENCODEURL(""Ya llegue. Codigo: ""&amp;A69&amp;"". Ubicacion: ""&amp;""https://www.google.com/maps/search/?api="&amp;"1&amp;query=""&amp;SUBSTITUTE(F69,"" "",""""))),"""")"),"")</f>
        <v/>
      </c>
      <c r="M69" s="5" t="str">
        <f t="shared" si="6"/>
        <v/>
      </c>
      <c r="N69" s="5" t="str">
        <f>IFERROR(__xludf.DUMMYFUNCTION("IF(AND(F69&lt;&gt;"""",REGEXMATCH(SUBSTITUTE(F69,"" "",""""),""^-?\d+(\.\d+)?,-?\d+(\.\d+)?$""),VALUE(REGEXEXTRACT(SUBSTITUTE(F69,"" "",""""),""^-?\d+(\.\d+)?""))&gt;=-90,VALUE(REGEXEXTRACT(SUBSTITUTE(F69,"" "",""""),""^-?\d+(\.\d+)?""))&lt;=90,VALUE(REGEXEXTRACT(SUB"&amp;"STITUTE(F69,"" "",""""),""-?\d+(\.\d+)?$""))&gt;=-180,VALUE(REGEXEXTRACT(SUBSTITUTE(F69,"" "",""""),""-?\d+(\.\d+)?$""))&lt;=180),""OK"",""REVISAR"")"),"#N/A")</f>
        <v>#N/A</v>
      </c>
    </row>
    <row r="70" ht="15.75" customHeight="1">
      <c r="A70" s="5" t="str">
        <f t="shared" si="1"/>
        <v>AD507-0068</v>
      </c>
      <c r="C70" s="5"/>
      <c r="F70" s="5"/>
      <c r="G70" s="5" t="str">
        <f t="shared" si="2"/>
        <v/>
      </c>
      <c r="H70" s="5" t="str">
        <f t="shared" si="3"/>
        <v/>
      </c>
      <c r="I70" s="5" t="str">
        <f t="shared" si="4"/>
        <v/>
      </c>
      <c r="J70" s="5" t="str">
        <f t="shared" si="5"/>
        <v/>
      </c>
      <c r="K70" s="5" t="str">
        <f>IFERROR(__xludf.DUMMYFUNCTION("IF(C70&lt;&gt;"""",HYPERLINK(""https://wa.me/507""&amp;REGEXREPLACE(C70,""[^0-9]"","""")&amp;""?text=""&amp;ENCODEURL(""Ya llegue. Codigo: ""&amp;A70&amp;"". Ubicacion: ""&amp;""https://www.google.com/maps/search/?api=1&amp;query=""&amp;SUBSTITUTE(F70,"" "","""")),""📲 Avisar al cliente""),"""&amp;""")"),"")</f>
        <v/>
      </c>
      <c r="L70" s="5" t="str">
        <f>IFERROR(__xludf.DUMMYFUNCTION("IF(C70&lt;&gt;"""",""https://api.qrserver.com/v1/create-qr-code/?size=200x200&amp;data=""&amp;ENCODEURL(""https://wa.me/507""&amp;REGEXREPLACE(C70,""[^0-9]"","""")&amp;""?text=""&amp;ENCODEURL(""Ya llegue. Codigo: ""&amp;A70&amp;"". Ubicacion: ""&amp;""https://www.google.com/maps/search/?api="&amp;"1&amp;query=""&amp;SUBSTITUTE(F70,"" "",""""))),"""")"),"")</f>
        <v/>
      </c>
      <c r="M70" s="5" t="str">
        <f t="shared" si="6"/>
        <v/>
      </c>
      <c r="N70" s="5" t="str">
        <f>IFERROR(__xludf.DUMMYFUNCTION("IF(AND(F70&lt;&gt;"""",REGEXMATCH(SUBSTITUTE(F70,"" "",""""),""^-?\d+(\.\d+)?,-?\d+(\.\d+)?$""),VALUE(REGEXEXTRACT(SUBSTITUTE(F70,"" "",""""),""^-?\d+(\.\d+)?""))&gt;=-90,VALUE(REGEXEXTRACT(SUBSTITUTE(F70,"" "",""""),""^-?\d+(\.\d+)?""))&lt;=90,VALUE(REGEXEXTRACT(SUB"&amp;"STITUTE(F70,"" "",""""),""-?\d+(\.\d+)?$""))&gt;=-180,VALUE(REGEXEXTRACT(SUBSTITUTE(F70,"" "",""""),""-?\d+(\.\d+)?$""))&lt;=180),""OK"",""REVISAR"")"),"#N/A")</f>
        <v>#N/A</v>
      </c>
    </row>
    <row r="71" ht="15.75" customHeight="1">
      <c r="A71" s="5" t="str">
        <f t="shared" si="1"/>
        <v>AD507-0069</v>
      </c>
      <c r="C71" s="5"/>
      <c r="F71" s="5"/>
      <c r="G71" s="5" t="str">
        <f t="shared" si="2"/>
        <v/>
      </c>
      <c r="H71" s="5" t="str">
        <f t="shared" si="3"/>
        <v/>
      </c>
      <c r="I71" s="5" t="str">
        <f t="shared" si="4"/>
        <v/>
      </c>
      <c r="J71" s="5" t="str">
        <f t="shared" si="5"/>
        <v/>
      </c>
      <c r="K71" s="5" t="str">
        <f>IFERROR(__xludf.DUMMYFUNCTION("IF(C71&lt;&gt;"""",HYPERLINK(""https://wa.me/507""&amp;REGEXREPLACE(C71,""[^0-9]"","""")&amp;""?text=""&amp;ENCODEURL(""Ya llegue. Codigo: ""&amp;A71&amp;"". Ubicacion: ""&amp;""https://www.google.com/maps/search/?api=1&amp;query=""&amp;SUBSTITUTE(F71,"" "","""")),""📲 Avisar al cliente""),"""&amp;""")"),"")</f>
        <v/>
      </c>
      <c r="L71" s="5" t="str">
        <f>IFERROR(__xludf.DUMMYFUNCTION("IF(C71&lt;&gt;"""",""https://api.qrserver.com/v1/create-qr-code/?size=200x200&amp;data=""&amp;ENCODEURL(""https://wa.me/507""&amp;REGEXREPLACE(C71,""[^0-9]"","""")&amp;""?text=""&amp;ENCODEURL(""Ya llegue. Codigo: ""&amp;A71&amp;"". Ubicacion: ""&amp;""https://www.google.com/maps/search/?api="&amp;"1&amp;query=""&amp;SUBSTITUTE(F71,"" "",""""))),"""")"),"")</f>
        <v/>
      </c>
      <c r="M71" s="5" t="str">
        <f t="shared" si="6"/>
        <v/>
      </c>
      <c r="N71" s="5" t="str">
        <f>IFERROR(__xludf.DUMMYFUNCTION("IF(AND(F71&lt;&gt;"""",REGEXMATCH(SUBSTITUTE(F71,"" "",""""),""^-?\d+(\.\d+)?,-?\d+(\.\d+)?$""),VALUE(REGEXEXTRACT(SUBSTITUTE(F71,"" "",""""),""^-?\d+(\.\d+)?""))&gt;=-90,VALUE(REGEXEXTRACT(SUBSTITUTE(F71,"" "",""""),""^-?\d+(\.\d+)?""))&lt;=90,VALUE(REGEXEXTRACT(SUB"&amp;"STITUTE(F71,"" "",""""),""-?\d+(\.\d+)?$""))&gt;=-180,VALUE(REGEXEXTRACT(SUBSTITUTE(F71,"" "",""""),""-?\d+(\.\d+)?$""))&lt;=180),""OK"",""REVISAR"")"),"#N/A")</f>
        <v>#N/A</v>
      </c>
    </row>
    <row r="72" ht="15.75" customHeight="1">
      <c r="A72" s="5" t="str">
        <f t="shared" si="1"/>
        <v>AD507-0070</v>
      </c>
      <c r="C72" s="5"/>
      <c r="F72" s="5"/>
      <c r="G72" s="5" t="str">
        <f t="shared" si="2"/>
        <v/>
      </c>
      <c r="H72" s="5" t="str">
        <f t="shared" si="3"/>
        <v/>
      </c>
      <c r="I72" s="5" t="str">
        <f t="shared" si="4"/>
        <v/>
      </c>
      <c r="J72" s="5" t="str">
        <f t="shared" si="5"/>
        <v/>
      </c>
      <c r="K72" s="5" t="str">
        <f>IFERROR(__xludf.DUMMYFUNCTION("IF(C72&lt;&gt;"""",HYPERLINK(""https://wa.me/507""&amp;REGEXREPLACE(C72,""[^0-9]"","""")&amp;""?text=""&amp;ENCODEURL(""Ya llegue. Codigo: ""&amp;A72&amp;"". Ubicacion: ""&amp;""https://www.google.com/maps/search/?api=1&amp;query=""&amp;SUBSTITUTE(F72,"" "","""")),""📲 Avisar al cliente""),"""&amp;""")"),"")</f>
        <v/>
      </c>
      <c r="L72" s="5" t="str">
        <f>IFERROR(__xludf.DUMMYFUNCTION("IF(C72&lt;&gt;"""",""https://api.qrserver.com/v1/create-qr-code/?size=200x200&amp;data=""&amp;ENCODEURL(""https://wa.me/507""&amp;REGEXREPLACE(C72,""[^0-9]"","""")&amp;""?text=""&amp;ENCODEURL(""Ya llegue. Codigo: ""&amp;A72&amp;"". Ubicacion: ""&amp;""https://www.google.com/maps/search/?api="&amp;"1&amp;query=""&amp;SUBSTITUTE(F72,"" "",""""))),"""")"),"")</f>
        <v/>
      </c>
      <c r="M72" s="5" t="str">
        <f t="shared" si="6"/>
        <v/>
      </c>
      <c r="N72" s="5" t="str">
        <f>IFERROR(__xludf.DUMMYFUNCTION("IF(AND(F72&lt;&gt;"""",REGEXMATCH(SUBSTITUTE(F72,"" "",""""),""^-?\d+(\.\d+)?,-?\d+(\.\d+)?$""),VALUE(REGEXEXTRACT(SUBSTITUTE(F72,"" "",""""),""^-?\d+(\.\d+)?""))&gt;=-90,VALUE(REGEXEXTRACT(SUBSTITUTE(F72,"" "",""""),""^-?\d+(\.\d+)?""))&lt;=90,VALUE(REGEXEXTRACT(SUB"&amp;"STITUTE(F72,"" "",""""),""-?\d+(\.\d+)?$""))&gt;=-180,VALUE(REGEXEXTRACT(SUBSTITUTE(F72,"" "",""""),""-?\d+(\.\d+)?$""))&lt;=180),""OK"",""REVISAR"")"),"#N/A")</f>
        <v>#N/A</v>
      </c>
    </row>
    <row r="73" ht="15.75" customHeight="1">
      <c r="A73" s="5" t="str">
        <f t="shared" si="1"/>
        <v>AD507-0071</v>
      </c>
      <c r="C73" s="5"/>
      <c r="F73" s="5"/>
      <c r="G73" s="5" t="str">
        <f t="shared" si="2"/>
        <v/>
      </c>
      <c r="H73" s="5" t="str">
        <f t="shared" si="3"/>
        <v/>
      </c>
      <c r="I73" s="5" t="str">
        <f t="shared" si="4"/>
        <v/>
      </c>
      <c r="J73" s="5" t="str">
        <f t="shared" si="5"/>
        <v/>
      </c>
      <c r="K73" s="5" t="str">
        <f>IFERROR(__xludf.DUMMYFUNCTION("IF(C73&lt;&gt;"""",HYPERLINK(""https://wa.me/507""&amp;REGEXREPLACE(C73,""[^0-9]"","""")&amp;""?text=""&amp;ENCODEURL(""Ya llegue. Codigo: ""&amp;A73&amp;"". Ubicacion: ""&amp;""https://www.google.com/maps/search/?api=1&amp;query=""&amp;SUBSTITUTE(F73,"" "","""")),""📲 Avisar al cliente""),"""&amp;""")"),"")</f>
        <v/>
      </c>
      <c r="L73" s="5" t="str">
        <f>IFERROR(__xludf.DUMMYFUNCTION("IF(C73&lt;&gt;"""",""https://api.qrserver.com/v1/create-qr-code/?size=200x200&amp;data=""&amp;ENCODEURL(""https://wa.me/507""&amp;REGEXREPLACE(C73,""[^0-9]"","""")&amp;""?text=""&amp;ENCODEURL(""Ya llegue. Codigo: ""&amp;A73&amp;"". Ubicacion: ""&amp;""https://www.google.com/maps/search/?api="&amp;"1&amp;query=""&amp;SUBSTITUTE(F73,"" "",""""))),"""")"),"")</f>
        <v/>
      </c>
      <c r="M73" s="5" t="str">
        <f t="shared" si="6"/>
        <v/>
      </c>
      <c r="N73" s="5" t="str">
        <f>IFERROR(__xludf.DUMMYFUNCTION("IF(AND(F73&lt;&gt;"""",REGEXMATCH(SUBSTITUTE(F73,"" "",""""),""^-?\d+(\.\d+)?,-?\d+(\.\d+)?$""),VALUE(REGEXEXTRACT(SUBSTITUTE(F73,"" "",""""),""^-?\d+(\.\d+)?""))&gt;=-90,VALUE(REGEXEXTRACT(SUBSTITUTE(F73,"" "",""""),""^-?\d+(\.\d+)?""))&lt;=90,VALUE(REGEXEXTRACT(SUB"&amp;"STITUTE(F73,"" "",""""),""-?\d+(\.\d+)?$""))&gt;=-180,VALUE(REGEXEXTRACT(SUBSTITUTE(F73,"" "",""""),""-?\d+(\.\d+)?$""))&lt;=180),""OK"",""REVISAR"")"),"#N/A")</f>
        <v>#N/A</v>
      </c>
    </row>
    <row r="74" ht="15.75" customHeight="1">
      <c r="A74" s="5" t="str">
        <f t="shared" si="1"/>
        <v>AD507-0072</v>
      </c>
      <c r="C74" s="5"/>
      <c r="F74" s="5"/>
      <c r="G74" s="5" t="str">
        <f t="shared" si="2"/>
        <v/>
      </c>
      <c r="H74" s="5" t="str">
        <f t="shared" si="3"/>
        <v/>
      </c>
      <c r="I74" s="5" t="str">
        <f t="shared" si="4"/>
        <v/>
      </c>
      <c r="J74" s="5" t="str">
        <f t="shared" si="5"/>
        <v/>
      </c>
      <c r="K74" s="5" t="str">
        <f>IFERROR(__xludf.DUMMYFUNCTION("IF(C74&lt;&gt;"""",HYPERLINK(""https://wa.me/507""&amp;REGEXREPLACE(C74,""[^0-9]"","""")&amp;""?text=""&amp;ENCODEURL(""Ya llegue. Codigo: ""&amp;A74&amp;"". Ubicacion: ""&amp;""https://www.google.com/maps/search/?api=1&amp;query=""&amp;SUBSTITUTE(F74,"" "","""")),""📲 Avisar al cliente""),"""&amp;""")"),"")</f>
        <v/>
      </c>
      <c r="L74" s="5" t="str">
        <f>IFERROR(__xludf.DUMMYFUNCTION("IF(C74&lt;&gt;"""",""https://api.qrserver.com/v1/create-qr-code/?size=200x200&amp;data=""&amp;ENCODEURL(""https://wa.me/507""&amp;REGEXREPLACE(C74,""[^0-9]"","""")&amp;""?text=""&amp;ENCODEURL(""Ya llegue. Codigo: ""&amp;A74&amp;"". Ubicacion: ""&amp;""https://www.google.com/maps/search/?api="&amp;"1&amp;query=""&amp;SUBSTITUTE(F74,"" "",""""))),"""")"),"")</f>
        <v/>
      </c>
      <c r="M74" s="5" t="str">
        <f t="shared" si="6"/>
        <v/>
      </c>
      <c r="N74" s="5" t="str">
        <f>IFERROR(__xludf.DUMMYFUNCTION("IF(AND(F74&lt;&gt;"""",REGEXMATCH(SUBSTITUTE(F74,"" "",""""),""^-?\d+(\.\d+)?,-?\d+(\.\d+)?$""),VALUE(REGEXEXTRACT(SUBSTITUTE(F74,"" "",""""),""^-?\d+(\.\d+)?""))&gt;=-90,VALUE(REGEXEXTRACT(SUBSTITUTE(F74,"" "",""""),""^-?\d+(\.\d+)?""))&lt;=90,VALUE(REGEXEXTRACT(SUB"&amp;"STITUTE(F74,"" "",""""),""-?\d+(\.\d+)?$""))&gt;=-180,VALUE(REGEXEXTRACT(SUBSTITUTE(F74,"" "",""""),""-?\d+(\.\d+)?$""))&lt;=180),""OK"",""REVISAR"")"),"#N/A")</f>
        <v>#N/A</v>
      </c>
    </row>
    <row r="75" ht="15.75" customHeight="1">
      <c r="A75" s="5" t="str">
        <f t="shared" si="1"/>
        <v>AD507-0073</v>
      </c>
      <c r="C75" s="5"/>
      <c r="F75" s="5"/>
      <c r="G75" s="5" t="str">
        <f t="shared" si="2"/>
        <v/>
      </c>
      <c r="H75" s="5" t="str">
        <f t="shared" si="3"/>
        <v/>
      </c>
      <c r="I75" s="5" t="str">
        <f t="shared" si="4"/>
        <v/>
      </c>
      <c r="J75" s="5" t="str">
        <f t="shared" si="5"/>
        <v/>
      </c>
      <c r="K75" s="5" t="str">
        <f>IFERROR(__xludf.DUMMYFUNCTION("IF(C75&lt;&gt;"""",HYPERLINK(""https://wa.me/507""&amp;REGEXREPLACE(C75,""[^0-9]"","""")&amp;""?text=""&amp;ENCODEURL(""Ya llegue. Codigo: ""&amp;A75&amp;"". Ubicacion: ""&amp;""https://www.google.com/maps/search/?api=1&amp;query=""&amp;SUBSTITUTE(F75,"" "","""")),""📲 Avisar al cliente""),"""&amp;""")"),"")</f>
        <v/>
      </c>
      <c r="L75" s="5" t="str">
        <f>IFERROR(__xludf.DUMMYFUNCTION("IF(C75&lt;&gt;"""",""https://api.qrserver.com/v1/create-qr-code/?size=200x200&amp;data=""&amp;ENCODEURL(""https://wa.me/507""&amp;REGEXREPLACE(C75,""[^0-9]"","""")&amp;""?text=""&amp;ENCODEURL(""Ya llegue. Codigo: ""&amp;A75&amp;"". Ubicacion: ""&amp;""https://www.google.com/maps/search/?api="&amp;"1&amp;query=""&amp;SUBSTITUTE(F75,"" "",""""))),"""")"),"")</f>
        <v/>
      </c>
      <c r="M75" s="5" t="str">
        <f t="shared" si="6"/>
        <v/>
      </c>
      <c r="N75" s="5" t="str">
        <f>IFERROR(__xludf.DUMMYFUNCTION("IF(AND(F75&lt;&gt;"""",REGEXMATCH(SUBSTITUTE(F75,"" "",""""),""^-?\d+(\.\d+)?,-?\d+(\.\d+)?$""),VALUE(REGEXEXTRACT(SUBSTITUTE(F75,"" "",""""),""^-?\d+(\.\d+)?""))&gt;=-90,VALUE(REGEXEXTRACT(SUBSTITUTE(F75,"" "",""""),""^-?\d+(\.\d+)?""))&lt;=90,VALUE(REGEXEXTRACT(SUB"&amp;"STITUTE(F75,"" "",""""),""-?\d+(\.\d+)?$""))&gt;=-180,VALUE(REGEXEXTRACT(SUBSTITUTE(F75,"" "",""""),""-?\d+(\.\d+)?$""))&lt;=180),""OK"",""REVISAR"")"),"#N/A")</f>
        <v>#N/A</v>
      </c>
    </row>
    <row r="76" ht="15.75" customHeight="1">
      <c r="A76" s="5" t="str">
        <f t="shared" si="1"/>
        <v>AD507-0074</v>
      </c>
      <c r="C76" s="5"/>
      <c r="F76" s="5"/>
      <c r="G76" s="5" t="str">
        <f t="shared" si="2"/>
        <v/>
      </c>
      <c r="H76" s="5" t="str">
        <f t="shared" si="3"/>
        <v/>
      </c>
      <c r="I76" s="5" t="str">
        <f t="shared" si="4"/>
        <v/>
      </c>
      <c r="J76" s="5" t="str">
        <f t="shared" si="5"/>
        <v/>
      </c>
      <c r="K76" s="5" t="str">
        <f>IFERROR(__xludf.DUMMYFUNCTION("IF(C76&lt;&gt;"""",HYPERLINK(""https://wa.me/507""&amp;REGEXREPLACE(C76,""[^0-9]"","""")&amp;""?text=""&amp;ENCODEURL(""Ya llegue. Codigo: ""&amp;A76&amp;"". Ubicacion: ""&amp;""https://www.google.com/maps/search/?api=1&amp;query=""&amp;SUBSTITUTE(F76,"" "","""")),""📲 Avisar al cliente""),"""&amp;""")"),"")</f>
        <v/>
      </c>
      <c r="L76" s="5" t="str">
        <f>IFERROR(__xludf.DUMMYFUNCTION("IF(C76&lt;&gt;"""",""https://api.qrserver.com/v1/create-qr-code/?size=200x200&amp;data=""&amp;ENCODEURL(""https://wa.me/507""&amp;REGEXREPLACE(C76,""[^0-9]"","""")&amp;""?text=""&amp;ENCODEURL(""Ya llegue. Codigo: ""&amp;A76&amp;"". Ubicacion: ""&amp;""https://www.google.com/maps/search/?api="&amp;"1&amp;query=""&amp;SUBSTITUTE(F76,"" "",""""))),"""")"),"")</f>
        <v/>
      </c>
      <c r="M76" s="5" t="str">
        <f t="shared" si="6"/>
        <v/>
      </c>
      <c r="N76" s="5" t="str">
        <f>IFERROR(__xludf.DUMMYFUNCTION("IF(AND(F76&lt;&gt;"""",REGEXMATCH(SUBSTITUTE(F76,"" "",""""),""^-?\d+(\.\d+)?,-?\d+(\.\d+)?$""),VALUE(REGEXEXTRACT(SUBSTITUTE(F76,"" "",""""),""^-?\d+(\.\d+)?""))&gt;=-90,VALUE(REGEXEXTRACT(SUBSTITUTE(F76,"" "",""""),""^-?\d+(\.\d+)?""))&lt;=90,VALUE(REGEXEXTRACT(SUB"&amp;"STITUTE(F76,"" "",""""),""-?\d+(\.\d+)?$""))&gt;=-180,VALUE(REGEXEXTRACT(SUBSTITUTE(F76,"" "",""""),""-?\d+(\.\d+)?$""))&lt;=180),""OK"",""REVISAR"")"),"#N/A")</f>
        <v>#N/A</v>
      </c>
    </row>
    <row r="77" ht="15.75" customHeight="1">
      <c r="A77" s="5" t="str">
        <f t="shared" si="1"/>
        <v>AD507-0075</v>
      </c>
      <c r="C77" s="5"/>
      <c r="F77" s="5"/>
      <c r="G77" s="5" t="str">
        <f t="shared" si="2"/>
        <v/>
      </c>
      <c r="H77" s="5" t="str">
        <f t="shared" si="3"/>
        <v/>
      </c>
      <c r="I77" s="5" t="str">
        <f t="shared" si="4"/>
        <v/>
      </c>
      <c r="J77" s="5" t="str">
        <f t="shared" si="5"/>
        <v/>
      </c>
      <c r="K77" s="5" t="str">
        <f>IFERROR(__xludf.DUMMYFUNCTION("IF(C77&lt;&gt;"""",HYPERLINK(""https://wa.me/507""&amp;REGEXREPLACE(C77,""[^0-9]"","""")&amp;""?text=""&amp;ENCODEURL(""Ya llegue. Codigo: ""&amp;A77&amp;"". Ubicacion: ""&amp;""https://www.google.com/maps/search/?api=1&amp;query=""&amp;SUBSTITUTE(F77,"" "","""")),""📲 Avisar al cliente""),"""&amp;""")"),"")</f>
        <v/>
      </c>
      <c r="L77" s="5" t="str">
        <f>IFERROR(__xludf.DUMMYFUNCTION("IF(C77&lt;&gt;"""",""https://api.qrserver.com/v1/create-qr-code/?size=200x200&amp;data=""&amp;ENCODEURL(""https://wa.me/507""&amp;REGEXREPLACE(C77,""[^0-9]"","""")&amp;""?text=""&amp;ENCODEURL(""Ya llegue. Codigo: ""&amp;A77&amp;"". Ubicacion: ""&amp;""https://www.google.com/maps/search/?api="&amp;"1&amp;query=""&amp;SUBSTITUTE(F77,"" "",""""))),"""")"),"")</f>
        <v/>
      </c>
      <c r="M77" s="5" t="str">
        <f t="shared" si="6"/>
        <v/>
      </c>
      <c r="N77" s="5" t="str">
        <f>IFERROR(__xludf.DUMMYFUNCTION("IF(AND(F77&lt;&gt;"""",REGEXMATCH(SUBSTITUTE(F77,"" "",""""),""^-?\d+(\.\d+)?,-?\d+(\.\d+)?$""),VALUE(REGEXEXTRACT(SUBSTITUTE(F77,"" "",""""),""^-?\d+(\.\d+)?""))&gt;=-90,VALUE(REGEXEXTRACT(SUBSTITUTE(F77,"" "",""""),""^-?\d+(\.\d+)?""))&lt;=90,VALUE(REGEXEXTRACT(SUB"&amp;"STITUTE(F77,"" "",""""),""-?\d+(\.\d+)?$""))&gt;=-180,VALUE(REGEXEXTRACT(SUBSTITUTE(F77,"" "",""""),""-?\d+(\.\d+)?$""))&lt;=180),""OK"",""REVISAR"")"),"#N/A")</f>
        <v>#N/A</v>
      </c>
    </row>
    <row r="78" ht="15.75" customHeight="1">
      <c r="A78" s="5" t="str">
        <f t="shared" si="1"/>
        <v>AD507-0076</v>
      </c>
      <c r="C78" s="5"/>
      <c r="F78" s="5"/>
      <c r="G78" s="5" t="str">
        <f t="shared" si="2"/>
        <v/>
      </c>
      <c r="H78" s="5" t="str">
        <f t="shared" si="3"/>
        <v/>
      </c>
      <c r="I78" s="5" t="str">
        <f t="shared" si="4"/>
        <v/>
      </c>
      <c r="J78" s="5" t="str">
        <f t="shared" si="5"/>
        <v/>
      </c>
      <c r="K78" s="5" t="str">
        <f>IFERROR(__xludf.DUMMYFUNCTION("IF(C78&lt;&gt;"""",HYPERLINK(""https://wa.me/507""&amp;REGEXREPLACE(C78,""[^0-9]"","""")&amp;""?text=""&amp;ENCODEURL(""Ya llegue. Codigo: ""&amp;A78&amp;"". Ubicacion: ""&amp;""https://www.google.com/maps/search/?api=1&amp;query=""&amp;SUBSTITUTE(F78,"" "","""")),""📲 Avisar al cliente""),"""&amp;""")"),"")</f>
        <v/>
      </c>
      <c r="L78" s="5" t="str">
        <f>IFERROR(__xludf.DUMMYFUNCTION("IF(C78&lt;&gt;"""",""https://api.qrserver.com/v1/create-qr-code/?size=200x200&amp;data=""&amp;ENCODEURL(""https://wa.me/507""&amp;REGEXREPLACE(C78,""[^0-9]"","""")&amp;""?text=""&amp;ENCODEURL(""Ya llegue. Codigo: ""&amp;A78&amp;"". Ubicacion: ""&amp;""https://www.google.com/maps/search/?api="&amp;"1&amp;query=""&amp;SUBSTITUTE(F78,"" "",""""))),"""")"),"")</f>
        <v/>
      </c>
      <c r="M78" s="5" t="str">
        <f t="shared" si="6"/>
        <v/>
      </c>
      <c r="N78" s="5" t="str">
        <f>IFERROR(__xludf.DUMMYFUNCTION("IF(AND(F78&lt;&gt;"""",REGEXMATCH(SUBSTITUTE(F78,"" "",""""),""^-?\d+(\.\d+)?,-?\d+(\.\d+)?$""),VALUE(REGEXEXTRACT(SUBSTITUTE(F78,"" "",""""),""^-?\d+(\.\d+)?""))&gt;=-90,VALUE(REGEXEXTRACT(SUBSTITUTE(F78,"" "",""""),""^-?\d+(\.\d+)?""))&lt;=90,VALUE(REGEXEXTRACT(SUB"&amp;"STITUTE(F78,"" "",""""),""-?\d+(\.\d+)?$""))&gt;=-180,VALUE(REGEXEXTRACT(SUBSTITUTE(F78,"" "",""""),""-?\d+(\.\d+)?$""))&lt;=180),""OK"",""REVISAR"")"),"#N/A")</f>
        <v>#N/A</v>
      </c>
    </row>
    <row r="79" ht="15.75" customHeight="1">
      <c r="A79" s="5" t="str">
        <f t="shared" si="1"/>
        <v>AD507-0077</v>
      </c>
      <c r="C79" s="5"/>
      <c r="F79" s="5"/>
      <c r="G79" s="5" t="str">
        <f t="shared" si="2"/>
        <v/>
      </c>
      <c r="H79" s="5" t="str">
        <f t="shared" si="3"/>
        <v/>
      </c>
      <c r="I79" s="5" t="str">
        <f t="shared" si="4"/>
        <v/>
      </c>
      <c r="J79" s="5" t="str">
        <f t="shared" si="5"/>
        <v/>
      </c>
      <c r="K79" s="5" t="str">
        <f>IFERROR(__xludf.DUMMYFUNCTION("IF(C79&lt;&gt;"""",HYPERLINK(""https://wa.me/507""&amp;REGEXREPLACE(C79,""[^0-9]"","""")&amp;""?text=""&amp;ENCODEURL(""Ya llegue. Codigo: ""&amp;A79&amp;"". Ubicacion: ""&amp;""https://www.google.com/maps/search/?api=1&amp;query=""&amp;SUBSTITUTE(F79,"" "","""")),""📲 Avisar al cliente""),"""&amp;""")"),"")</f>
        <v/>
      </c>
      <c r="L79" s="5" t="str">
        <f>IFERROR(__xludf.DUMMYFUNCTION("IF(C79&lt;&gt;"""",""https://api.qrserver.com/v1/create-qr-code/?size=200x200&amp;data=""&amp;ENCODEURL(""https://wa.me/507""&amp;REGEXREPLACE(C79,""[^0-9]"","""")&amp;""?text=""&amp;ENCODEURL(""Ya llegue. Codigo: ""&amp;A79&amp;"". Ubicacion: ""&amp;""https://www.google.com/maps/search/?api="&amp;"1&amp;query=""&amp;SUBSTITUTE(F79,"" "",""""))),"""")"),"")</f>
        <v/>
      </c>
      <c r="M79" s="5" t="str">
        <f t="shared" si="6"/>
        <v/>
      </c>
      <c r="N79" s="5" t="str">
        <f>IFERROR(__xludf.DUMMYFUNCTION("IF(AND(F79&lt;&gt;"""",REGEXMATCH(SUBSTITUTE(F79,"" "",""""),""^-?\d+(\.\d+)?,-?\d+(\.\d+)?$""),VALUE(REGEXEXTRACT(SUBSTITUTE(F79,"" "",""""),""^-?\d+(\.\d+)?""))&gt;=-90,VALUE(REGEXEXTRACT(SUBSTITUTE(F79,"" "",""""),""^-?\d+(\.\d+)?""))&lt;=90,VALUE(REGEXEXTRACT(SUB"&amp;"STITUTE(F79,"" "",""""),""-?\d+(\.\d+)?$""))&gt;=-180,VALUE(REGEXEXTRACT(SUBSTITUTE(F79,"" "",""""),""-?\d+(\.\d+)?$""))&lt;=180),""OK"",""REVISAR"")"),"#N/A")</f>
        <v>#N/A</v>
      </c>
    </row>
    <row r="80" ht="15.75" customHeight="1">
      <c r="A80" s="5" t="str">
        <f t="shared" si="1"/>
        <v>AD507-0078</v>
      </c>
      <c r="C80" s="5"/>
      <c r="F80" s="5"/>
      <c r="G80" s="5" t="str">
        <f t="shared" si="2"/>
        <v/>
      </c>
      <c r="H80" s="5" t="str">
        <f t="shared" si="3"/>
        <v/>
      </c>
      <c r="I80" s="5" t="str">
        <f t="shared" si="4"/>
        <v/>
      </c>
      <c r="J80" s="5" t="str">
        <f t="shared" si="5"/>
        <v/>
      </c>
      <c r="K80" s="5" t="str">
        <f>IFERROR(__xludf.DUMMYFUNCTION("IF(C80&lt;&gt;"""",HYPERLINK(""https://wa.me/507""&amp;REGEXREPLACE(C80,""[^0-9]"","""")&amp;""?text=""&amp;ENCODEURL(""Ya llegue. Codigo: ""&amp;A80&amp;"". Ubicacion: ""&amp;""https://www.google.com/maps/search/?api=1&amp;query=""&amp;SUBSTITUTE(F80,"" "","""")),""📲 Avisar al cliente""),"""&amp;""")"),"")</f>
        <v/>
      </c>
      <c r="L80" s="5" t="str">
        <f>IFERROR(__xludf.DUMMYFUNCTION("IF(C80&lt;&gt;"""",""https://api.qrserver.com/v1/create-qr-code/?size=200x200&amp;data=""&amp;ENCODEURL(""https://wa.me/507""&amp;REGEXREPLACE(C80,""[^0-9]"","""")&amp;""?text=""&amp;ENCODEURL(""Ya llegue. Codigo: ""&amp;A80&amp;"". Ubicacion: ""&amp;""https://www.google.com/maps/search/?api="&amp;"1&amp;query=""&amp;SUBSTITUTE(F80,"" "",""""))),"""")"),"")</f>
        <v/>
      </c>
      <c r="M80" s="5" t="str">
        <f t="shared" si="6"/>
        <v/>
      </c>
      <c r="N80" s="5" t="str">
        <f>IFERROR(__xludf.DUMMYFUNCTION("IF(AND(F80&lt;&gt;"""",REGEXMATCH(SUBSTITUTE(F80,"" "",""""),""^-?\d+(\.\d+)?,-?\d+(\.\d+)?$""),VALUE(REGEXEXTRACT(SUBSTITUTE(F80,"" "",""""),""^-?\d+(\.\d+)?""))&gt;=-90,VALUE(REGEXEXTRACT(SUBSTITUTE(F80,"" "",""""),""^-?\d+(\.\d+)?""))&lt;=90,VALUE(REGEXEXTRACT(SUB"&amp;"STITUTE(F80,"" "",""""),""-?\d+(\.\d+)?$""))&gt;=-180,VALUE(REGEXEXTRACT(SUBSTITUTE(F80,"" "",""""),""-?\d+(\.\d+)?$""))&lt;=180),""OK"",""REVISAR"")"),"#N/A")</f>
        <v>#N/A</v>
      </c>
    </row>
    <row r="81" ht="15.75" customHeight="1">
      <c r="A81" s="5" t="str">
        <f t="shared" si="1"/>
        <v>AD507-0079</v>
      </c>
      <c r="C81" s="5"/>
      <c r="F81" s="5"/>
      <c r="G81" s="5" t="str">
        <f t="shared" si="2"/>
        <v/>
      </c>
      <c r="H81" s="5" t="str">
        <f t="shared" si="3"/>
        <v/>
      </c>
      <c r="I81" s="5" t="str">
        <f t="shared" si="4"/>
        <v/>
      </c>
      <c r="J81" s="5" t="str">
        <f t="shared" si="5"/>
        <v/>
      </c>
      <c r="K81" s="5" t="str">
        <f>IFERROR(__xludf.DUMMYFUNCTION("IF(C81&lt;&gt;"""",HYPERLINK(""https://wa.me/507""&amp;REGEXREPLACE(C81,""[^0-9]"","""")&amp;""?text=""&amp;ENCODEURL(""Ya llegue. Codigo: ""&amp;A81&amp;"". Ubicacion: ""&amp;""https://www.google.com/maps/search/?api=1&amp;query=""&amp;SUBSTITUTE(F81,"" "","""")),""📲 Avisar al cliente""),"""&amp;""")"),"")</f>
        <v/>
      </c>
      <c r="L81" s="5" t="str">
        <f>IFERROR(__xludf.DUMMYFUNCTION("IF(C81&lt;&gt;"""",""https://api.qrserver.com/v1/create-qr-code/?size=200x200&amp;data=""&amp;ENCODEURL(""https://wa.me/507""&amp;REGEXREPLACE(C81,""[^0-9]"","""")&amp;""?text=""&amp;ENCODEURL(""Ya llegue. Codigo: ""&amp;A81&amp;"". Ubicacion: ""&amp;""https://www.google.com/maps/search/?api="&amp;"1&amp;query=""&amp;SUBSTITUTE(F81,"" "",""""))),"""")"),"")</f>
        <v/>
      </c>
      <c r="M81" s="5" t="str">
        <f t="shared" si="6"/>
        <v/>
      </c>
      <c r="N81" s="5" t="str">
        <f>IFERROR(__xludf.DUMMYFUNCTION("IF(AND(F81&lt;&gt;"""",REGEXMATCH(SUBSTITUTE(F81,"" "",""""),""^-?\d+(\.\d+)?,-?\d+(\.\d+)?$""),VALUE(REGEXEXTRACT(SUBSTITUTE(F81,"" "",""""),""^-?\d+(\.\d+)?""))&gt;=-90,VALUE(REGEXEXTRACT(SUBSTITUTE(F81,"" "",""""),""^-?\d+(\.\d+)?""))&lt;=90,VALUE(REGEXEXTRACT(SUB"&amp;"STITUTE(F81,"" "",""""),""-?\d+(\.\d+)?$""))&gt;=-180,VALUE(REGEXEXTRACT(SUBSTITUTE(F81,"" "",""""),""-?\d+(\.\d+)?$""))&lt;=180),""OK"",""REVISAR"")"),"#N/A")</f>
        <v>#N/A</v>
      </c>
    </row>
    <row r="82" ht="15.75" customHeight="1">
      <c r="A82" s="5" t="str">
        <f t="shared" si="1"/>
        <v>AD507-0080</v>
      </c>
      <c r="C82" s="5"/>
      <c r="F82" s="5"/>
      <c r="G82" s="5" t="str">
        <f t="shared" si="2"/>
        <v/>
      </c>
      <c r="H82" s="5" t="str">
        <f t="shared" si="3"/>
        <v/>
      </c>
      <c r="I82" s="5" t="str">
        <f t="shared" si="4"/>
        <v/>
      </c>
      <c r="J82" s="5" t="str">
        <f t="shared" si="5"/>
        <v/>
      </c>
      <c r="K82" s="5" t="str">
        <f>IFERROR(__xludf.DUMMYFUNCTION("IF(C82&lt;&gt;"""",HYPERLINK(""https://wa.me/507""&amp;REGEXREPLACE(C82,""[^0-9]"","""")&amp;""?text=""&amp;ENCODEURL(""Ya llegue. Codigo: ""&amp;A82&amp;"". Ubicacion: ""&amp;""https://www.google.com/maps/search/?api=1&amp;query=""&amp;SUBSTITUTE(F82,"" "","""")),""📲 Avisar al cliente""),"""&amp;""")"),"")</f>
        <v/>
      </c>
      <c r="L82" s="5" t="str">
        <f>IFERROR(__xludf.DUMMYFUNCTION("IF(C82&lt;&gt;"""",""https://api.qrserver.com/v1/create-qr-code/?size=200x200&amp;data=""&amp;ENCODEURL(""https://wa.me/507""&amp;REGEXREPLACE(C82,""[^0-9]"","""")&amp;""?text=""&amp;ENCODEURL(""Ya llegue. Codigo: ""&amp;A82&amp;"". Ubicacion: ""&amp;""https://www.google.com/maps/search/?api="&amp;"1&amp;query=""&amp;SUBSTITUTE(F82,"" "",""""))),"""")"),"")</f>
        <v/>
      </c>
      <c r="M82" s="5" t="str">
        <f t="shared" si="6"/>
        <v/>
      </c>
      <c r="N82" s="5" t="str">
        <f>IFERROR(__xludf.DUMMYFUNCTION("IF(AND(F82&lt;&gt;"""",REGEXMATCH(SUBSTITUTE(F82,"" "",""""),""^-?\d+(\.\d+)?,-?\d+(\.\d+)?$""),VALUE(REGEXEXTRACT(SUBSTITUTE(F82,"" "",""""),""^-?\d+(\.\d+)?""))&gt;=-90,VALUE(REGEXEXTRACT(SUBSTITUTE(F82,"" "",""""),""^-?\d+(\.\d+)?""))&lt;=90,VALUE(REGEXEXTRACT(SUB"&amp;"STITUTE(F82,"" "",""""),""-?\d+(\.\d+)?$""))&gt;=-180,VALUE(REGEXEXTRACT(SUBSTITUTE(F82,"" "",""""),""-?\d+(\.\d+)?$""))&lt;=180),""OK"",""REVISAR"")"),"#N/A")</f>
        <v>#N/A</v>
      </c>
    </row>
    <row r="83" ht="15.75" customHeight="1">
      <c r="A83" s="5" t="str">
        <f t="shared" si="1"/>
        <v>AD507-0081</v>
      </c>
      <c r="C83" s="5"/>
      <c r="F83" s="5"/>
      <c r="G83" s="5" t="str">
        <f t="shared" si="2"/>
        <v/>
      </c>
      <c r="H83" s="5" t="str">
        <f t="shared" si="3"/>
        <v/>
      </c>
      <c r="I83" s="5" t="str">
        <f t="shared" si="4"/>
        <v/>
      </c>
      <c r="J83" s="5" t="str">
        <f t="shared" si="5"/>
        <v/>
      </c>
      <c r="K83" s="5" t="str">
        <f>IFERROR(__xludf.DUMMYFUNCTION("IF(C83&lt;&gt;"""",HYPERLINK(""https://wa.me/507""&amp;REGEXREPLACE(C83,""[^0-9]"","""")&amp;""?text=""&amp;ENCODEURL(""Ya llegue. Codigo: ""&amp;A83&amp;"". Ubicacion: ""&amp;""https://www.google.com/maps/search/?api=1&amp;query=""&amp;SUBSTITUTE(F83,"" "","""")),""📲 Avisar al cliente""),"""&amp;""")"),"")</f>
        <v/>
      </c>
      <c r="L83" s="5" t="str">
        <f>IFERROR(__xludf.DUMMYFUNCTION("IF(C83&lt;&gt;"""",""https://api.qrserver.com/v1/create-qr-code/?size=200x200&amp;data=""&amp;ENCODEURL(""https://wa.me/507""&amp;REGEXREPLACE(C83,""[^0-9]"","""")&amp;""?text=""&amp;ENCODEURL(""Ya llegue. Codigo: ""&amp;A83&amp;"". Ubicacion: ""&amp;""https://www.google.com/maps/search/?api="&amp;"1&amp;query=""&amp;SUBSTITUTE(F83,"" "",""""))),"""")"),"")</f>
        <v/>
      </c>
      <c r="M83" s="5" t="str">
        <f t="shared" si="6"/>
        <v/>
      </c>
      <c r="N83" s="5" t="str">
        <f>IFERROR(__xludf.DUMMYFUNCTION("IF(AND(F83&lt;&gt;"""",REGEXMATCH(SUBSTITUTE(F83,"" "",""""),""^-?\d+(\.\d+)?,-?\d+(\.\d+)?$""),VALUE(REGEXEXTRACT(SUBSTITUTE(F83,"" "",""""),""^-?\d+(\.\d+)?""))&gt;=-90,VALUE(REGEXEXTRACT(SUBSTITUTE(F83,"" "",""""),""^-?\d+(\.\d+)?""))&lt;=90,VALUE(REGEXEXTRACT(SUB"&amp;"STITUTE(F83,"" "",""""),""-?\d+(\.\d+)?$""))&gt;=-180,VALUE(REGEXEXTRACT(SUBSTITUTE(F83,"" "",""""),""-?\d+(\.\d+)?$""))&lt;=180),""OK"",""REVISAR"")"),"#N/A")</f>
        <v>#N/A</v>
      </c>
    </row>
    <row r="84" ht="15.75" customHeight="1">
      <c r="A84" s="5" t="str">
        <f t="shared" si="1"/>
        <v>AD507-0082</v>
      </c>
      <c r="C84" s="5"/>
      <c r="F84" s="5"/>
      <c r="G84" s="5" t="str">
        <f t="shared" si="2"/>
        <v/>
      </c>
      <c r="H84" s="5" t="str">
        <f t="shared" si="3"/>
        <v/>
      </c>
      <c r="I84" s="5" t="str">
        <f t="shared" si="4"/>
        <v/>
      </c>
      <c r="J84" s="5" t="str">
        <f t="shared" si="5"/>
        <v/>
      </c>
      <c r="K84" s="5" t="str">
        <f>IFERROR(__xludf.DUMMYFUNCTION("IF(C84&lt;&gt;"""",HYPERLINK(""https://wa.me/507""&amp;REGEXREPLACE(C84,""[^0-9]"","""")&amp;""?text=""&amp;ENCODEURL(""Ya llegue. Codigo: ""&amp;A84&amp;"". Ubicacion: ""&amp;""https://www.google.com/maps/search/?api=1&amp;query=""&amp;SUBSTITUTE(F84,"" "","""")),""📲 Avisar al cliente""),"""&amp;""")"),"")</f>
        <v/>
      </c>
      <c r="L84" s="5" t="str">
        <f>IFERROR(__xludf.DUMMYFUNCTION("IF(C84&lt;&gt;"""",""https://api.qrserver.com/v1/create-qr-code/?size=200x200&amp;data=""&amp;ENCODEURL(""https://wa.me/507""&amp;REGEXREPLACE(C84,""[^0-9]"","""")&amp;""?text=""&amp;ENCODEURL(""Ya llegue. Codigo: ""&amp;A84&amp;"". Ubicacion: ""&amp;""https://www.google.com/maps/search/?api="&amp;"1&amp;query=""&amp;SUBSTITUTE(F84,"" "",""""))),"""")"),"")</f>
        <v/>
      </c>
      <c r="M84" s="5" t="str">
        <f t="shared" si="6"/>
        <v/>
      </c>
      <c r="N84" s="5" t="str">
        <f>IFERROR(__xludf.DUMMYFUNCTION("IF(AND(F84&lt;&gt;"""",REGEXMATCH(SUBSTITUTE(F84,"" "",""""),""^-?\d+(\.\d+)?,-?\d+(\.\d+)?$""),VALUE(REGEXEXTRACT(SUBSTITUTE(F84,"" "",""""),""^-?\d+(\.\d+)?""))&gt;=-90,VALUE(REGEXEXTRACT(SUBSTITUTE(F84,"" "",""""),""^-?\d+(\.\d+)?""))&lt;=90,VALUE(REGEXEXTRACT(SUB"&amp;"STITUTE(F84,"" "",""""),""-?\d+(\.\d+)?$""))&gt;=-180,VALUE(REGEXEXTRACT(SUBSTITUTE(F84,"" "",""""),""-?\d+(\.\d+)?$""))&lt;=180),""OK"",""REVISAR"")"),"#N/A")</f>
        <v>#N/A</v>
      </c>
    </row>
    <row r="85" ht="15.75" customHeight="1">
      <c r="A85" s="5" t="str">
        <f t="shared" si="1"/>
        <v>AD507-0083</v>
      </c>
      <c r="C85" s="5"/>
      <c r="F85" s="5"/>
      <c r="G85" s="5" t="str">
        <f t="shared" si="2"/>
        <v/>
      </c>
      <c r="H85" s="5" t="str">
        <f t="shared" si="3"/>
        <v/>
      </c>
      <c r="I85" s="5" t="str">
        <f t="shared" si="4"/>
        <v/>
      </c>
      <c r="J85" s="5" t="str">
        <f t="shared" si="5"/>
        <v/>
      </c>
      <c r="K85" s="5" t="str">
        <f>IFERROR(__xludf.DUMMYFUNCTION("IF(C85&lt;&gt;"""",HYPERLINK(""https://wa.me/507""&amp;REGEXREPLACE(C85,""[^0-9]"","""")&amp;""?text=""&amp;ENCODEURL(""Ya llegue. Codigo: ""&amp;A85&amp;"". Ubicacion: ""&amp;""https://www.google.com/maps/search/?api=1&amp;query=""&amp;SUBSTITUTE(F85,"" "","""")),""📲 Avisar al cliente""),"""&amp;""")"),"")</f>
        <v/>
      </c>
      <c r="L85" s="5" t="str">
        <f>IFERROR(__xludf.DUMMYFUNCTION("IF(C85&lt;&gt;"""",""https://api.qrserver.com/v1/create-qr-code/?size=200x200&amp;data=""&amp;ENCODEURL(""https://wa.me/507""&amp;REGEXREPLACE(C85,""[^0-9]"","""")&amp;""?text=""&amp;ENCODEURL(""Ya llegue. Codigo: ""&amp;A85&amp;"". Ubicacion: ""&amp;""https://www.google.com/maps/search/?api="&amp;"1&amp;query=""&amp;SUBSTITUTE(F85,"" "",""""))),"""")"),"")</f>
        <v/>
      </c>
      <c r="M85" s="5" t="str">
        <f t="shared" si="6"/>
        <v/>
      </c>
      <c r="N85" s="5" t="str">
        <f>IFERROR(__xludf.DUMMYFUNCTION("IF(AND(F85&lt;&gt;"""",REGEXMATCH(SUBSTITUTE(F85,"" "",""""),""^-?\d+(\.\d+)?,-?\d+(\.\d+)?$""),VALUE(REGEXEXTRACT(SUBSTITUTE(F85,"" "",""""),""^-?\d+(\.\d+)?""))&gt;=-90,VALUE(REGEXEXTRACT(SUBSTITUTE(F85,"" "",""""),""^-?\d+(\.\d+)?""))&lt;=90,VALUE(REGEXEXTRACT(SUB"&amp;"STITUTE(F85,"" "",""""),""-?\d+(\.\d+)?$""))&gt;=-180,VALUE(REGEXEXTRACT(SUBSTITUTE(F85,"" "",""""),""-?\d+(\.\d+)?$""))&lt;=180),""OK"",""REVISAR"")"),"#N/A")</f>
        <v>#N/A</v>
      </c>
    </row>
    <row r="86" ht="15.75" customHeight="1">
      <c r="A86" s="5" t="str">
        <f t="shared" si="1"/>
        <v>AD507-0084</v>
      </c>
      <c r="C86" s="5"/>
      <c r="F86" s="5"/>
      <c r="G86" s="5" t="str">
        <f t="shared" si="2"/>
        <v/>
      </c>
      <c r="H86" s="5" t="str">
        <f t="shared" si="3"/>
        <v/>
      </c>
      <c r="I86" s="5" t="str">
        <f t="shared" si="4"/>
        <v/>
      </c>
      <c r="J86" s="5" t="str">
        <f t="shared" si="5"/>
        <v/>
      </c>
      <c r="K86" s="5" t="str">
        <f>IFERROR(__xludf.DUMMYFUNCTION("IF(C86&lt;&gt;"""",HYPERLINK(""https://wa.me/507""&amp;REGEXREPLACE(C86,""[^0-9]"","""")&amp;""?text=""&amp;ENCODEURL(""Ya llegue. Codigo: ""&amp;A86&amp;"". Ubicacion: ""&amp;""https://www.google.com/maps/search/?api=1&amp;query=""&amp;SUBSTITUTE(F86,"" "","""")),""📲 Avisar al cliente""),"""&amp;""")"),"")</f>
        <v/>
      </c>
      <c r="L86" s="5" t="str">
        <f>IFERROR(__xludf.DUMMYFUNCTION("IF(C86&lt;&gt;"""",""https://api.qrserver.com/v1/create-qr-code/?size=200x200&amp;data=""&amp;ENCODEURL(""https://wa.me/507""&amp;REGEXREPLACE(C86,""[^0-9]"","""")&amp;""?text=""&amp;ENCODEURL(""Ya llegue. Codigo: ""&amp;A86&amp;"". Ubicacion: ""&amp;""https://www.google.com/maps/search/?api="&amp;"1&amp;query=""&amp;SUBSTITUTE(F86,"" "",""""))),"""")"),"")</f>
        <v/>
      </c>
      <c r="M86" s="5" t="str">
        <f t="shared" si="6"/>
        <v/>
      </c>
      <c r="N86" s="5" t="str">
        <f>IFERROR(__xludf.DUMMYFUNCTION("IF(AND(F86&lt;&gt;"""",REGEXMATCH(SUBSTITUTE(F86,"" "",""""),""^-?\d+(\.\d+)?,-?\d+(\.\d+)?$""),VALUE(REGEXEXTRACT(SUBSTITUTE(F86,"" "",""""),""^-?\d+(\.\d+)?""))&gt;=-90,VALUE(REGEXEXTRACT(SUBSTITUTE(F86,"" "",""""),""^-?\d+(\.\d+)?""))&lt;=90,VALUE(REGEXEXTRACT(SUB"&amp;"STITUTE(F86,"" "",""""),""-?\d+(\.\d+)?$""))&gt;=-180,VALUE(REGEXEXTRACT(SUBSTITUTE(F86,"" "",""""),""-?\d+(\.\d+)?$""))&lt;=180),""OK"",""REVISAR"")"),"#N/A")</f>
        <v>#N/A</v>
      </c>
    </row>
    <row r="87" ht="15.75" customHeight="1">
      <c r="A87" s="5" t="str">
        <f t="shared" si="1"/>
        <v>AD507-0085</v>
      </c>
      <c r="C87" s="5"/>
      <c r="F87" s="5"/>
      <c r="G87" s="5" t="str">
        <f t="shared" si="2"/>
        <v/>
      </c>
      <c r="H87" s="5" t="str">
        <f t="shared" si="3"/>
        <v/>
      </c>
      <c r="I87" s="5" t="str">
        <f t="shared" si="4"/>
        <v/>
      </c>
      <c r="J87" s="5" t="str">
        <f t="shared" si="5"/>
        <v/>
      </c>
      <c r="K87" s="5" t="str">
        <f>IFERROR(__xludf.DUMMYFUNCTION("IF(C87&lt;&gt;"""",HYPERLINK(""https://wa.me/507""&amp;REGEXREPLACE(C87,""[^0-9]"","""")&amp;""?text=""&amp;ENCODEURL(""Ya llegue. Codigo: ""&amp;A87&amp;"". Ubicacion: ""&amp;""https://www.google.com/maps/search/?api=1&amp;query=""&amp;SUBSTITUTE(F87,"" "","""")),""📲 Avisar al cliente""),"""&amp;""")"),"")</f>
        <v/>
      </c>
      <c r="L87" s="5" t="str">
        <f>IFERROR(__xludf.DUMMYFUNCTION("IF(C87&lt;&gt;"""",""https://api.qrserver.com/v1/create-qr-code/?size=200x200&amp;data=""&amp;ENCODEURL(""https://wa.me/507""&amp;REGEXREPLACE(C87,""[^0-9]"","""")&amp;""?text=""&amp;ENCODEURL(""Ya llegue. Codigo: ""&amp;A87&amp;"". Ubicacion: ""&amp;""https://www.google.com/maps/search/?api="&amp;"1&amp;query=""&amp;SUBSTITUTE(F87,"" "",""""))),"""")"),"")</f>
        <v/>
      </c>
      <c r="M87" s="5" t="str">
        <f t="shared" si="6"/>
        <v/>
      </c>
      <c r="N87" s="5" t="str">
        <f>IFERROR(__xludf.DUMMYFUNCTION("IF(AND(F87&lt;&gt;"""",REGEXMATCH(SUBSTITUTE(F87,"" "",""""),""^-?\d+(\.\d+)?,-?\d+(\.\d+)?$""),VALUE(REGEXEXTRACT(SUBSTITUTE(F87,"" "",""""),""^-?\d+(\.\d+)?""))&gt;=-90,VALUE(REGEXEXTRACT(SUBSTITUTE(F87,"" "",""""),""^-?\d+(\.\d+)?""))&lt;=90,VALUE(REGEXEXTRACT(SUB"&amp;"STITUTE(F87,"" "",""""),""-?\d+(\.\d+)?$""))&gt;=-180,VALUE(REGEXEXTRACT(SUBSTITUTE(F87,"" "",""""),""-?\d+(\.\d+)?$""))&lt;=180),""OK"",""REVISAR"")"),"#N/A")</f>
        <v>#N/A</v>
      </c>
    </row>
    <row r="88" ht="15.75" customHeight="1">
      <c r="A88" s="5" t="str">
        <f t="shared" si="1"/>
        <v>AD507-0086</v>
      </c>
      <c r="C88" s="5"/>
      <c r="F88" s="5"/>
      <c r="G88" s="5" t="str">
        <f t="shared" si="2"/>
        <v/>
      </c>
      <c r="H88" s="5" t="str">
        <f t="shared" si="3"/>
        <v/>
      </c>
      <c r="I88" s="5" t="str">
        <f t="shared" si="4"/>
        <v/>
      </c>
      <c r="J88" s="5" t="str">
        <f t="shared" si="5"/>
        <v/>
      </c>
      <c r="K88" s="5" t="str">
        <f>IFERROR(__xludf.DUMMYFUNCTION("IF(C88&lt;&gt;"""",HYPERLINK(""https://wa.me/507""&amp;REGEXREPLACE(C88,""[^0-9]"","""")&amp;""?text=""&amp;ENCODEURL(""Ya llegue. Codigo: ""&amp;A88&amp;"". Ubicacion: ""&amp;""https://www.google.com/maps/search/?api=1&amp;query=""&amp;SUBSTITUTE(F88,"" "","""")),""📲 Avisar al cliente""),"""&amp;""")"),"")</f>
        <v/>
      </c>
      <c r="L88" s="5" t="str">
        <f>IFERROR(__xludf.DUMMYFUNCTION("IF(C88&lt;&gt;"""",""https://api.qrserver.com/v1/create-qr-code/?size=200x200&amp;data=""&amp;ENCODEURL(""https://wa.me/507""&amp;REGEXREPLACE(C88,""[^0-9]"","""")&amp;""?text=""&amp;ENCODEURL(""Ya llegue. Codigo: ""&amp;A88&amp;"". Ubicacion: ""&amp;""https://www.google.com/maps/search/?api="&amp;"1&amp;query=""&amp;SUBSTITUTE(F88,"" "",""""))),"""")"),"")</f>
        <v/>
      </c>
      <c r="M88" s="5" t="str">
        <f t="shared" si="6"/>
        <v/>
      </c>
      <c r="N88" s="5" t="str">
        <f>IFERROR(__xludf.DUMMYFUNCTION("IF(AND(F88&lt;&gt;"""",REGEXMATCH(SUBSTITUTE(F88,"" "",""""),""^-?\d+(\.\d+)?,-?\d+(\.\d+)?$""),VALUE(REGEXEXTRACT(SUBSTITUTE(F88,"" "",""""),""^-?\d+(\.\d+)?""))&gt;=-90,VALUE(REGEXEXTRACT(SUBSTITUTE(F88,"" "",""""),""^-?\d+(\.\d+)?""))&lt;=90,VALUE(REGEXEXTRACT(SUB"&amp;"STITUTE(F88,"" "",""""),""-?\d+(\.\d+)?$""))&gt;=-180,VALUE(REGEXEXTRACT(SUBSTITUTE(F88,"" "",""""),""-?\d+(\.\d+)?$""))&lt;=180),""OK"",""REVISAR"")"),"#N/A")</f>
        <v>#N/A</v>
      </c>
    </row>
    <row r="89" ht="15.75" customHeight="1">
      <c r="A89" s="5" t="str">
        <f t="shared" si="1"/>
        <v>AD507-0087</v>
      </c>
      <c r="C89" s="5"/>
      <c r="F89" s="5"/>
      <c r="G89" s="5" t="str">
        <f t="shared" si="2"/>
        <v/>
      </c>
      <c r="H89" s="5" t="str">
        <f t="shared" si="3"/>
        <v/>
      </c>
      <c r="I89" s="5" t="str">
        <f t="shared" si="4"/>
        <v/>
      </c>
      <c r="J89" s="5" t="str">
        <f t="shared" si="5"/>
        <v/>
      </c>
      <c r="K89" s="5" t="str">
        <f>IFERROR(__xludf.DUMMYFUNCTION("IF(C89&lt;&gt;"""",HYPERLINK(""https://wa.me/507""&amp;REGEXREPLACE(C89,""[^0-9]"","""")&amp;""?text=""&amp;ENCODEURL(""Ya llegue. Codigo: ""&amp;A89&amp;"". Ubicacion: ""&amp;""https://www.google.com/maps/search/?api=1&amp;query=""&amp;SUBSTITUTE(F89,"" "","""")),""📲 Avisar al cliente""),"""&amp;""")"),"")</f>
        <v/>
      </c>
      <c r="L89" s="5" t="str">
        <f>IFERROR(__xludf.DUMMYFUNCTION("IF(C89&lt;&gt;"""",""https://api.qrserver.com/v1/create-qr-code/?size=200x200&amp;data=""&amp;ENCODEURL(""https://wa.me/507""&amp;REGEXREPLACE(C89,""[^0-9]"","""")&amp;""?text=""&amp;ENCODEURL(""Ya llegue. Codigo: ""&amp;A89&amp;"". Ubicacion: ""&amp;""https://www.google.com/maps/search/?api="&amp;"1&amp;query=""&amp;SUBSTITUTE(F89,"" "",""""))),"""")"),"")</f>
        <v/>
      </c>
      <c r="M89" s="5" t="str">
        <f t="shared" si="6"/>
        <v/>
      </c>
      <c r="N89" s="5" t="str">
        <f>IFERROR(__xludf.DUMMYFUNCTION("IF(AND(F89&lt;&gt;"""",REGEXMATCH(SUBSTITUTE(F89,"" "",""""),""^-?\d+(\.\d+)?,-?\d+(\.\d+)?$""),VALUE(REGEXEXTRACT(SUBSTITUTE(F89,"" "",""""),""^-?\d+(\.\d+)?""))&gt;=-90,VALUE(REGEXEXTRACT(SUBSTITUTE(F89,"" "",""""),""^-?\d+(\.\d+)?""))&lt;=90,VALUE(REGEXEXTRACT(SUB"&amp;"STITUTE(F89,"" "",""""),""-?\d+(\.\d+)?$""))&gt;=-180,VALUE(REGEXEXTRACT(SUBSTITUTE(F89,"" "",""""),""-?\d+(\.\d+)?$""))&lt;=180),""OK"",""REVISAR"")"),"#N/A")</f>
        <v>#N/A</v>
      </c>
    </row>
    <row r="90" ht="15.75" customHeight="1">
      <c r="A90" s="5" t="str">
        <f t="shared" si="1"/>
        <v>AD507-0088</v>
      </c>
      <c r="C90" s="5"/>
      <c r="F90" s="5"/>
      <c r="G90" s="5" t="str">
        <f t="shared" si="2"/>
        <v/>
      </c>
      <c r="H90" s="5" t="str">
        <f t="shared" si="3"/>
        <v/>
      </c>
      <c r="I90" s="5" t="str">
        <f t="shared" si="4"/>
        <v/>
      </c>
      <c r="J90" s="5" t="str">
        <f t="shared" si="5"/>
        <v/>
      </c>
      <c r="K90" s="5" t="str">
        <f>IFERROR(__xludf.DUMMYFUNCTION("IF(C90&lt;&gt;"""",HYPERLINK(""https://wa.me/507""&amp;REGEXREPLACE(C90,""[^0-9]"","""")&amp;""?text=""&amp;ENCODEURL(""Ya llegue. Codigo: ""&amp;A90&amp;"". Ubicacion: ""&amp;""https://www.google.com/maps/search/?api=1&amp;query=""&amp;SUBSTITUTE(F90,"" "","""")),""📲 Avisar al cliente""),"""&amp;""")"),"")</f>
        <v/>
      </c>
      <c r="L90" s="5" t="str">
        <f>IFERROR(__xludf.DUMMYFUNCTION("IF(C90&lt;&gt;"""",""https://api.qrserver.com/v1/create-qr-code/?size=200x200&amp;data=""&amp;ENCODEURL(""https://wa.me/507""&amp;REGEXREPLACE(C90,""[^0-9]"","""")&amp;""?text=""&amp;ENCODEURL(""Ya llegue. Codigo: ""&amp;A90&amp;"". Ubicacion: ""&amp;""https://www.google.com/maps/search/?api="&amp;"1&amp;query=""&amp;SUBSTITUTE(F90,"" "",""""))),"""")"),"")</f>
        <v/>
      </c>
      <c r="M90" s="5" t="str">
        <f t="shared" si="6"/>
        <v/>
      </c>
      <c r="N90" s="5" t="str">
        <f>IFERROR(__xludf.DUMMYFUNCTION("IF(AND(F90&lt;&gt;"""",REGEXMATCH(SUBSTITUTE(F90,"" "",""""),""^-?\d+(\.\d+)?,-?\d+(\.\d+)?$""),VALUE(REGEXEXTRACT(SUBSTITUTE(F90,"" "",""""),""^-?\d+(\.\d+)?""))&gt;=-90,VALUE(REGEXEXTRACT(SUBSTITUTE(F90,"" "",""""),""^-?\d+(\.\d+)?""))&lt;=90,VALUE(REGEXEXTRACT(SUB"&amp;"STITUTE(F90,"" "",""""),""-?\d+(\.\d+)?$""))&gt;=-180,VALUE(REGEXEXTRACT(SUBSTITUTE(F90,"" "",""""),""-?\d+(\.\d+)?$""))&lt;=180),""OK"",""REVISAR"")"),"#N/A")</f>
        <v>#N/A</v>
      </c>
    </row>
    <row r="91" ht="15.75" customHeight="1">
      <c r="A91" s="5" t="str">
        <f t="shared" si="1"/>
        <v>AD507-0089</v>
      </c>
      <c r="C91" s="5"/>
      <c r="F91" s="5"/>
      <c r="G91" s="5" t="str">
        <f t="shared" si="2"/>
        <v/>
      </c>
      <c r="H91" s="5" t="str">
        <f t="shared" si="3"/>
        <v/>
      </c>
      <c r="I91" s="5" t="str">
        <f t="shared" si="4"/>
        <v/>
      </c>
      <c r="J91" s="5" t="str">
        <f t="shared" si="5"/>
        <v/>
      </c>
      <c r="K91" s="5" t="str">
        <f>IFERROR(__xludf.DUMMYFUNCTION("IF(C91&lt;&gt;"""",HYPERLINK(""https://wa.me/507""&amp;REGEXREPLACE(C91,""[^0-9]"","""")&amp;""?text=""&amp;ENCODEURL(""Ya llegue. Codigo: ""&amp;A91&amp;"". Ubicacion: ""&amp;""https://www.google.com/maps/search/?api=1&amp;query=""&amp;SUBSTITUTE(F91,"" "","""")),""📲 Avisar al cliente""),"""&amp;""")"),"")</f>
        <v/>
      </c>
      <c r="L91" s="5" t="str">
        <f>IFERROR(__xludf.DUMMYFUNCTION("IF(C91&lt;&gt;"""",""https://api.qrserver.com/v1/create-qr-code/?size=200x200&amp;data=""&amp;ENCODEURL(""https://wa.me/507""&amp;REGEXREPLACE(C91,""[^0-9]"","""")&amp;""?text=""&amp;ENCODEURL(""Ya llegue. Codigo: ""&amp;A91&amp;"". Ubicacion: ""&amp;""https://www.google.com/maps/search/?api="&amp;"1&amp;query=""&amp;SUBSTITUTE(F91,"" "",""""))),"""")"),"")</f>
        <v/>
      </c>
      <c r="M91" s="5" t="str">
        <f t="shared" si="6"/>
        <v/>
      </c>
      <c r="N91" s="5" t="str">
        <f>IFERROR(__xludf.DUMMYFUNCTION("IF(AND(F91&lt;&gt;"""",REGEXMATCH(SUBSTITUTE(F91,"" "",""""),""^-?\d+(\.\d+)?,-?\d+(\.\d+)?$""),VALUE(REGEXEXTRACT(SUBSTITUTE(F91,"" "",""""),""^-?\d+(\.\d+)?""))&gt;=-90,VALUE(REGEXEXTRACT(SUBSTITUTE(F91,"" "",""""),""^-?\d+(\.\d+)?""))&lt;=90,VALUE(REGEXEXTRACT(SUB"&amp;"STITUTE(F91,"" "",""""),""-?\d+(\.\d+)?$""))&gt;=-180,VALUE(REGEXEXTRACT(SUBSTITUTE(F91,"" "",""""),""-?\d+(\.\d+)?$""))&lt;=180),""OK"",""REVISAR"")"),"#N/A")</f>
        <v>#N/A</v>
      </c>
    </row>
    <row r="92" ht="15.75" customHeight="1">
      <c r="A92" s="5" t="str">
        <f t="shared" si="1"/>
        <v>AD507-0090</v>
      </c>
      <c r="C92" s="5"/>
      <c r="F92" s="5"/>
      <c r="G92" s="5" t="str">
        <f t="shared" si="2"/>
        <v/>
      </c>
      <c r="H92" s="5" t="str">
        <f t="shared" si="3"/>
        <v/>
      </c>
      <c r="I92" s="5" t="str">
        <f t="shared" si="4"/>
        <v/>
      </c>
      <c r="J92" s="5" t="str">
        <f t="shared" si="5"/>
        <v/>
      </c>
      <c r="K92" s="5" t="str">
        <f>IFERROR(__xludf.DUMMYFUNCTION("IF(C92&lt;&gt;"""",HYPERLINK(""https://wa.me/507""&amp;REGEXREPLACE(C92,""[^0-9]"","""")&amp;""?text=""&amp;ENCODEURL(""Ya llegue. Codigo: ""&amp;A92&amp;"". Ubicacion: ""&amp;""https://www.google.com/maps/search/?api=1&amp;query=""&amp;SUBSTITUTE(F92,"" "","""")),""📲 Avisar al cliente""),"""&amp;""")"),"")</f>
        <v/>
      </c>
      <c r="L92" s="5" t="str">
        <f>IFERROR(__xludf.DUMMYFUNCTION("IF(C92&lt;&gt;"""",""https://api.qrserver.com/v1/create-qr-code/?size=200x200&amp;data=""&amp;ENCODEURL(""https://wa.me/507""&amp;REGEXREPLACE(C92,""[^0-9]"","""")&amp;""?text=""&amp;ENCODEURL(""Ya llegue. Codigo: ""&amp;A92&amp;"". Ubicacion: ""&amp;""https://www.google.com/maps/search/?api="&amp;"1&amp;query=""&amp;SUBSTITUTE(F92,"" "",""""))),"""")"),"")</f>
        <v/>
      </c>
      <c r="M92" s="5" t="str">
        <f t="shared" si="6"/>
        <v/>
      </c>
      <c r="N92" s="5" t="str">
        <f>IFERROR(__xludf.DUMMYFUNCTION("IF(AND(F92&lt;&gt;"""",REGEXMATCH(SUBSTITUTE(F92,"" "",""""),""^-?\d+(\.\d+)?,-?\d+(\.\d+)?$""),VALUE(REGEXEXTRACT(SUBSTITUTE(F92,"" "",""""),""^-?\d+(\.\d+)?""))&gt;=-90,VALUE(REGEXEXTRACT(SUBSTITUTE(F92,"" "",""""),""^-?\d+(\.\d+)?""))&lt;=90,VALUE(REGEXEXTRACT(SUB"&amp;"STITUTE(F92,"" "",""""),""-?\d+(\.\d+)?$""))&gt;=-180,VALUE(REGEXEXTRACT(SUBSTITUTE(F92,"" "",""""),""-?\d+(\.\d+)?$""))&lt;=180),""OK"",""REVISAR"")"),"#N/A")</f>
        <v>#N/A</v>
      </c>
    </row>
    <row r="93" ht="15.75" customHeight="1">
      <c r="A93" s="5" t="str">
        <f t="shared" si="1"/>
        <v>AD507-0091</v>
      </c>
      <c r="C93" s="5"/>
      <c r="F93" s="5"/>
      <c r="G93" s="5" t="str">
        <f t="shared" si="2"/>
        <v/>
      </c>
      <c r="H93" s="5" t="str">
        <f t="shared" si="3"/>
        <v/>
      </c>
      <c r="I93" s="5" t="str">
        <f t="shared" si="4"/>
        <v/>
      </c>
      <c r="J93" s="5" t="str">
        <f t="shared" si="5"/>
        <v/>
      </c>
      <c r="K93" s="5" t="str">
        <f>IFERROR(__xludf.DUMMYFUNCTION("IF(C93&lt;&gt;"""",HYPERLINK(""https://wa.me/507""&amp;REGEXREPLACE(C93,""[^0-9]"","""")&amp;""?text=""&amp;ENCODEURL(""Ya llegue. Codigo: ""&amp;A93&amp;"". Ubicacion: ""&amp;""https://www.google.com/maps/search/?api=1&amp;query=""&amp;SUBSTITUTE(F93,"" "","""")),""📲 Avisar al cliente""),"""&amp;""")"),"")</f>
        <v/>
      </c>
      <c r="L93" s="5" t="str">
        <f>IFERROR(__xludf.DUMMYFUNCTION("IF(C93&lt;&gt;"""",""https://api.qrserver.com/v1/create-qr-code/?size=200x200&amp;data=""&amp;ENCODEURL(""https://wa.me/507""&amp;REGEXREPLACE(C93,""[^0-9]"","""")&amp;""?text=""&amp;ENCODEURL(""Ya llegue. Codigo: ""&amp;A93&amp;"". Ubicacion: ""&amp;""https://www.google.com/maps/search/?api="&amp;"1&amp;query=""&amp;SUBSTITUTE(F93,"" "",""""))),"""")"),"")</f>
        <v/>
      </c>
      <c r="M93" s="5" t="str">
        <f t="shared" si="6"/>
        <v/>
      </c>
      <c r="N93" s="5" t="str">
        <f>IFERROR(__xludf.DUMMYFUNCTION("IF(AND(F93&lt;&gt;"""",REGEXMATCH(SUBSTITUTE(F93,"" "",""""),""^-?\d+(\.\d+)?,-?\d+(\.\d+)?$""),VALUE(REGEXEXTRACT(SUBSTITUTE(F93,"" "",""""),""^-?\d+(\.\d+)?""))&gt;=-90,VALUE(REGEXEXTRACT(SUBSTITUTE(F93,"" "",""""),""^-?\d+(\.\d+)?""))&lt;=90,VALUE(REGEXEXTRACT(SUB"&amp;"STITUTE(F93,"" "",""""),""-?\d+(\.\d+)?$""))&gt;=-180,VALUE(REGEXEXTRACT(SUBSTITUTE(F93,"" "",""""),""-?\d+(\.\d+)?$""))&lt;=180),""OK"",""REVISAR"")"),"#N/A")</f>
        <v>#N/A</v>
      </c>
    </row>
    <row r="94" ht="15.75" customHeight="1">
      <c r="A94" s="5" t="str">
        <f t="shared" si="1"/>
        <v>AD507-0092</v>
      </c>
      <c r="C94" s="5"/>
      <c r="F94" s="5"/>
      <c r="G94" s="5" t="str">
        <f t="shared" si="2"/>
        <v/>
      </c>
      <c r="H94" s="5" t="str">
        <f t="shared" si="3"/>
        <v/>
      </c>
      <c r="I94" s="5" t="str">
        <f t="shared" si="4"/>
        <v/>
      </c>
      <c r="J94" s="5" t="str">
        <f t="shared" si="5"/>
        <v/>
      </c>
      <c r="K94" s="5" t="str">
        <f>IFERROR(__xludf.DUMMYFUNCTION("IF(C94&lt;&gt;"""",HYPERLINK(""https://wa.me/507""&amp;REGEXREPLACE(C94,""[^0-9]"","""")&amp;""?text=""&amp;ENCODEURL(""Ya llegue. Codigo: ""&amp;A94&amp;"". Ubicacion: ""&amp;""https://www.google.com/maps/search/?api=1&amp;query=""&amp;SUBSTITUTE(F94,"" "","""")),""📲 Avisar al cliente""),"""&amp;""")"),"")</f>
        <v/>
      </c>
      <c r="L94" s="5" t="str">
        <f>IFERROR(__xludf.DUMMYFUNCTION("IF(C94&lt;&gt;"""",""https://api.qrserver.com/v1/create-qr-code/?size=200x200&amp;data=""&amp;ENCODEURL(""https://wa.me/507""&amp;REGEXREPLACE(C94,""[^0-9]"","""")&amp;""?text=""&amp;ENCODEURL(""Ya llegue. Codigo: ""&amp;A94&amp;"". Ubicacion: ""&amp;""https://www.google.com/maps/search/?api="&amp;"1&amp;query=""&amp;SUBSTITUTE(F94,"" "",""""))),"""")"),"")</f>
        <v/>
      </c>
      <c r="M94" s="5" t="str">
        <f t="shared" si="6"/>
        <v/>
      </c>
      <c r="N94" s="5" t="str">
        <f>IFERROR(__xludf.DUMMYFUNCTION("IF(AND(F94&lt;&gt;"""",REGEXMATCH(SUBSTITUTE(F94,"" "",""""),""^-?\d+(\.\d+)?,-?\d+(\.\d+)?$""),VALUE(REGEXEXTRACT(SUBSTITUTE(F94,"" "",""""),""^-?\d+(\.\d+)?""))&gt;=-90,VALUE(REGEXEXTRACT(SUBSTITUTE(F94,"" "",""""),""^-?\d+(\.\d+)?""))&lt;=90,VALUE(REGEXEXTRACT(SUB"&amp;"STITUTE(F94,"" "",""""),""-?\d+(\.\d+)?$""))&gt;=-180,VALUE(REGEXEXTRACT(SUBSTITUTE(F94,"" "",""""),""-?\d+(\.\d+)?$""))&lt;=180),""OK"",""REVISAR"")"),"#N/A")</f>
        <v>#N/A</v>
      </c>
    </row>
    <row r="95" ht="15.75" customHeight="1">
      <c r="A95" s="5" t="str">
        <f t="shared" si="1"/>
        <v>AD507-0093</v>
      </c>
      <c r="C95" s="5"/>
      <c r="F95" s="5"/>
      <c r="G95" s="5" t="str">
        <f t="shared" si="2"/>
        <v/>
      </c>
      <c r="H95" s="5" t="str">
        <f t="shared" si="3"/>
        <v/>
      </c>
      <c r="I95" s="5" t="str">
        <f t="shared" si="4"/>
        <v/>
      </c>
      <c r="J95" s="5" t="str">
        <f t="shared" si="5"/>
        <v/>
      </c>
      <c r="K95" s="5" t="str">
        <f>IFERROR(__xludf.DUMMYFUNCTION("IF(C95&lt;&gt;"""",HYPERLINK(""https://wa.me/507""&amp;REGEXREPLACE(C95,""[^0-9]"","""")&amp;""?text=""&amp;ENCODEURL(""Ya llegue. Codigo: ""&amp;A95&amp;"". Ubicacion: ""&amp;""https://www.google.com/maps/search/?api=1&amp;query=""&amp;SUBSTITUTE(F95,"" "","""")),""📲 Avisar al cliente""),"""&amp;""")"),"")</f>
        <v/>
      </c>
      <c r="L95" s="5" t="str">
        <f>IFERROR(__xludf.DUMMYFUNCTION("IF(C95&lt;&gt;"""",""https://api.qrserver.com/v1/create-qr-code/?size=200x200&amp;data=""&amp;ENCODEURL(""https://wa.me/507""&amp;REGEXREPLACE(C95,""[^0-9]"","""")&amp;""?text=""&amp;ENCODEURL(""Ya llegue. Codigo: ""&amp;A95&amp;"". Ubicacion: ""&amp;""https://www.google.com/maps/search/?api="&amp;"1&amp;query=""&amp;SUBSTITUTE(F95,"" "",""""))),"""")"),"")</f>
        <v/>
      </c>
      <c r="M95" s="5" t="str">
        <f t="shared" si="6"/>
        <v/>
      </c>
      <c r="N95" s="5" t="str">
        <f>IFERROR(__xludf.DUMMYFUNCTION("IF(AND(F95&lt;&gt;"""",REGEXMATCH(SUBSTITUTE(F95,"" "",""""),""^-?\d+(\.\d+)?,-?\d+(\.\d+)?$""),VALUE(REGEXEXTRACT(SUBSTITUTE(F95,"" "",""""),""^-?\d+(\.\d+)?""))&gt;=-90,VALUE(REGEXEXTRACT(SUBSTITUTE(F95,"" "",""""),""^-?\d+(\.\d+)?""))&lt;=90,VALUE(REGEXEXTRACT(SUB"&amp;"STITUTE(F95,"" "",""""),""-?\d+(\.\d+)?$""))&gt;=-180,VALUE(REGEXEXTRACT(SUBSTITUTE(F95,"" "",""""),""-?\d+(\.\d+)?$""))&lt;=180),""OK"",""REVISAR"")"),"#N/A")</f>
        <v>#N/A</v>
      </c>
    </row>
    <row r="96" ht="15.75" customHeight="1">
      <c r="A96" s="5" t="str">
        <f t="shared" si="1"/>
        <v>AD507-0094</v>
      </c>
      <c r="C96" s="5"/>
      <c r="F96" s="5"/>
      <c r="G96" s="5" t="str">
        <f t="shared" si="2"/>
        <v/>
      </c>
      <c r="H96" s="5" t="str">
        <f t="shared" si="3"/>
        <v/>
      </c>
      <c r="I96" s="5" t="str">
        <f t="shared" si="4"/>
        <v/>
      </c>
      <c r="J96" s="5" t="str">
        <f t="shared" si="5"/>
        <v/>
      </c>
      <c r="K96" s="5" t="str">
        <f>IFERROR(__xludf.DUMMYFUNCTION("IF(C96&lt;&gt;"""",HYPERLINK(""https://wa.me/507""&amp;REGEXREPLACE(C96,""[^0-9]"","""")&amp;""?text=""&amp;ENCODEURL(""Ya llegue. Codigo: ""&amp;A96&amp;"". Ubicacion: ""&amp;""https://www.google.com/maps/search/?api=1&amp;query=""&amp;SUBSTITUTE(F96,"" "","""")),""📲 Avisar al cliente""),"""&amp;""")"),"")</f>
        <v/>
      </c>
      <c r="L96" s="5" t="str">
        <f>IFERROR(__xludf.DUMMYFUNCTION("IF(C96&lt;&gt;"""",""https://api.qrserver.com/v1/create-qr-code/?size=200x200&amp;data=""&amp;ENCODEURL(""https://wa.me/507""&amp;REGEXREPLACE(C96,""[^0-9]"","""")&amp;""?text=""&amp;ENCODEURL(""Ya llegue. Codigo: ""&amp;A96&amp;"". Ubicacion: ""&amp;""https://www.google.com/maps/search/?api="&amp;"1&amp;query=""&amp;SUBSTITUTE(F96,"" "",""""))),"""")"),"")</f>
        <v/>
      </c>
      <c r="M96" s="5" t="str">
        <f t="shared" si="6"/>
        <v/>
      </c>
      <c r="N96" s="5" t="str">
        <f>IFERROR(__xludf.DUMMYFUNCTION("IF(AND(F96&lt;&gt;"""",REGEXMATCH(SUBSTITUTE(F96,"" "",""""),""^-?\d+(\.\d+)?,-?\d+(\.\d+)?$""),VALUE(REGEXEXTRACT(SUBSTITUTE(F96,"" "",""""),""^-?\d+(\.\d+)?""))&gt;=-90,VALUE(REGEXEXTRACT(SUBSTITUTE(F96,"" "",""""),""^-?\d+(\.\d+)?""))&lt;=90,VALUE(REGEXEXTRACT(SUB"&amp;"STITUTE(F96,"" "",""""),""-?\d+(\.\d+)?$""))&gt;=-180,VALUE(REGEXEXTRACT(SUBSTITUTE(F96,"" "",""""),""-?\d+(\.\d+)?$""))&lt;=180),""OK"",""REVISAR"")"),"#N/A")</f>
        <v>#N/A</v>
      </c>
    </row>
    <row r="97" ht="15.75" customHeight="1">
      <c r="A97" s="5" t="str">
        <f t="shared" si="1"/>
        <v>AD507-0095</v>
      </c>
      <c r="C97" s="5"/>
      <c r="F97" s="5"/>
      <c r="G97" s="5" t="str">
        <f t="shared" si="2"/>
        <v/>
      </c>
      <c r="H97" s="5" t="str">
        <f t="shared" si="3"/>
        <v/>
      </c>
      <c r="I97" s="5" t="str">
        <f t="shared" si="4"/>
        <v/>
      </c>
      <c r="J97" s="5" t="str">
        <f t="shared" si="5"/>
        <v/>
      </c>
      <c r="K97" s="5" t="str">
        <f>IFERROR(__xludf.DUMMYFUNCTION("IF(C97&lt;&gt;"""",HYPERLINK(""https://wa.me/507""&amp;REGEXREPLACE(C97,""[^0-9]"","""")&amp;""?text=""&amp;ENCODEURL(""Ya llegue. Codigo: ""&amp;A97&amp;"". Ubicacion: ""&amp;""https://www.google.com/maps/search/?api=1&amp;query=""&amp;SUBSTITUTE(F97,"" "","""")),""📲 Avisar al cliente""),"""&amp;""")"),"")</f>
        <v/>
      </c>
      <c r="L97" s="5" t="str">
        <f>IFERROR(__xludf.DUMMYFUNCTION("IF(C97&lt;&gt;"""",""https://api.qrserver.com/v1/create-qr-code/?size=200x200&amp;data=""&amp;ENCODEURL(""https://wa.me/507""&amp;REGEXREPLACE(C97,""[^0-9]"","""")&amp;""?text=""&amp;ENCODEURL(""Ya llegue. Codigo: ""&amp;A97&amp;"". Ubicacion: ""&amp;""https://www.google.com/maps/search/?api="&amp;"1&amp;query=""&amp;SUBSTITUTE(F97,"" "",""""))),"""")"),"")</f>
        <v/>
      </c>
      <c r="M97" s="5" t="str">
        <f t="shared" si="6"/>
        <v/>
      </c>
      <c r="N97" s="5" t="str">
        <f>IFERROR(__xludf.DUMMYFUNCTION("IF(AND(F97&lt;&gt;"""",REGEXMATCH(SUBSTITUTE(F97,"" "",""""),""^-?\d+(\.\d+)?,-?\d+(\.\d+)?$""),VALUE(REGEXEXTRACT(SUBSTITUTE(F97,"" "",""""),""^-?\d+(\.\d+)?""))&gt;=-90,VALUE(REGEXEXTRACT(SUBSTITUTE(F97,"" "",""""),""^-?\d+(\.\d+)?""))&lt;=90,VALUE(REGEXEXTRACT(SUB"&amp;"STITUTE(F97,"" "",""""),""-?\d+(\.\d+)?$""))&gt;=-180,VALUE(REGEXEXTRACT(SUBSTITUTE(F97,"" "",""""),""-?\d+(\.\d+)?$""))&lt;=180),""OK"",""REVISAR"")"),"#N/A")</f>
        <v>#N/A</v>
      </c>
    </row>
    <row r="98" ht="15.75" customHeight="1">
      <c r="A98" s="5" t="str">
        <f t="shared" si="1"/>
        <v>AD507-0096</v>
      </c>
      <c r="C98" s="5"/>
      <c r="F98" s="5"/>
      <c r="G98" s="5" t="str">
        <f t="shared" si="2"/>
        <v/>
      </c>
      <c r="H98" s="5" t="str">
        <f t="shared" si="3"/>
        <v/>
      </c>
      <c r="I98" s="5" t="str">
        <f t="shared" si="4"/>
        <v/>
      </c>
      <c r="J98" s="5" t="str">
        <f t="shared" si="5"/>
        <v/>
      </c>
      <c r="K98" s="5" t="str">
        <f>IFERROR(__xludf.DUMMYFUNCTION("IF(C98&lt;&gt;"""",HYPERLINK(""https://wa.me/507""&amp;REGEXREPLACE(C98,""[^0-9]"","""")&amp;""?text=""&amp;ENCODEURL(""Ya llegue. Codigo: ""&amp;A98&amp;"". Ubicacion: ""&amp;""https://www.google.com/maps/search/?api=1&amp;query=""&amp;SUBSTITUTE(F98,"" "","""")),""📲 Avisar al cliente""),"""&amp;""")"),"")</f>
        <v/>
      </c>
      <c r="L98" s="5" t="str">
        <f>IFERROR(__xludf.DUMMYFUNCTION("IF(C98&lt;&gt;"""",""https://api.qrserver.com/v1/create-qr-code/?size=200x200&amp;data=""&amp;ENCODEURL(""https://wa.me/507""&amp;REGEXREPLACE(C98,""[^0-9]"","""")&amp;""?text=""&amp;ENCODEURL(""Ya llegue. Codigo: ""&amp;A98&amp;"". Ubicacion: ""&amp;""https://www.google.com/maps/search/?api="&amp;"1&amp;query=""&amp;SUBSTITUTE(F98,"" "",""""))),"""")"),"")</f>
        <v/>
      </c>
      <c r="M98" s="5" t="str">
        <f t="shared" si="6"/>
        <v/>
      </c>
      <c r="N98" s="5" t="str">
        <f>IFERROR(__xludf.DUMMYFUNCTION("IF(AND(F98&lt;&gt;"""",REGEXMATCH(SUBSTITUTE(F98,"" "",""""),""^-?\d+(\.\d+)?,-?\d+(\.\d+)?$""),VALUE(REGEXEXTRACT(SUBSTITUTE(F98,"" "",""""),""^-?\d+(\.\d+)?""))&gt;=-90,VALUE(REGEXEXTRACT(SUBSTITUTE(F98,"" "",""""),""^-?\d+(\.\d+)?""))&lt;=90,VALUE(REGEXEXTRACT(SUB"&amp;"STITUTE(F98,"" "",""""),""-?\d+(\.\d+)?$""))&gt;=-180,VALUE(REGEXEXTRACT(SUBSTITUTE(F98,"" "",""""),""-?\d+(\.\d+)?$""))&lt;=180),""OK"",""REVISAR"")"),"#N/A")</f>
        <v>#N/A</v>
      </c>
    </row>
    <row r="99" ht="15.75" customHeight="1">
      <c r="A99" s="5" t="str">
        <f t="shared" si="1"/>
        <v>AD507-0097</v>
      </c>
      <c r="C99" s="5"/>
      <c r="F99" s="5"/>
      <c r="G99" s="5" t="str">
        <f t="shared" si="2"/>
        <v/>
      </c>
      <c r="H99" s="5" t="str">
        <f t="shared" si="3"/>
        <v/>
      </c>
      <c r="I99" s="5" t="str">
        <f t="shared" si="4"/>
        <v/>
      </c>
      <c r="J99" s="5" t="str">
        <f t="shared" si="5"/>
        <v/>
      </c>
      <c r="K99" s="5" t="str">
        <f>IFERROR(__xludf.DUMMYFUNCTION("IF(C99&lt;&gt;"""",HYPERLINK(""https://wa.me/507""&amp;REGEXREPLACE(C99,""[^0-9]"","""")&amp;""?text=""&amp;ENCODEURL(""Ya llegue. Codigo: ""&amp;A99&amp;"". Ubicacion: ""&amp;""https://www.google.com/maps/search/?api=1&amp;query=""&amp;SUBSTITUTE(F99,"" "","""")),""📲 Avisar al cliente""),"""&amp;""")"),"")</f>
        <v/>
      </c>
      <c r="L99" s="5" t="str">
        <f>IFERROR(__xludf.DUMMYFUNCTION("IF(C99&lt;&gt;"""",""https://api.qrserver.com/v1/create-qr-code/?size=200x200&amp;data=""&amp;ENCODEURL(""https://wa.me/507""&amp;REGEXREPLACE(C99,""[^0-9]"","""")&amp;""?text=""&amp;ENCODEURL(""Ya llegue. Codigo: ""&amp;A99&amp;"". Ubicacion: ""&amp;""https://www.google.com/maps/search/?api="&amp;"1&amp;query=""&amp;SUBSTITUTE(F99,"" "",""""))),"""")"),"")</f>
        <v/>
      </c>
      <c r="M99" s="5" t="str">
        <f t="shared" si="6"/>
        <v/>
      </c>
      <c r="N99" s="5" t="str">
        <f>IFERROR(__xludf.DUMMYFUNCTION("IF(AND(F99&lt;&gt;"""",REGEXMATCH(SUBSTITUTE(F99,"" "",""""),""^-?\d+(\.\d+)?,-?\d+(\.\d+)?$""),VALUE(REGEXEXTRACT(SUBSTITUTE(F99,"" "",""""),""^-?\d+(\.\d+)?""))&gt;=-90,VALUE(REGEXEXTRACT(SUBSTITUTE(F99,"" "",""""),""^-?\d+(\.\d+)?""))&lt;=90,VALUE(REGEXEXTRACT(SUB"&amp;"STITUTE(F99,"" "",""""),""-?\d+(\.\d+)?$""))&gt;=-180,VALUE(REGEXEXTRACT(SUBSTITUTE(F99,"" "",""""),""-?\d+(\.\d+)?$""))&lt;=180),""OK"",""REVISAR"")"),"#N/A")</f>
        <v>#N/A</v>
      </c>
    </row>
    <row r="100" ht="15.75" customHeight="1">
      <c r="A100" s="5" t="str">
        <f t="shared" si="1"/>
        <v>AD507-0098</v>
      </c>
      <c r="C100" s="5"/>
      <c r="F100" s="5"/>
      <c r="G100" s="5" t="str">
        <f t="shared" si="2"/>
        <v/>
      </c>
      <c r="H100" s="5" t="str">
        <f t="shared" si="3"/>
        <v/>
      </c>
      <c r="I100" s="5" t="str">
        <f t="shared" si="4"/>
        <v/>
      </c>
      <c r="J100" s="5" t="str">
        <f t="shared" si="5"/>
        <v/>
      </c>
      <c r="K100" s="5" t="str">
        <f>IFERROR(__xludf.DUMMYFUNCTION("IF(C100&lt;&gt;"""",HYPERLINK(""https://wa.me/507""&amp;REGEXREPLACE(C100,""[^0-9]"","""")&amp;""?text=""&amp;ENCODEURL(""Ya llegue. Codigo: ""&amp;A100&amp;"". Ubicacion: ""&amp;""https://www.google.com/maps/search/?api=1&amp;query=""&amp;SUBSTITUTE(F100,"" "","""")),""📲 Avisar al cliente"""&amp;"),"""")"),"")</f>
        <v/>
      </c>
      <c r="L100" s="5" t="str">
        <f>IFERROR(__xludf.DUMMYFUNCTION("IF(C100&lt;&gt;"""",""https://api.qrserver.com/v1/create-qr-code/?size=200x200&amp;data=""&amp;ENCODEURL(""https://wa.me/507""&amp;REGEXREPLACE(C100,""[^0-9]"","""")&amp;""?text=""&amp;ENCODEURL(""Ya llegue. Codigo: ""&amp;A100&amp;"". Ubicacion: ""&amp;""https://www.google.com/maps/search/?a"&amp;"pi=1&amp;query=""&amp;SUBSTITUTE(F100,"" "",""""))),"""")"),"")</f>
        <v/>
      </c>
      <c r="M100" s="5" t="str">
        <f t="shared" si="6"/>
        <v/>
      </c>
      <c r="N100" s="5" t="str">
        <f>IFERROR(__xludf.DUMMYFUNCTION("IF(AND(F100&lt;&gt;"""",REGEXMATCH(SUBSTITUTE(F100,"" "",""""),""^-?\d+(\.\d+)?,-?\d+(\.\d+)?$""),VALUE(REGEXEXTRACT(SUBSTITUTE(F100,"" "",""""),""^-?\d+(\.\d+)?""))&gt;=-90,VALUE(REGEXEXTRACT(SUBSTITUTE(F100,"" "",""""),""^-?\d+(\.\d+)?""))&lt;=90,VALUE(REGEXEXTRACT"&amp;"(SUBSTITUTE(F100,"" "",""""),""-?\d+(\.\d+)?$""))&gt;=-180,VALUE(REGEXEXTRACT(SUBSTITUTE(F100,"" "",""""),""-?\d+(\.\d+)?$""))&lt;=180),""OK"",""REVISAR"")"),"#N/A")</f>
        <v>#N/A</v>
      </c>
    </row>
    <row r="101" ht="15.75" customHeight="1">
      <c r="A101" s="5" t="str">
        <f t="shared" si="1"/>
        <v>AD507-0099</v>
      </c>
      <c r="C101" s="5"/>
      <c r="F101" s="5"/>
      <c r="G101" s="5" t="str">
        <f t="shared" si="2"/>
        <v/>
      </c>
      <c r="H101" s="5" t="str">
        <f t="shared" si="3"/>
        <v/>
      </c>
      <c r="I101" s="5" t="str">
        <f t="shared" si="4"/>
        <v/>
      </c>
      <c r="J101" s="5" t="str">
        <f t="shared" si="5"/>
        <v/>
      </c>
      <c r="K101" s="5" t="str">
        <f>IFERROR(__xludf.DUMMYFUNCTION("IF(C101&lt;&gt;"""",HYPERLINK(""https://wa.me/507""&amp;REGEXREPLACE(C101,""[^0-9]"","""")&amp;""?text=""&amp;ENCODEURL(""Ya llegue. Codigo: ""&amp;A101&amp;"". Ubicacion: ""&amp;""https://www.google.com/maps/search/?api=1&amp;query=""&amp;SUBSTITUTE(F101,"" "","""")),""📲 Avisar al cliente"""&amp;"),"""")"),"")</f>
        <v/>
      </c>
      <c r="L101" s="5" t="str">
        <f>IFERROR(__xludf.DUMMYFUNCTION("IF(C101&lt;&gt;"""",""https://api.qrserver.com/v1/create-qr-code/?size=200x200&amp;data=""&amp;ENCODEURL(""https://wa.me/507""&amp;REGEXREPLACE(C101,""[^0-9]"","""")&amp;""?text=""&amp;ENCODEURL(""Ya llegue. Codigo: ""&amp;A101&amp;"". Ubicacion: ""&amp;""https://www.google.com/maps/search/?a"&amp;"pi=1&amp;query=""&amp;SUBSTITUTE(F101,"" "",""""))),"""")"),"")</f>
        <v/>
      </c>
      <c r="M101" s="5" t="str">
        <f t="shared" si="6"/>
        <v/>
      </c>
      <c r="N101" s="5" t="str">
        <f>IFERROR(__xludf.DUMMYFUNCTION("IF(AND(F101&lt;&gt;"""",REGEXMATCH(SUBSTITUTE(F101,"" "",""""),""^-?\d+(\.\d+)?,-?\d+(\.\d+)?$""),VALUE(REGEXEXTRACT(SUBSTITUTE(F101,"" "",""""),""^-?\d+(\.\d+)?""))&gt;=-90,VALUE(REGEXEXTRACT(SUBSTITUTE(F101,"" "",""""),""^-?\d+(\.\d+)?""))&lt;=90,VALUE(REGEXEXTRACT"&amp;"(SUBSTITUTE(F101,"" "",""""),""-?\d+(\.\d+)?$""))&gt;=-180,VALUE(REGEXEXTRACT(SUBSTITUTE(F101,"" "",""""),""-?\d+(\.\d+)?$""))&lt;=180),""OK"",""REVISAR"")"),"#N/A")</f>
        <v>#N/A</v>
      </c>
    </row>
    <row r="102" ht="15.75" customHeight="1">
      <c r="A102" s="5" t="str">
        <f t="shared" si="1"/>
        <v>AD507-0100</v>
      </c>
      <c r="C102" s="5"/>
      <c r="F102" s="5"/>
      <c r="G102" s="5" t="str">
        <f t="shared" si="2"/>
        <v/>
      </c>
      <c r="H102" s="5" t="str">
        <f t="shared" si="3"/>
        <v/>
      </c>
      <c r="I102" s="5" t="str">
        <f t="shared" si="4"/>
        <v/>
      </c>
      <c r="J102" s="5" t="str">
        <f t="shared" si="5"/>
        <v/>
      </c>
      <c r="K102" s="5" t="str">
        <f>IFERROR(__xludf.DUMMYFUNCTION("IF(C102&lt;&gt;"""",HYPERLINK(""https://wa.me/507""&amp;REGEXREPLACE(C102,""[^0-9]"","""")&amp;""?text=""&amp;ENCODEURL(""Ya llegue. Codigo: ""&amp;A102&amp;"". Ubicacion: ""&amp;""https://www.google.com/maps/search/?api=1&amp;query=""&amp;SUBSTITUTE(F102,"" "","""")),""📲 Avisar al cliente"""&amp;"),"""")"),"")</f>
        <v/>
      </c>
      <c r="L102" s="5" t="str">
        <f>IFERROR(__xludf.DUMMYFUNCTION("IF(C102&lt;&gt;"""",""https://api.qrserver.com/v1/create-qr-code/?size=200x200&amp;data=""&amp;ENCODEURL(""https://wa.me/507""&amp;REGEXREPLACE(C102,""[^0-9]"","""")&amp;""?text=""&amp;ENCODEURL(""Ya llegue. Codigo: ""&amp;A102&amp;"". Ubicacion: ""&amp;""https://www.google.com/maps/search/?a"&amp;"pi=1&amp;query=""&amp;SUBSTITUTE(F102,"" "",""""))),"""")"),"")</f>
        <v/>
      </c>
      <c r="M102" s="5" t="str">
        <f t="shared" si="6"/>
        <v/>
      </c>
      <c r="N102" s="5" t="str">
        <f>IFERROR(__xludf.DUMMYFUNCTION("IF(AND(F102&lt;&gt;"""",REGEXMATCH(SUBSTITUTE(F102,"" "",""""),""^-?\d+(\.\d+)?,-?\d+(\.\d+)?$""),VALUE(REGEXEXTRACT(SUBSTITUTE(F102,"" "",""""),""^-?\d+(\.\d+)?""))&gt;=-90,VALUE(REGEXEXTRACT(SUBSTITUTE(F102,"" "",""""),""^-?\d+(\.\d+)?""))&lt;=90,VALUE(REGEXEXTRACT"&amp;"(SUBSTITUTE(F102,"" "",""""),""-?\d+(\.\d+)?$""))&gt;=-180,VALUE(REGEXEXTRACT(SUBSTITUTE(F102,"" "",""""),""-?\d+(\.\d+)?$""))&lt;=180),""OK"",""REVISAR"")"),"#N/A")</f>
        <v>#N/A</v>
      </c>
    </row>
    <row r="103" ht="15.75" customHeight="1">
      <c r="A103" s="5" t="str">
        <f t="shared" si="1"/>
        <v>AD507-0101</v>
      </c>
      <c r="C103" s="5"/>
      <c r="F103" s="5"/>
      <c r="G103" s="5" t="str">
        <f t="shared" si="2"/>
        <v/>
      </c>
      <c r="H103" s="5" t="str">
        <f t="shared" si="3"/>
        <v/>
      </c>
      <c r="I103" s="5" t="str">
        <f t="shared" si="4"/>
        <v/>
      </c>
      <c r="J103" s="5" t="str">
        <f t="shared" si="5"/>
        <v/>
      </c>
      <c r="K103" s="5" t="str">
        <f>IFERROR(__xludf.DUMMYFUNCTION("IF(C103&lt;&gt;"""",HYPERLINK(""https://wa.me/507""&amp;REGEXREPLACE(C103,""[^0-9]"","""")&amp;""?text=""&amp;ENCODEURL(""Ya llegue. Codigo: ""&amp;A103&amp;"". Ubicacion: ""&amp;""https://www.google.com/maps/search/?api=1&amp;query=""&amp;SUBSTITUTE(F103,"" "","""")),""📲 Avisar al cliente"""&amp;"),"""")"),"")</f>
        <v/>
      </c>
      <c r="L103" s="5" t="str">
        <f>IFERROR(__xludf.DUMMYFUNCTION("IF(C103&lt;&gt;"""",""https://api.qrserver.com/v1/create-qr-code/?size=200x200&amp;data=""&amp;ENCODEURL(""https://wa.me/507""&amp;REGEXREPLACE(C103,""[^0-9]"","""")&amp;""?text=""&amp;ENCODEURL(""Ya llegue. Codigo: ""&amp;A103&amp;"". Ubicacion: ""&amp;""https://www.google.com/maps/search/?a"&amp;"pi=1&amp;query=""&amp;SUBSTITUTE(F103,"" "",""""))),"""")"),"")</f>
        <v/>
      </c>
      <c r="M103" s="5" t="str">
        <f t="shared" si="6"/>
        <v/>
      </c>
      <c r="N103" s="5" t="str">
        <f>IFERROR(__xludf.DUMMYFUNCTION("IF(AND(F103&lt;&gt;"""",REGEXMATCH(SUBSTITUTE(F103,"" "",""""),""^-?\d+(\.\d+)?,-?\d+(\.\d+)?$""),VALUE(REGEXEXTRACT(SUBSTITUTE(F103,"" "",""""),""^-?\d+(\.\d+)?""))&gt;=-90,VALUE(REGEXEXTRACT(SUBSTITUTE(F103,"" "",""""),""^-?\d+(\.\d+)?""))&lt;=90,VALUE(REGEXEXTRACT"&amp;"(SUBSTITUTE(F103,"" "",""""),""-?\d+(\.\d+)?$""))&gt;=-180,VALUE(REGEXEXTRACT(SUBSTITUTE(F103,"" "",""""),""-?\d+(\.\d+)?$""))&lt;=180),""OK"",""REVISAR"")"),"#N/A")</f>
        <v>#N/A</v>
      </c>
    </row>
    <row r="104" ht="15.75" customHeight="1">
      <c r="A104" s="5" t="str">
        <f t="shared" si="1"/>
        <v>AD507-0102</v>
      </c>
      <c r="C104" s="5"/>
      <c r="F104" s="5"/>
      <c r="G104" s="5" t="str">
        <f t="shared" si="2"/>
        <v/>
      </c>
      <c r="H104" s="5" t="str">
        <f t="shared" si="3"/>
        <v/>
      </c>
      <c r="I104" s="5" t="str">
        <f t="shared" si="4"/>
        <v/>
      </c>
      <c r="J104" s="5" t="str">
        <f t="shared" si="5"/>
        <v/>
      </c>
      <c r="K104" s="5" t="str">
        <f>IFERROR(__xludf.DUMMYFUNCTION("IF(C104&lt;&gt;"""",HYPERLINK(""https://wa.me/507""&amp;REGEXREPLACE(C104,""[^0-9]"","""")&amp;""?text=""&amp;ENCODEURL(""Ya llegue. Codigo: ""&amp;A104&amp;"". Ubicacion: ""&amp;""https://www.google.com/maps/search/?api=1&amp;query=""&amp;SUBSTITUTE(F104,"" "","""")),""📲 Avisar al cliente"""&amp;"),"""")"),"")</f>
        <v/>
      </c>
      <c r="L104" s="5" t="str">
        <f>IFERROR(__xludf.DUMMYFUNCTION("IF(C104&lt;&gt;"""",""https://api.qrserver.com/v1/create-qr-code/?size=200x200&amp;data=""&amp;ENCODEURL(""https://wa.me/507""&amp;REGEXREPLACE(C104,""[^0-9]"","""")&amp;""?text=""&amp;ENCODEURL(""Ya llegue. Codigo: ""&amp;A104&amp;"". Ubicacion: ""&amp;""https://www.google.com/maps/search/?a"&amp;"pi=1&amp;query=""&amp;SUBSTITUTE(F104,"" "",""""))),"""")"),"")</f>
        <v/>
      </c>
      <c r="M104" s="5" t="str">
        <f t="shared" si="6"/>
        <v/>
      </c>
      <c r="N104" s="5" t="str">
        <f>IFERROR(__xludf.DUMMYFUNCTION("IF(AND(F104&lt;&gt;"""",REGEXMATCH(SUBSTITUTE(F104,"" "",""""),""^-?\d+(\.\d+)?,-?\d+(\.\d+)?$""),VALUE(REGEXEXTRACT(SUBSTITUTE(F104,"" "",""""),""^-?\d+(\.\d+)?""))&gt;=-90,VALUE(REGEXEXTRACT(SUBSTITUTE(F104,"" "",""""),""^-?\d+(\.\d+)?""))&lt;=90,VALUE(REGEXEXTRACT"&amp;"(SUBSTITUTE(F104,"" "",""""),""-?\d+(\.\d+)?$""))&gt;=-180,VALUE(REGEXEXTRACT(SUBSTITUTE(F104,"" "",""""),""-?\d+(\.\d+)?$""))&lt;=180),""OK"",""REVISAR"")"),"#N/A")</f>
        <v>#N/A</v>
      </c>
    </row>
    <row r="105" ht="15.75" customHeight="1">
      <c r="A105" s="5" t="str">
        <f t="shared" si="1"/>
        <v>AD507-0103</v>
      </c>
      <c r="C105" s="5"/>
      <c r="F105" s="5"/>
      <c r="G105" s="5" t="str">
        <f t="shared" si="2"/>
        <v/>
      </c>
      <c r="H105" s="5" t="str">
        <f t="shared" si="3"/>
        <v/>
      </c>
      <c r="I105" s="5" t="str">
        <f t="shared" si="4"/>
        <v/>
      </c>
      <c r="J105" s="5" t="str">
        <f t="shared" si="5"/>
        <v/>
      </c>
      <c r="K105" s="5" t="str">
        <f>IFERROR(__xludf.DUMMYFUNCTION("IF(C105&lt;&gt;"""",HYPERLINK(""https://wa.me/507""&amp;REGEXREPLACE(C105,""[^0-9]"","""")&amp;""?text=""&amp;ENCODEURL(""Ya llegue. Codigo: ""&amp;A105&amp;"". Ubicacion: ""&amp;""https://www.google.com/maps/search/?api=1&amp;query=""&amp;SUBSTITUTE(F105,"" "","""")),""📲 Avisar al cliente"""&amp;"),"""")"),"")</f>
        <v/>
      </c>
      <c r="L105" s="5" t="str">
        <f>IFERROR(__xludf.DUMMYFUNCTION("IF(C105&lt;&gt;"""",""https://api.qrserver.com/v1/create-qr-code/?size=200x200&amp;data=""&amp;ENCODEURL(""https://wa.me/507""&amp;REGEXREPLACE(C105,""[^0-9]"","""")&amp;""?text=""&amp;ENCODEURL(""Ya llegue. Codigo: ""&amp;A105&amp;"". Ubicacion: ""&amp;""https://www.google.com/maps/search/?a"&amp;"pi=1&amp;query=""&amp;SUBSTITUTE(F105,"" "",""""))),"""")"),"")</f>
        <v/>
      </c>
      <c r="M105" s="5" t="str">
        <f t="shared" si="6"/>
        <v/>
      </c>
      <c r="N105" s="5" t="str">
        <f>IFERROR(__xludf.DUMMYFUNCTION("IF(AND(F105&lt;&gt;"""",REGEXMATCH(SUBSTITUTE(F105,"" "",""""),""^-?\d+(\.\d+)?,-?\d+(\.\d+)?$""),VALUE(REGEXEXTRACT(SUBSTITUTE(F105,"" "",""""),""^-?\d+(\.\d+)?""))&gt;=-90,VALUE(REGEXEXTRACT(SUBSTITUTE(F105,"" "",""""),""^-?\d+(\.\d+)?""))&lt;=90,VALUE(REGEXEXTRACT"&amp;"(SUBSTITUTE(F105,"" "",""""),""-?\d+(\.\d+)?$""))&gt;=-180,VALUE(REGEXEXTRACT(SUBSTITUTE(F105,"" "",""""),""-?\d+(\.\d+)?$""))&lt;=180),""OK"",""REVISAR"")"),"#N/A")</f>
        <v>#N/A</v>
      </c>
    </row>
    <row r="106" ht="15.75" customHeight="1">
      <c r="A106" s="5" t="str">
        <f t="shared" si="1"/>
        <v>AD507-0104</v>
      </c>
      <c r="C106" s="5"/>
      <c r="F106" s="5"/>
      <c r="G106" s="5" t="str">
        <f t="shared" si="2"/>
        <v/>
      </c>
      <c r="H106" s="5" t="str">
        <f t="shared" si="3"/>
        <v/>
      </c>
      <c r="I106" s="5" t="str">
        <f t="shared" si="4"/>
        <v/>
      </c>
      <c r="J106" s="5" t="str">
        <f t="shared" si="5"/>
        <v/>
      </c>
      <c r="K106" s="5" t="str">
        <f>IFERROR(__xludf.DUMMYFUNCTION("IF(C106&lt;&gt;"""",HYPERLINK(""https://wa.me/507""&amp;REGEXREPLACE(C106,""[^0-9]"","""")&amp;""?text=""&amp;ENCODEURL(""Ya llegue. Codigo: ""&amp;A106&amp;"". Ubicacion: ""&amp;""https://www.google.com/maps/search/?api=1&amp;query=""&amp;SUBSTITUTE(F106,"" "","""")),""📲 Avisar al cliente"""&amp;"),"""")"),"")</f>
        <v/>
      </c>
      <c r="L106" s="5" t="str">
        <f>IFERROR(__xludf.DUMMYFUNCTION("IF(C106&lt;&gt;"""",""https://api.qrserver.com/v1/create-qr-code/?size=200x200&amp;data=""&amp;ENCODEURL(""https://wa.me/507""&amp;REGEXREPLACE(C106,""[^0-9]"","""")&amp;""?text=""&amp;ENCODEURL(""Ya llegue. Codigo: ""&amp;A106&amp;"". Ubicacion: ""&amp;""https://www.google.com/maps/search/?a"&amp;"pi=1&amp;query=""&amp;SUBSTITUTE(F106,"" "",""""))),"""")"),"")</f>
        <v/>
      </c>
      <c r="M106" s="5" t="str">
        <f t="shared" si="6"/>
        <v/>
      </c>
      <c r="N106" s="5" t="str">
        <f>IFERROR(__xludf.DUMMYFUNCTION("IF(AND(F106&lt;&gt;"""",REGEXMATCH(SUBSTITUTE(F106,"" "",""""),""^-?\d+(\.\d+)?,-?\d+(\.\d+)?$""),VALUE(REGEXEXTRACT(SUBSTITUTE(F106,"" "",""""),""^-?\d+(\.\d+)?""))&gt;=-90,VALUE(REGEXEXTRACT(SUBSTITUTE(F106,"" "",""""),""^-?\d+(\.\d+)?""))&lt;=90,VALUE(REGEXEXTRACT"&amp;"(SUBSTITUTE(F106,"" "",""""),""-?\d+(\.\d+)?$""))&gt;=-180,VALUE(REGEXEXTRACT(SUBSTITUTE(F106,"" "",""""),""-?\d+(\.\d+)?$""))&lt;=180),""OK"",""REVISAR"")"),"#N/A")</f>
        <v>#N/A</v>
      </c>
    </row>
    <row r="107" ht="15.75" customHeight="1">
      <c r="A107" s="5" t="str">
        <f t="shared" si="1"/>
        <v>AD507-0105</v>
      </c>
      <c r="C107" s="5"/>
      <c r="F107" s="5"/>
      <c r="G107" s="5" t="str">
        <f t="shared" si="2"/>
        <v/>
      </c>
      <c r="H107" s="5" t="str">
        <f t="shared" si="3"/>
        <v/>
      </c>
      <c r="I107" s="5" t="str">
        <f t="shared" si="4"/>
        <v/>
      </c>
      <c r="J107" s="5" t="str">
        <f t="shared" si="5"/>
        <v/>
      </c>
      <c r="K107" s="5" t="str">
        <f>IFERROR(__xludf.DUMMYFUNCTION("IF(C107&lt;&gt;"""",HYPERLINK(""https://wa.me/507""&amp;REGEXREPLACE(C107,""[^0-9]"","""")&amp;""?text=""&amp;ENCODEURL(""Ya llegue. Codigo: ""&amp;A107&amp;"". Ubicacion: ""&amp;""https://www.google.com/maps/search/?api=1&amp;query=""&amp;SUBSTITUTE(F107,"" "","""")),""📲 Avisar al cliente"""&amp;"),"""")"),"")</f>
        <v/>
      </c>
      <c r="L107" s="5" t="str">
        <f>IFERROR(__xludf.DUMMYFUNCTION("IF(C107&lt;&gt;"""",""https://api.qrserver.com/v1/create-qr-code/?size=200x200&amp;data=""&amp;ENCODEURL(""https://wa.me/507""&amp;REGEXREPLACE(C107,""[^0-9]"","""")&amp;""?text=""&amp;ENCODEURL(""Ya llegue. Codigo: ""&amp;A107&amp;"". Ubicacion: ""&amp;""https://www.google.com/maps/search/?a"&amp;"pi=1&amp;query=""&amp;SUBSTITUTE(F107,"" "",""""))),"""")"),"")</f>
        <v/>
      </c>
      <c r="M107" s="5" t="str">
        <f t="shared" si="6"/>
        <v/>
      </c>
      <c r="N107" s="5" t="str">
        <f>IFERROR(__xludf.DUMMYFUNCTION("IF(AND(F107&lt;&gt;"""",REGEXMATCH(SUBSTITUTE(F107,"" "",""""),""^-?\d+(\.\d+)?,-?\d+(\.\d+)?$""),VALUE(REGEXEXTRACT(SUBSTITUTE(F107,"" "",""""),""^-?\d+(\.\d+)?""))&gt;=-90,VALUE(REGEXEXTRACT(SUBSTITUTE(F107,"" "",""""),""^-?\d+(\.\d+)?""))&lt;=90,VALUE(REGEXEXTRACT"&amp;"(SUBSTITUTE(F107,"" "",""""),""-?\d+(\.\d+)?$""))&gt;=-180,VALUE(REGEXEXTRACT(SUBSTITUTE(F107,"" "",""""),""-?\d+(\.\d+)?$""))&lt;=180),""OK"",""REVISAR"")"),"#N/A")</f>
        <v>#N/A</v>
      </c>
    </row>
    <row r="108" ht="15.75" customHeight="1">
      <c r="A108" s="5" t="str">
        <f t="shared" si="1"/>
        <v>AD507-0106</v>
      </c>
      <c r="C108" s="5"/>
      <c r="F108" s="5"/>
      <c r="G108" s="5" t="str">
        <f t="shared" si="2"/>
        <v/>
      </c>
      <c r="H108" s="5" t="str">
        <f t="shared" si="3"/>
        <v/>
      </c>
      <c r="I108" s="5" t="str">
        <f t="shared" si="4"/>
        <v/>
      </c>
      <c r="J108" s="5" t="str">
        <f t="shared" si="5"/>
        <v/>
      </c>
      <c r="K108" s="5" t="str">
        <f>IFERROR(__xludf.DUMMYFUNCTION("IF(C108&lt;&gt;"""",HYPERLINK(""https://wa.me/507""&amp;REGEXREPLACE(C108,""[^0-9]"","""")&amp;""?text=""&amp;ENCODEURL(""Ya llegue. Codigo: ""&amp;A108&amp;"". Ubicacion: ""&amp;""https://www.google.com/maps/search/?api=1&amp;query=""&amp;SUBSTITUTE(F108,"" "","""")),""📲 Avisar al cliente"""&amp;"),"""")"),"")</f>
        <v/>
      </c>
      <c r="L108" s="5" t="str">
        <f>IFERROR(__xludf.DUMMYFUNCTION("IF(C108&lt;&gt;"""",""https://api.qrserver.com/v1/create-qr-code/?size=200x200&amp;data=""&amp;ENCODEURL(""https://wa.me/507""&amp;REGEXREPLACE(C108,""[^0-9]"","""")&amp;""?text=""&amp;ENCODEURL(""Ya llegue. Codigo: ""&amp;A108&amp;"". Ubicacion: ""&amp;""https://www.google.com/maps/search/?a"&amp;"pi=1&amp;query=""&amp;SUBSTITUTE(F108,"" "",""""))),"""")"),"")</f>
        <v/>
      </c>
      <c r="M108" s="5" t="str">
        <f t="shared" si="6"/>
        <v/>
      </c>
      <c r="N108" s="5" t="str">
        <f>IFERROR(__xludf.DUMMYFUNCTION("IF(AND(F108&lt;&gt;"""",REGEXMATCH(SUBSTITUTE(F108,"" "",""""),""^-?\d+(\.\d+)?,-?\d+(\.\d+)?$""),VALUE(REGEXEXTRACT(SUBSTITUTE(F108,"" "",""""),""^-?\d+(\.\d+)?""))&gt;=-90,VALUE(REGEXEXTRACT(SUBSTITUTE(F108,"" "",""""),""^-?\d+(\.\d+)?""))&lt;=90,VALUE(REGEXEXTRACT"&amp;"(SUBSTITUTE(F108,"" "",""""),""-?\d+(\.\d+)?$""))&gt;=-180,VALUE(REGEXEXTRACT(SUBSTITUTE(F108,"" "",""""),""-?\d+(\.\d+)?$""))&lt;=180),""OK"",""REVISAR"")"),"#N/A")</f>
        <v>#N/A</v>
      </c>
    </row>
    <row r="109" ht="15.75" customHeight="1">
      <c r="A109" s="5" t="str">
        <f t="shared" si="1"/>
        <v>AD507-0107</v>
      </c>
      <c r="C109" s="5"/>
      <c r="F109" s="5"/>
      <c r="G109" s="5" t="str">
        <f t="shared" si="2"/>
        <v/>
      </c>
      <c r="H109" s="5" t="str">
        <f t="shared" si="3"/>
        <v/>
      </c>
      <c r="I109" s="5" t="str">
        <f t="shared" si="4"/>
        <v/>
      </c>
      <c r="J109" s="5" t="str">
        <f t="shared" si="5"/>
        <v/>
      </c>
      <c r="K109" s="5" t="str">
        <f>IFERROR(__xludf.DUMMYFUNCTION("IF(C109&lt;&gt;"""",HYPERLINK(""https://wa.me/507""&amp;REGEXREPLACE(C109,""[^0-9]"","""")&amp;""?text=""&amp;ENCODEURL(""Ya llegue. Codigo: ""&amp;A109&amp;"". Ubicacion: ""&amp;""https://www.google.com/maps/search/?api=1&amp;query=""&amp;SUBSTITUTE(F109,"" "","""")),""📲 Avisar al cliente"""&amp;"),"""")"),"")</f>
        <v/>
      </c>
      <c r="L109" s="5" t="str">
        <f>IFERROR(__xludf.DUMMYFUNCTION("IF(C109&lt;&gt;"""",""https://api.qrserver.com/v1/create-qr-code/?size=200x200&amp;data=""&amp;ENCODEURL(""https://wa.me/507""&amp;REGEXREPLACE(C109,""[^0-9]"","""")&amp;""?text=""&amp;ENCODEURL(""Ya llegue. Codigo: ""&amp;A109&amp;"". Ubicacion: ""&amp;""https://www.google.com/maps/search/?a"&amp;"pi=1&amp;query=""&amp;SUBSTITUTE(F109,"" "",""""))),"""")"),"")</f>
        <v/>
      </c>
      <c r="M109" s="5" t="str">
        <f t="shared" si="6"/>
        <v/>
      </c>
      <c r="N109" s="5" t="str">
        <f>IFERROR(__xludf.DUMMYFUNCTION("IF(AND(F109&lt;&gt;"""",REGEXMATCH(SUBSTITUTE(F109,"" "",""""),""^-?\d+(\.\d+)?,-?\d+(\.\d+)?$""),VALUE(REGEXEXTRACT(SUBSTITUTE(F109,"" "",""""),""^-?\d+(\.\d+)?""))&gt;=-90,VALUE(REGEXEXTRACT(SUBSTITUTE(F109,"" "",""""),""^-?\d+(\.\d+)?""))&lt;=90,VALUE(REGEXEXTRACT"&amp;"(SUBSTITUTE(F109,"" "",""""),""-?\d+(\.\d+)?$""))&gt;=-180,VALUE(REGEXEXTRACT(SUBSTITUTE(F109,"" "",""""),""-?\d+(\.\d+)?$""))&lt;=180),""OK"",""REVISAR"")"),"#N/A")</f>
        <v>#N/A</v>
      </c>
    </row>
    <row r="110" ht="15.75" customHeight="1">
      <c r="A110" s="5" t="str">
        <f t="shared" si="1"/>
        <v>AD507-0108</v>
      </c>
      <c r="C110" s="5"/>
      <c r="F110" s="5"/>
      <c r="G110" s="5" t="str">
        <f t="shared" si="2"/>
        <v/>
      </c>
      <c r="H110" s="5" t="str">
        <f t="shared" si="3"/>
        <v/>
      </c>
      <c r="I110" s="5" t="str">
        <f t="shared" si="4"/>
        <v/>
      </c>
      <c r="J110" s="5" t="str">
        <f t="shared" si="5"/>
        <v/>
      </c>
      <c r="K110" s="5" t="str">
        <f>IFERROR(__xludf.DUMMYFUNCTION("IF(C110&lt;&gt;"""",HYPERLINK(""https://wa.me/507""&amp;REGEXREPLACE(C110,""[^0-9]"","""")&amp;""?text=""&amp;ENCODEURL(""Ya llegue. Codigo: ""&amp;A110&amp;"". Ubicacion: ""&amp;""https://www.google.com/maps/search/?api=1&amp;query=""&amp;SUBSTITUTE(F110,"" "","""")),""📲 Avisar al cliente"""&amp;"),"""")"),"")</f>
        <v/>
      </c>
      <c r="L110" s="5" t="str">
        <f>IFERROR(__xludf.DUMMYFUNCTION("IF(C110&lt;&gt;"""",""https://api.qrserver.com/v1/create-qr-code/?size=200x200&amp;data=""&amp;ENCODEURL(""https://wa.me/507""&amp;REGEXREPLACE(C110,""[^0-9]"","""")&amp;""?text=""&amp;ENCODEURL(""Ya llegue. Codigo: ""&amp;A110&amp;"". Ubicacion: ""&amp;""https://www.google.com/maps/search/?a"&amp;"pi=1&amp;query=""&amp;SUBSTITUTE(F110,"" "",""""))),"""")"),"")</f>
        <v/>
      </c>
      <c r="M110" s="5" t="str">
        <f t="shared" si="6"/>
        <v/>
      </c>
      <c r="N110" s="5" t="str">
        <f>IFERROR(__xludf.DUMMYFUNCTION("IF(AND(F110&lt;&gt;"""",REGEXMATCH(SUBSTITUTE(F110,"" "",""""),""^-?\d+(\.\d+)?,-?\d+(\.\d+)?$""),VALUE(REGEXEXTRACT(SUBSTITUTE(F110,"" "",""""),""^-?\d+(\.\d+)?""))&gt;=-90,VALUE(REGEXEXTRACT(SUBSTITUTE(F110,"" "",""""),""^-?\d+(\.\d+)?""))&lt;=90,VALUE(REGEXEXTRACT"&amp;"(SUBSTITUTE(F110,"" "",""""),""-?\d+(\.\d+)?$""))&gt;=-180,VALUE(REGEXEXTRACT(SUBSTITUTE(F110,"" "",""""),""-?\d+(\.\d+)?$""))&lt;=180),""OK"",""REVISAR"")"),"#N/A")</f>
        <v>#N/A</v>
      </c>
    </row>
    <row r="111" ht="15.75" customHeight="1">
      <c r="A111" s="5" t="str">
        <f t="shared" si="1"/>
        <v>AD507-0109</v>
      </c>
      <c r="C111" s="5"/>
      <c r="F111" s="5"/>
      <c r="G111" s="5" t="str">
        <f t="shared" si="2"/>
        <v/>
      </c>
      <c r="H111" s="5" t="str">
        <f t="shared" si="3"/>
        <v/>
      </c>
      <c r="I111" s="5" t="str">
        <f t="shared" si="4"/>
        <v/>
      </c>
      <c r="J111" s="5" t="str">
        <f t="shared" si="5"/>
        <v/>
      </c>
      <c r="K111" s="5" t="str">
        <f>IFERROR(__xludf.DUMMYFUNCTION("IF(C111&lt;&gt;"""",HYPERLINK(""https://wa.me/507""&amp;REGEXREPLACE(C111,""[^0-9]"","""")&amp;""?text=""&amp;ENCODEURL(""Ya llegue. Codigo: ""&amp;A111&amp;"". Ubicacion: ""&amp;""https://www.google.com/maps/search/?api=1&amp;query=""&amp;SUBSTITUTE(F111,"" "","""")),""📲 Avisar al cliente"""&amp;"),"""")"),"")</f>
        <v/>
      </c>
      <c r="L111" s="5" t="str">
        <f>IFERROR(__xludf.DUMMYFUNCTION("IF(C111&lt;&gt;"""",""https://api.qrserver.com/v1/create-qr-code/?size=200x200&amp;data=""&amp;ENCODEURL(""https://wa.me/507""&amp;REGEXREPLACE(C111,""[^0-9]"","""")&amp;""?text=""&amp;ENCODEURL(""Ya llegue. Codigo: ""&amp;A111&amp;"". Ubicacion: ""&amp;""https://www.google.com/maps/search/?a"&amp;"pi=1&amp;query=""&amp;SUBSTITUTE(F111,"" "",""""))),"""")"),"")</f>
        <v/>
      </c>
      <c r="M111" s="5" t="str">
        <f t="shared" si="6"/>
        <v/>
      </c>
      <c r="N111" s="5" t="str">
        <f>IFERROR(__xludf.DUMMYFUNCTION("IF(AND(F111&lt;&gt;"""",REGEXMATCH(SUBSTITUTE(F111,"" "",""""),""^-?\d+(\.\d+)?,-?\d+(\.\d+)?$""),VALUE(REGEXEXTRACT(SUBSTITUTE(F111,"" "",""""),""^-?\d+(\.\d+)?""))&gt;=-90,VALUE(REGEXEXTRACT(SUBSTITUTE(F111,"" "",""""),""^-?\d+(\.\d+)?""))&lt;=90,VALUE(REGEXEXTRACT"&amp;"(SUBSTITUTE(F111,"" "",""""),""-?\d+(\.\d+)?$""))&gt;=-180,VALUE(REGEXEXTRACT(SUBSTITUTE(F111,"" "",""""),""-?\d+(\.\d+)?$""))&lt;=180),""OK"",""REVISAR"")"),"#N/A")</f>
        <v>#N/A</v>
      </c>
    </row>
    <row r="112" ht="15.75" customHeight="1">
      <c r="A112" s="5" t="str">
        <f t="shared" si="1"/>
        <v>AD507-0110</v>
      </c>
      <c r="C112" s="5"/>
      <c r="F112" s="5"/>
      <c r="G112" s="5" t="str">
        <f t="shared" si="2"/>
        <v/>
      </c>
      <c r="H112" s="5" t="str">
        <f t="shared" si="3"/>
        <v/>
      </c>
      <c r="I112" s="5" t="str">
        <f t="shared" si="4"/>
        <v/>
      </c>
      <c r="J112" s="5" t="str">
        <f t="shared" si="5"/>
        <v/>
      </c>
      <c r="K112" s="5" t="str">
        <f>IFERROR(__xludf.DUMMYFUNCTION("IF(C112&lt;&gt;"""",HYPERLINK(""https://wa.me/507""&amp;REGEXREPLACE(C112,""[^0-9]"","""")&amp;""?text=""&amp;ENCODEURL(""Ya llegue. Codigo: ""&amp;A112&amp;"". Ubicacion: ""&amp;""https://www.google.com/maps/search/?api=1&amp;query=""&amp;SUBSTITUTE(F112,"" "","""")),""📲 Avisar al cliente"""&amp;"),"""")"),"")</f>
        <v/>
      </c>
      <c r="L112" s="5" t="str">
        <f>IFERROR(__xludf.DUMMYFUNCTION("IF(C112&lt;&gt;"""",""https://api.qrserver.com/v1/create-qr-code/?size=200x200&amp;data=""&amp;ENCODEURL(""https://wa.me/507""&amp;REGEXREPLACE(C112,""[^0-9]"","""")&amp;""?text=""&amp;ENCODEURL(""Ya llegue. Codigo: ""&amp;A112&amp;"". Ubicacion: ""&amp;""https://www.google.com/maps/search/?a"&amp;"pi=1&amp;query=""&amp;SUBSTITUTE(F112,"" "",""""))),"""")"),"")</f>
        <v/>
      </c>
      <c r="M112" s="5" t="str">
        <f t="shared" si="6"/>
        <v/>
      </c>
      <c r="N112" s="5" t="str">
        <f>IFERROR(__xludf.DUMMYFUNCTION("IF(AND(F112&lt;&gt;"""",REGEXMATCH(SUBSTITUTE(F112,"" "",""""),""^-?\d+(\.\d+)?,-?\d+(\.\d+)?$""),VALUE(REGEXEXTRACT(SUBSTITUTE(F112,"" "",""""),""^-?\d+(\.\d+)?""))&gt;=-90,VALUE(REGEXEXTRACT(SUBSTITUTE(F112,"" "",""""),""^-?\d+(\.\d+)?""))&lt;=90,VALUE(REGEXEXTRACT"&amp;"(SUBSTITUTE(F112,"" "",""""),""-?\d+(\.\d+)?$""))&gt;=-180,VALUE(REGEXEXTRACT(SUBSTITUTE(F112,"" "",""""),""-?\d+(\.\d+)?$""))&lt;=180),""OK"",""REVISAR"")"),"#N/A")</f>
        <v>#N/A</v>
      </c>
    </row>
    <row r="113" ht="15.75" customHeight="1">
      <c r="A113" s="5" t="str">
        <f t="shared" si="1"/>
        <v>AD507-0111</v>
      </c>
      <c r="C113" s="5"/>
      <c r="F113" s="5"/>
      <c r="G113" s="5" t="str">
        <f t="shared" si="2"/>
        <v/>
      </c>
      <c r="H113" s="5" t="str">
        <f t="shared" si="3"/>
        <v/>
      </c>
      <c r="I113" s="5" t="str">
        <f t="shared" si="4"/>
        <v/>
      </c>
      <c r="J113" s="5" t="str">
        <f t="shared" si="5"/>
        <v/>
      </c>
      <c r="K113" s="5" t="str">
        <f>IFERROR(__xludf.DUMMYFUNCTION("IF(C113&lt;&gt;"""",HYPERLINK(""https://wa.me/507""&amp;REGEXREPLACE(C113,""[^0-9]"","""")&amp;""?text=""&amp;ENCODEURL(""Ya llegue. Codigo: ""&amp;A113&amp;"". Ubicacion: ""&amp;""https://www.google.com/maps/search/?api=1&amp;query=""&amp;SUBSTITUTE(F113,"" "","""")),""📲 Avisar al cliente"""&amp;"),"""")"),"")</f>
        <v/>
      </c>
      <c r="L113" s="5" t="str">
        <f>IFERROR(__xludf.DUMMYFUNCTION("IF(C113&lt;&gt;"""",""https://api.qrserver.com/v1/create-qr-code/?size=200x200&amp;data=""&amp;ENCODEURL(""https://wa.me/507""&amp;REGEXREPLACE(C113,""[^0-9]"","""")&amp;""?text=""&amp;ENCODEURL(""Ya llegue. Codigo: ""&amp;A113&amp;"". Ubicacion: ""&amp;""https://www.google.com/maps/search/?a"&amp;"pi=1&amp;query=""&amp;SUBSTITUTE(F113,"" "",""""))),"""")"),"")</f>
        <v/>
      </c>
      <c r="M113" s="5" t="str">
        <f t="shared" si="6"/>
        <v/>
      </c>
      <c r="N113" s="5" t="str">
        <f>IFERROR(__xludf.DUMMYFUNCTION("IF(AND(F113&lt;&gt;"""",REGEXMATCH(SUBSTITUTE(F113,"" "",""""),""^-?\d+(\.\d+)?,-?\d+(\.\d+)?$""),VALUE(REGEXEXTRACT(SUBSTITUTE(F113,"" "",""""),""^-?\d+(\.\d+)?""))&gt;=-90,VALUE(REGEXEXTRACT(SUBSTITUTE(F113,"" "",""""),""^-?\d+(\.\d+)?""))&lt;=90,VALUE(REGEXEXTRACT"&amp;"(SUBSTITUTE(F113,"" "",""""),""-?\d+(\.\d+)?$""))&gt;=-180,VALUE(REGEXEXTRACT(SUBSTITUTE(F113,"" "",""""),""-?\d+(\.\d+)?$""))&lt;=180),""OK"",""REVISAR"")"),"#N/A")</f>
        <v>#N/A</v>
      </c>
    </row>
    <row r="114" ht="15.75" customHeight="1">
      <c r="A114" s="5" t="str">
        <f t="shared" si="1"/>
        <v>AD507-0112</v>
      </c>
      <c r="C114" s="5"/>
      <c r="F114" s="5"/>
      <c r="G114" s="5" t="str">
        <f t="shared" si="2"/>
        <v/>
      </c>
      <c r="H114" s="5" t="str">
        <f t="shared" si="3"/>
        <v/>
      </c>
      <c r="I114" s="5" t="str">
        <f t="shared" si="4"/>
        <v/>
      </c>
      <c r="J114" s="5" t="str">
        <f t="shared" si="5"/>
        <v/>
      </c>
      <c r="K114" s="5" t="str">
        <f>IFERROR(__xludf.DUMMYFUNCTION("IF(C114&lt;&gt;"""",HYPERLINK(""https://wa.me/507""&amp;REGEXREPLACE(C114,""[^0-9]"","""")&amp;""?text=""&amp;ENCODEURL(""Ya llegue. Codigo: ""&amp;A114&amp;"". Ubicacion: ""&amp;""https://www.google.com/maps/search/?api=1&amp;query=""&amp;SUBSTITUTE(F114,"" "","""")),""📲 Avisar al cliente"""&amp;"),"""")"),"")</f>
        <v/>
      </c>
      <c r="L114" s="5" t="str">
        <f>IFERROR(__xludf.DUMMYFUNCTION("IF(C114&lt;&gt;"""",""https://api.qrserver.com/v1/create-qr-code/?size=200x200&amp;data=""&amp;ENCODEURL(""https://wa.me/507""&amp;REGEXREPLACE(C114,""[^0-9]"","""")&amp;""?text=""&amp;ENCODEURL(""Ya llegue. Codigo: ""&amp;A114&amp;"". Ubicacion: ""&amp;""https://www.google.com/maps/search/?a"&amp;"pi=1&amp;query=""&amp;SUBSTITUTE(F114,"" "",""""))),"""")"),"")</f>
        <v/>
      </c>
      <c r="M114" s="5" t="str">
        <f t="shared" si="6"/>
        <v/>
      </c>
      <c r="N114" s="5" t="str">
        <f>IFERROR(__xludf.DUMMYFUNCTION("IF(AND(F114&lt;&gt;"""",REGEXMATCH(SUBSTITUTE(F114,"" "",""""),""^-?\d+(\.\d+)?,-?\d+(\.\d+)?$""),VALUE(REGEXEXTRACT(SUBSTITUTE(F114,"" "",""""),""^-?\d+(\.\d+)?""))&gt;=-90,VALUE(REGEXEXTRACT(SUBSTITUTE(F114,"" "",""""),""^-?\d+(\.\d+)?""))&lt;=90,VALUE(REGEXEXTRACT"&amp;"(SUBSTITUTE(F114,"" "",""""),""-?\d+(\.\d+)?$""))&gt;=-180,VALUE(REGEXEXTRACT(SUBSTITUTE(F114,"" "",""""),""-?\d+(\.\d+)?$""))&lt;=180),""OK"",""REVISAR"")"),"#N/A")</f>
        <v>#N/A</v>
      </c>
    </row>
    <row r="115" ht="15.75" customHeight="1">
      <c r="A115" s="5" t="str">
        <f t="shared" si="1"/>
        <v>AD507-0113</v>
      </c>
      <c r="C115" s="5"/>
      <c r="F115" s="5"/>
      <c r="G115" s="5" t="str">
        <f t="shared" si="2"/>
        <v/>
      </c>
      <c r="H115" s="5" t="str">
        <f t="shared" si="3"/>
        <v/>
      </c>
      <c r="I115" s="5" t="str">
        <f t="shared" si="4"/>
        <v/>
      </c>
      <c r="J115" s="5" t="str">
        <f t="shared" si="5"/>
        <v/>
      </c>
      <c r="K115" s="5" t="str">
        <f>IFERROR(__xludf.DUMMYFUNCTION("IF(C115&lt;&gt;"""",HYPERLINK(""https://wa.me/507""&amp;REGEXREPLACE(C115,""[^0-9]"","""")&amp;""?text=""&amp;ENCODEURL(""Ya llegue. Codigo: ""&amp;A115&amp;"". Ubicacion: ""&amp;""https://www.google.com/maps/search/?api=1&amp;query=""&amp;SUBSTITUTE(F115,"" "","""")),""📲 Avisar al cliente"""&amp;"),"""")"),"")</f>
        <v/>
      </c>
      <c r="L115" s="5" t="str">
        <f>IFERROR(__xludf.DUMMYFUNCTION("IF(C115&lt;&gt;"""",""https://api.qrserver.com/v1/create-qr-code/?size=200x200&amp;data=""&amp;ENCODEURL(""https://wa.me/507""&amp;REGEXREPLACE(C115,""[^0-9]"","""")&amp;""?text=""&amp;ENCODEURL(""Ya llegue. Codigo: ""&amp;A115&amp;"". Ubicacion: ""&amp;""https://www.google.com/maps/search/?a"&amp;"pi=1&amp;query=""&amp;SUBSTITUTE(F115,"" "",""""))),"""")"),"")</f>
        <v/>
      </c>
      <c r="M115" s="5" t="str">
        <f t="shared" si="6"/>
        <v/>
      </c>
      <c r="N115" s="5" t="str">
        <f>IFERROR(__xludf.DUMMYFUNCTION("IF(AND(F115&lt;&gt;"""",REGEXMATCH(SUBSTITUTE(F115,"" "",""""),""^-?\d+(\.\d+)?,-?\d+(\.\d+)?$""),VALUE(REGEXEXTRACT(SUBSTITUTE(F115,"" "",""""),""^-?\d+(\.\d+)?""))&gt;=-90,VALUE(REGEXEXTRACT(SUBSTITUTE(F115,"" "",""""),""^-?\d+(\.\d+)?""))&lt;=90,VALUE(REGEXEXTRACT"&amp;"(SUBSTITUTE(F115,"" "",""""),""-?\d+(\.\d+)?$""))&gt;=-180,VALUE(REGEXEXTRACT(SUBSTITUTE(F115,"" "",""""),""-?\d+(\.\d+)?$""))&lt;=180),""OK"",""REVISAR"")"),"#N/A")</f>
        <v>#N/A</v>
      </c>
    </row>
    <row r="116" ht="15.75" customHeight="1">
      <c r="A116" s="5" t="str">
        <f t="shared" si="1"/>
        <v>AD507-0114</v>
      </c>
      <c r="C116" s="5"/>
      <c r="F116" s="5"/>
      <c r="G116" s="5" t="str">
        <f t="shared" si="2"/>
        <v/>
      </c>
      <c r="H116" s="5" t="str">
        <f t="shared" si="3"/>
        <v/>
      </c>
      <c r="I116" s="5" t="str">
        <f t="shared" si="4"/>
        <v/>
      </c>
      <c r="J116" s="5" t="str">
        <f t="shared" si="5"/>
        <v/>
      </c>
      <c r="K116" s="5" t="str">
        <f>IFERROR(__xludf.DUMMYFUNCTION("IF(C116&lt;&gt;"""",HYPERLINK(""https://wa.me/507""&amp;REGEXREPLACE(C116,""[^0-9]"","""")&amp;""?text=""&amp;ENCODEURL(""Ya llegue. Codigo: ""&amp;A116&amp;"". Ubicacion: ""&amp;""https://www.google.com/maps/search/?api=1&amp;query=""&amp;SUBSTITUTE(F116,"" "","""")),""📲 Avisar al cliente"""&amp;"),"""")"),"")</f>
        <v/>
      </c>
      <c r="L116" s="5" t="str">
        <f>IFERROR(__xludf.DUMMYFUNCTION("IF(C116&lt;&gt;"""",""https://api.qrserver.com/v1/create-qr-code/?size=200x200&amp;data=""&amp;ENCODEURL(""https://wa.me/507""&amp;REGEXREPLACE(C116,""[^0-9]"","""")&amp;""?text=""&amp;ENCODEURL(""Ya llegue. Codigo: ""&amp;A116&amp;"". Ubicacion: ""&amp;""https://www.google.com/maps/search/?a"&amp;"pi=1&amp;query=""&amp;SUBSTITUTE(F116,"" "",""""))),"""")"),"")</f>
        <v/>
      </c>
      <c r="M116" s="5" t="str">
        <f t="shared" si="6"/>
        <v/>
      </c>
      <c r="N116" s="5" t="str">
        <f>IFERROR(__xludf.DUMMYFUNCTION("IF(AND(F116&lt;&gt;"""",REGEXMATCH(SUBSTITUTE(F116,"" "",""""),""^-?\d+(\.\d+)?,-?\d+(\.\d+)?$""),VALUE(REGEXEXTRACT(SUBSTITUTE(F116,"" "",""""),""^-?\d+(\.\d+)?""))&gt;=-90,VALUE(REGEXEXTRACT(SUBSTITUTE(F116,"" "",""""),""^-?\d+(\.\d+)?""))&lt;=90,VALUE(REGEXEXTRACT"&amp;"(SUBSTITUTE(F116,"" "",""""),""-?\d+(\.\d+)?$""))&gt;=-180,VALUE(REGEXEXTRACT(SUBSTITUTE(F116,"" "",""""),""-?\d+(\.\d+)?$""))&lt;=180),""OK"",""REVISAR"")"),"#N/A")</f>
        <v>#N/A</v>
      </c>
    </row>
    <row r="117" ht="15.75" customHeight="1">
      <c r="A117" s="5" t="str">
        <f t="shared" si="1"/>
        <v>AD507-0115</v>
      </c>
      <c r="C117" s="5"/>
      <c r="F117" s="5"/>
      <c r="G117" s="5" t="str">
        <f t="shared" si="2"/>
        <v/>
      </c>
      <c r="H117" s="5" t="str">
        <f t="shared" si="3"/>
        <v/>
      </c>
      <c r="I117" s="5" t="str">
        <f t="shared" si="4"/>
        <v/>
      </c>
      <c r="J117" s="5" t="str">
        <f t="shared" si="5"/>
        <v/>
      </c>
      <c r="K117" s="5" t="str">
        <f>IFERROR(__xludf.DUMMYFUNCTION("IF(C117&lt;&gt;"""",HYPERLINK(""https://wa.me/507""&amp;REGEXREPLACE(C117,""[^0-9]"","""")&amp;""?text=""&amp;ENCODEURL(""Ya llegue. Codigo: ""&amp;A117&amp;"". Ubicacion: ""&amp;""https://www.google.com/maps/search/?api=1&amp;query=""&amp;SUBSTITUTE(F117,"" "","""")),""📲 Avisar al cliente"""&amp;"),"""")"),"")</f>
        <v/>
      </c>
      <c r="L117" s="5" t="str">
        <f>IFERROR(__xludf.DUMMYFUNCTION("IF(C117&lt;&gt;"""",""https://api.qrserver.com/v1/create-qr-code/?size=200x200&amp;data=""&amp;ENCODEURL(""https://wa.me/507""&amp;REGEXREPLACE(C117,""[^0-9]"","""")&amp;""?text=""&amp;ENCODEURL(""Ya llegue. Codigo: ""&amp;A117&amp;"". Ubicacion: ""&amp;""https://www.google.com/maps/search/?a"&amp;"pi=1&amp;query=""&amp;SUBSTITUTE(F117,"" "",""""))),"""")"),"")</f>
        <v/>
      </c>
      <c r="M117" s="5" t="str">
        <f t="shared" si="6"/>
        <v/>
      </c>
      <c r="N117" s="5" t="str">
        <f>IFERROR(__xludf.DUMMYFUNCTION("IF(AND(F117&lt;&gt;"""",REGEXMATCH(SUBSTITUTE(F117,"" "",""""),""^-?\d+(\.\d+)?,-?\d+(\.\d+)?$""),VALUE(REGEXEXTRACT(SUBSTITUTE(F117,"" "",""""),""^-?\d+(\.\d+)?""))&gt;=-90,VALUE(REGEXEXTRACT(SUBSTITUTE(F117,"" "",""""),""^-?\d+(\.\d+)?""))&lt;=90,VALUE(REGEXEXTRACT"&amp;"(SUBSTITUTE(F117,"" "",""""),""-?\d+(\.\d+)?$""))&gt;=-180,VALUE(REGEXEXTRACT(SUBSTITUTE(F117,"" "",""""),""-?\d+(\.\d+)?$""))&lt;=180),""OK"",""REVISAR"")"),"#N/A")</f>
        <v>#N/A</v>
      </c>
    </row>
    <row r="118" ht="15.75" customHeight="1">
      <c r="A118" s="5" t="str">
        <f t="shared" si="1"/>
        <v>AD507-0116</v>
      </c>
      <c r="C118" s="5"/>
      <c r="F118" s="5"/>
      <c r="G118" s="5" t="str">
        <f t="shared" si="2"/>
        <v/>
      </c>
      <c r="H118" s="5" t="str">
        <f t="shared" si="3"/>
        <v/>
      </c>
      <c r="I118" s="5" t="str">
        <f t="shared" si="4"/>
        <v/>
      </c>
      <c r="J118" s="5" t="str">
        <f t="shared" si="5"/>
        <v/>
      </c>
      <c r="K118" s="5" t="str">
        <f>IFERROR(__xludf.DUMMYFUNCTION("IF(C118&lt;&gt;"""",HYPERLINK(""https://wa.me/507""&amp;REGEXREPLACE(C118,""[^0-9]"","""")&amp;""?text=""&amp;ENCODEURL(""Ya llegue. Codigo: ""&amp;A118&amp;"". Ubicacion: ""&amp;""https://www.google.com/maps/search/?api=1&amp;query=""&amp;SUBSTITUTE(F118,"" "","""")),""📲 Avisar al cliente"""&amp;"),"""")"),"")</f>
        <v/>
      </c>
      <c r="L118" s="5" t="str">
        <f>IFERROR(__xludf.DUMMYFUNCTION("IF(C118&lt;&gt;"""",""https://api.qrserver.com/v1/create-qr-code/?size=200x200&amp;data=""&amp;ENCODEURL(""https://wa.me/507""&amp;REGEXREPLACE(C118,""[^0-9]"","""")&amp;""?text=""&amp;ENCODEURL(""Ya llegue. Codigo: ""&amp;A118&amp;"". Ubicacion: ""&amp;""https://www.google.com/maps/search/?a"&amp;"pi=1&amp;query=""&amp;SUBSTITUTE(F118,"" "",""""))),"""")"),"")</f>
        <v/>
      </c>
      <c r="M118" s="5" t="str">
        <f t="shared" si="6"/>
        <v/>
      </c>
      <c r="N118" s="5" t="str">
        <f>IFERROR(__xludf.DUMMYFUNCTION("IF(AND(F118&lt;&gt;"""",REGEXMATCH(SUBSTITUTE(F118,"" "",""""),""^-?\d+(\.\d+)?,-?\d+(\.\d+)?$""),VALUE(REGEXEXTRACT(SUBSTITUTE(F118,"" "",""""),""^-?\d+(\.\d+)?""))&gt;=-90,VALUE(REGEXEXTRACT(SUBSTITUTE(F118,"" "",""""),""^-?\d+(\.\d+)?""))&lt;=90,VALUE(REGEXEXTRACT"&amp;"(SUBSTITUTE(F118,"" "",""""),""-?\d+(\.\d+)?$""))&gt;=-180,VALUE(REGEXEXTRACT(SUBSTITUTE(F118,"" "",""""),""-?\d+(\.\d+)?$""))&lt;=180),""OK"",""REVISAR"")"),"#N/A")</f>
        <v>#N/A</v>
      </c>
    </row>
    <row r="119" ht="15.75" customHeight="1">
      <c r="A119" s="5" t="str">
        <f t="shared" si="1"/>
        <v>AD507-0117</v>
      </c>
      <c r="C119" s="5"/>
      <c r="F119" s="5"/>
      <c r="G119" s="5" t="str">
        <f t="shared" si="2"/>
        <v/>
      </c>
      <c r="H119" s="5" t="str">
        <f t="shared" si="3"/>
        <v/>
      </c>
      <c r="I119" s="5" t="str">
        <f t="shared" si="4"/>
        <v/>
      </c>
      <c r="J119" s="5" t="str">
        <f t="shared" si="5"/>
        <v/>
      </c>
      <c r="K119" s="5" t="str">
        <f>IFERROR(__xludf.DUMMYFUNCTION("IF(C119&lt;&gt;"""",HYPERLINK(""https://wa.me/507""&amp;REGEXREPLACE(C119,""[^0-9]"","""")&amp;""?text=""&amp;ENCODEURL(""Ya llegue. Codigo: ""&amp;A119&amp;"". Ubicacion: ""&amp;""https://www.google.com/maps/search/?api=1&amp;query=""&amp;SUBSTITUTE(F119,"" "","""")),""📲 Avisar al cliente"""&amp;"),"""")"),"")</f>
        <v/>
      </c>
      <c r="L119" s="5" t="str">
        <f>IFERROR(__xludf.DUMMYFUNCTION("IF(C119&lt;&gt;"""",""https://api.qrserver.com/v1/create-qr-code/?size=200x200&amp;data=""&amp;ENCODEURL(""https://wa.me/507""&amp;REGEXREPLACE(C119,""[^0-9]"","""")&amp;""?text=""&amp;ENCODEURL(""Ya llegue. Codigo: ""&amp;A119&amp;"". Ubicacion: ""&amp;""https://www.google.com/maps/search/?a"&amp;"pi=1&amp;query=""&amp;SUBSTITUTE(F119,"" "",""""))),"""")"),"")</f>
        <v/>
      </c>
      <c r="M119" s="5" t="str">
        <f t="shared" si="6"/>
        <v/>
      </c>
      <c r="N119" s="5" t="str">
        <f>IFERROR(__xludf.DUMMYFUNCTION("IF(AND(F119&lt;&gt;"""",REGEXMATCH(SUBSTITUTE(F119,"" "",""""),""^-?\d+(\.\d+)?,-?\d+(\.\d+)?$""),VALUE(REGEXEXTRACT(SUBSTITUTE(F119,"" "",""""),""^-?\d+(\.\d+)?""))&gt;=-90,VALUE(REGEXEXTRACT(SUBSTITUTE(F119,"" "",""""),""^-?\d+(\.\d+)?""))&lt;=90,VALUE(REGEXEXTRACT"&amp;"(SUBSTITUTE(F119,"" "",""""),""-?\d+(\.\d+)?$""))&gt;=-180,VALUE(REGEXEXTRACT(SUBSTITUTE(F119,"" "",""""),""-?\d+(\.\d+)?$""))&lt;=180),""OK"",""REVISAR"")"),"#N/A")</f>
        <v>#N/A</v>
      </c>
    </row>
    <row r="120" ht="15.75" customHeight="1">
      <c r="A120" s="5" t="str">
        <f t="shared" si="1"/>
        <v>AD507-0118</v>
      </c>
      <c r="C120" s="5"/>
      <c r="F120" s="5"/>
      <c r="G120" s="5" t="str">
        <f t="shared" si="2"/>
        <v/>
      </c>
      <c r="H120" s="5" t="str">
        <f t="shared" si="3"/>
        <v/>
      </c>
      <c r="I120" s="5" t="str">
        <f t="shared" si="4"/>
        <v/>
      </c>
      <c r="J120" s="5" t="str">
        <f t="shared" si="5"/>
        <v/>
      </c>
      <c r="K120" s="5" t="str">
        <f>IFERROR(__xludf.DUMMYFUNCTION("IF(C120&lt;&gt;"""",HYPERLINK(""https://wa.me/507""&amp;REGEXREPLACE(C120,""[^0-9]"","""")&amp;""?text=""&amp;ENCODEURL(""Ya llegue. Codigo: ""&amp;A120&amp;"". Ubicacion: ""&amp;""https://www.google.com/maps/search/?api=1&amp;query=""&amp;SUBSTITUTE(F120,"" "","""")),""📲 Avisar al cliente"""&amp;"),"""")"),"")</f>
        <v/>
      </c>
      <c r="L120" s="5" t="str">
        <f>IFERROR(__xludf.DUMMYFUNCTION("IF(C120&lt;&gt;"""",""https://api.qrserver.com/v1/create-qr-code/?size=200x200&amp;data=""&amp;ENCODEURL(""https://wa.me/507""&amp;REGEXREPLACE(C120,""[^0-9]"","""")&amp;""?text=""&amp;ENCODEURL(""Ya llegue. Codigo: ""&amp;A120&amp;"". Ubicacion: ""&amp;""https://www.google.com/maps/search/?a"&amp;"pi=1&amp;query=""&amp;SUBSTITUTE(F120,"" "",""""))),"""")"),"")</f>
        <v/>
      </c>
      <c r="M120" s="5" t="str">
        <f t="shared" si="6"/>
        <v/>
      </c>
      <c r="N120" s="5" t="str">
        <f>IFERROR(__xludf.DUMMYFUNCTION("IF(AND(F120&lt;&gt;"""",REGEXMATCH(SUBSTITUTE(F120,"" "",""""),""^-?\d+(\.\d+)?,-?\d+(\.\d+)?$""),VALUE(REGEXEXTRACT(SUBSTITUTE(F120,"" "",""""),""^-?\d+(\.\d+)?""))&gt;=-90,VALUE(REGEXEXTRACT(SUBSTITUTE(F120,"" "",""""),""^-?\d+(\.\d+)?""))&lt;=90,VALUE(REGEXEXTRACT"&amp;"(SUBSTITUTE(F120,"" "",""""),""-?\d+(\.\d+)?$""))&gt;=-180,VALUE(REGEXEXTRACT(SUBSTITUTE(F120,"" "",""""),""-?\d+(\.\d+)?$""))&lt;=180),""OK"",""REVISAR"")"),"#N/A")</f>
        <v>#N/A</v>
      </c>
    </row>
    <row r="121" ht="15.75" customHeight="1">
      <c r="A121" s="5" t="str">
        <f t="shared" si="1"/>
        <v>AD507-0119</v>
      </c>
      <c r="C121" s="5"/>
      <c r="F121" s="5"/>
      <c r="G121" s="5" t="str">
        <f t="shared" si="2"/>
        <v/>
      </c>
      <c r="H121" s="5" t="str">
        <f t="shared" si="3"/>
        <v/>
      </c>
      <c r="I121" s="5" t="str">
        <f t="shared" si="4"/>
        <v/>
      </c>
      <c r="J121" s="5" t="str">
        <f t="shared" si="5"/>
        <v/>
      </c>
      <c r="K121" s="5" t="str">
        <f>IFERROR(__xludf.DUMMYFUNCTION("IF(C121&lt;&gt;"""",HYPERLINK(""https://wa.me/507""&amp;REGEXREPLACE(C121,""[^0-9]"","""")&amp;""?text=""&amp;ENCODEURL(""Ya llegue. Codigo: ""&amp;A121&amp;"". Ubicacion: ""&amp;""https://www.google.com/maps/search/?api=1&amp;query=""&amp;SUBSTITUTE(F121,"" "","""")),""📲 Avisar al cliente"""&amp;"),"""")"),"")</f>
        <v/>
      </c>
      <c r="L121" s="5" t="str">
        <f>IFERROR(__xludf.DUMMYFUNCTION("IF(C121&lt;&gt;"""",""https://api.qrserver.com/v1/create-qr-code/?size=200x200&amp;data=""&amp;ENCODEURL(""https://wa.me/507""&amp;REGEXREPLACE(C121,""[^0-9]"","""")&amp;""?text=""&amp;ENCODEURL(""Ya llegue. Codigo: ""&amp;A121&amp;"". Ubicacion: ""&amp;""https://www.google.com/maps/search/?a"&amp;"pi=1&amp;query=""&amp;SUBSTITUTE(F121,"" "",""""))),"""")"),"")</f>
        <v/>
      </c>
      <c r="M121" s="5" t="str">
        <f t="shared" si="6"/>
        <v/>
      </c>
      <c r="N121" s="5" t="str">
        <f>IFERROR(__xludf.DUMMYFUNCTION("IF(AND(F121&lt;&gt;"""",REGEXMATCH(SUBSTITUTE(F121,"" "",""""),""^-?\d+(\.\d+)?,-?\d+(\.\d+)?$""),VALUE(REGEXEXTRACT(SUBSTITUTE(F121,"" "",""""),""^-?\d+(\.\d+)?""))&gt;=-90,VALUE(REGEXEXTRACT(SUBSTITUTE(F121,"" "",""""),""^-?\d+(\.\d+)?""))&lt;=90,VALUE(REGEXEXTRACT"&amp;"(SUBSTITUTE(F121,"" "",""""),""-?\d+(\.\d+)?$""))&gt;=-180,VALUE(REGEXEXTRACT(SUBSTITUTE(F121,"" "",""""),""-?\d+(\.\d+)?$""))&lt;=180),""OK"",""REVISAR"")"),"#N/A")</f>
        <v>#N/A</v>
      </c>
    </row>
    <row r="122" ht="15.75" customHeight="1">
      <c r="A122" s="5" t="str">
        <f t="shared" si="1"/>
        <v>AD507-0120</v>
      </c>
      <c r="C122" s="5"/>
      <c r="F122" s="5"/>
      <c r="G122" s="5" t="str">
        <f t="shared" si="2"/>
        <v/>
      </c>
      <c r="H122" s="5" t="str">
        <f t="shared" si="3"/>
        <v/>
      </c>
      <c r="I122" s="5" t="str">
        <f t="shared" si="4"/>
        <v/>
      </c>
      <c r="J122" s="5" t="str">
        <f t="shared" si="5"/>
        <v/>
      </c>
      <c r="K122" s="5" t="str">
        <f>IFERROR(__xludf.DUMMYFUNCTION("IF(C122&lt;&gt;"""",HYPERLINK(""https://wa.me/507""&amp;REGEXREPLACE(C122,""[^0-9]"","""")&amp;""?text=""&amp;ENCODEURL(""Ya llegue. Codigo: ""&amp;A122&amp;"". Ubicacion: ""&amp;""https://www.google.com/maps/search/?api=1&amp;query=""&amp;SUBSTITUTE(F122,"" "","""")),""📲 Avisar al cliente"""&amp;"),"""")"),"")</f>
        <v/>
      </c>
      <c r="L122" s="5" t="str">
        <f>IFERROR(__xludf.DUMMYFUNCTION("IF(C122&lt;&gt;"""",""https://api.qrserver.com/v1/create-qr-code/?size=200x200&amp;data=""&amp;ENCODEURL(""https://wa.me/507""&amp;REGEXREPLACE(C122,""[^0-9]"","""")&amp;""?text=""&amp;ENCODEURL(""Ya llegue. Codigo: ""&amp;A122&amp;"". Ubicacion: ""&amp;""https://www.google.com/maps/search/?a"&amp;"pi=1&amp;query=""&amp;SUBSTITUTE(F122,"" "",""""))),"""")"),"")</f>
        <v/>
      </c>
      <c r="M122" s="5" t="str">
        <f t="shared" si="6"/>
        <v/>
      </c>
      <c r="N122" s="5" t="str">
        <f>IFERROR(__xludf.DUMMYFUNCTION("IF(AND(F122&lt;&gt;"""",REGEXMATCH(SUBSTITUTE(F122,"" "",""""),""^-?\d+(\.\d+)?,-?\d+(\.\d+)?$""),VALUE(REGEXEXTRACT(SUBSTITUTE(F122,"" "",""""),""^-?\d+(\.\d+)?""))&gt;=-90,VALUE(REGEXEXTRACT(SUBSTITUTE(F122,"" "",""""),""^-?\d+(\.\d+)?""))&lt;=90,VALUE(REGEXEXTRACT"&amp;"(SUBSTITUTE(F122,"" "",""""),""-?\d+(\.\d+)?$""))&gt;=-180,VALUE(REGEXEXTRACT(SUBSTITUTE(F122,"" "",""""),""-?\d+(\.\d+)?$""))&lt;=180),""OK"",""REVISAR"")"),"#N/A")</f>
        <v>#N/A</v>
      </c>
    </row>
    <row r="123" ht="15.75" customHeight="1">
      <c r="A123" s="5" t="str">
        <f t="shared" si="1"/>
        <v>AD507-0121</v>
      </c>
      <c r="C123" s="5"/>
      <c r="F123" s="5"/>
      <c r="G123" s="5" t="str">
        <f t="shared" si="2"/>
        <v/>
      </c>
      <c r="H123" s="5" t="str">
        <f t="shared" si="3"/>
        <v/>
      </c>
      <c r="I123" s="5" t="str">
        <f t="shared" si="4"/>
        <v/>
      </c>
      <c r="J123" s="5" t="str">
        <f t="shared" si="5"/>
        <v/>
      </c>
      <c r="K123" s="5" t="str">
        <f>IFERROR(__xludf.DUMMYFUNCTION("IF(C123&lt;&gt;"""",HYPERLINK(""https://wa.me/507""&amp;REGEXREPLACE(C123,""[^0-9]"","""")&amp;""?text=""&amp;ENCODEURL(""Ya llegue. Codigo: ""&amp;A123&amp;"". Ubicacion: ""&amp;""https://www.google.com/maps/search/?api=1&amp;query=""&amp;SUBSTITUTE(F123,"" "","""")),""📲 Avisar al cliente"""&amp;"),"""")"),"")</f>
        <v/>
      </c>
      <c r="L123" s="5" t="str">
        <f>IFERROR(__xludf.DUMMYFUNCTION("IF(C123&lt;&gt;"""",""https://api.qrserver.com/v1/create-qr-code/?size=200x200&amp;data=""&amp;ENCODEURL(""https://wa.me/507""&amp;REGEXREPLACE(C123,""[^0-9]"","""")&amp;""?text=""&amp;ENCODEURL(""Ya llegue. Codigo: ""&amp;A123&amp;"". Ubicacion: ""&amp;""https://www.google.com/maps/search/?a"&amp;"pi=1&amp;query=""&amp;SUBSTITUTE(F123,"" "",""""))),"""")"),"")</f>
        <v/>
      </c>
      <c r="M123" s="5" t="str">
        <f t="shared" si="6"/>
        <v/>
      </c>
      <c r="N123" s="5" t="str">
        <f>IFERROR(__xludf.DUMMYFUNCTION("IF(AND(F123&lt;&gt;"""",REGEXMATCH(SUBSTITUTE(F123,"" "",""""),""^-?\d+(\.\d+)?,-?\d+(\.\d+)?$""),VALUE(REGEXEXTRACT(SUBSTITUTE(F123,"" "",""""),""^-?\d+(\.\d+)?""))&gt;=-90,VALUE(REGEXEXTRACT(SUBSTITUTE(F123,"" "",""""),""^-?\d+(\.\d+)?""))&lt;=90,VALUE(REGEXEXTRACT"&amp;"(SUBSTITUTE(F123,"" "",""""),""-?\d+(\.\d+)?$""))&gt;=-180,VALUE(REGEXEXTRACT(SUBSTITUTE(F123,"" "",""""),""-?\d+(\.\d+)?$""))&lt;=180),""OK"",""REVISAR"")"),"#N/A")</f>
        <v>#N/A</v>
      </c>
    </row>
    <row r="124" ht="15.75" customHeight="1">
      <c r="A124" s="5" t="str">
        <f t="shared" si="1"/>
        <v>AD507-0122</v>
      </c>
      <c r="C124" s="5"/>
      <c r="F124" s="5"/>
      <c r="G124" s="5" t="str">
        <f t="shared" si="2"/>
        <v/>
      </c>
      <c r="H124" s="5" t="str">
        <f t="shared" si="3"/>
        <v/>
      </c>
      <c r="I124" s="5" t="str">
        <f t="shared" si="4"/>
        <v/>
      </c>
      <c r="J124" s="5" t="str">
        <f t="shared" si="5"/>
        <v/>
      </c>
      <c r="K124" s="5" t="str">
        <f>IFERROR(__xludf.DUMMYFUNCTION("IF(C124&lt;&gt;"""",HYPERLINK(""https://wa.me/507""&amp;REGEXREPLACE(C124,""[^0-9]"","""")&amp;""?text=""&amp;ENCODEURL(""Ya llegue. Codigo: ""&amp;A124&amp;"". Ubicacion: ""&amp;""https://www.google.com/maps/search/?api=1&amp;query=""&amp;SUBSTITUTE(F124,"" "","""")),""📲 Avisar al cliente"""&amp;"),"""")"),"")</f>
        <v/>
      </c>
      <c r="L124" s="5" t="str">
        <f>IFERROR(__xludf.DUMMYFUNCTION("IF(C124&lt;&gt;"""",""https://api.qrserver.com/v1/create-qr-code/?size=200x200&amp;data=""&amp;ENCODEURL(""https://wa.me/507""&amp;REGEXREPLACE(C124,""[^0-9]"","""")&amp;""?text=""&amp;ENCODEURL(""Ya llegue. Codigo: ""&amp;A124&amp;"". Ubicacion: ""&amp;""https://www.google.com/maps/search/?a"&amp;"pi=1&amp;query=""&amp;SUBSTITUTE(F124,"" "",""""))),"""")"),"")</f>
        <v/>
      </c>
      <c r="M124" s="5" t="str">
        <f t="shared" si="6"/>
        <v/>
      </c>
      <c r="N124" s="5" t="str">
        <f>IFERROR(__xludf.DUMMYFUNCTION("IF(AND(F124&lt;&gt;"""",REGEXMATCH(SUBSTITUTE(F124,"" "",""""),""^-?\d+(\.\d+)?,-?\d+(\.\d+)?$""),VALUE(REGEXEXTRACT(SUBSTITUTE(F124,"" "",""""),""^-?\d+(\.\d+)?""))&gt;=-90,VALUE(REGEXEXTRACT(SUBSTITUTE(F124,"" "",""""),""^-?\d+(\.\d+)?""))&lt;=90,VALUE(REGEXEXTRACT"&amp;"(SUBSTITUTE(F124,"" "",""""),""-?\d+(\.\d+)?$""))&gt;=-180,VALUE(REGEXEXTRACT(SUBSTITUTE(F124,"" "",""""),""-?\d+(\.\d+)?$""))&lt;=180),""OK"",""REVISAR"")"),"#N/A")</f>
        <v>#N/A</v>
      </c>
    </row>
    <row r="125" ht="15.75" customHeight="1">
      <c r="A125" s="5" t="str">
        <f t="shared" si="1"/>
        <v>AD507-0123</v>
      </c>
      <c r="C125" s="5"/>
      <c r="F125" s="5"/>
      <c r="G125" s="5" t="str">
        <f t="shared" si="2"/>
        <v/>
      </c>
      <c r="H125" s="5" t="str">
        <f t="shared" si="3"/>
        <v/>
      </c>
      <c r="I125" s="5" t="str">
        <f t="shared" si="4"/>
        <v/>
      </c>
      <c r="J125" s="5" t="str">
        <f t="shared" si="5"/>
        <v/>
      </c>
      <c r="K125" s="5" t="str">
        <f>IFERROR(__xludf.DUMMYFUNCTION("IF(C125&lt;&gt;"""",HYPERLINK(""https://wa.me/507""&amp;REGEXREPLACE(C125,""[^0-9]"","""")&amp;""?text=""&amp;ENCODEURL(""Ya llegue. Codigo: ""&amp;A125&amp;"". Ubicacion: ""&amp;""https://www.google.com/maps/search/?api=1&amp;query=""&amp;SUBSTITUTE(F125,"" "","""")),""📲 Avisar al cliente"""&amp;"),"""")"),"")</f>
        <v/>
      </c>
      <c r="L125" s="5" t="str">
        <f>IFERROR(__xludf.DUMMYFUNCTION("IF(C125&lt;&gt;"""",""https://api.qrserver.com/v1/create-qr-code/?size=200x200&amp;data=""&amp;ENCODEURL(""https://wa.me/507""&amp;REGEXREPLACE(C125,""[^0-9]"","""")&amp;""?text=""&amp;ENCODEURL(""Ya llegue. Codigo: ""&amp;A125&amp;"". Ubicacion: ""&amp;""https://www.google.com/maps/search/?a"&amp;"pi=1&amp;query=""&amp;SUBSTITUTE(F125,"" "",""""))),"""")"),"")</f>
        <v/>
      </c>
      <c r="M125" s="5" t="str">
        <f t="shared" si="6"/>
        <v/>
      </c>
      <c r="N125" s="5" t="str">
        <f>IFERROR(__xludf.DUMMYFUNCTION("IF(AND(F125&lt;&gt;"""",REGEXMATCH(SUBSTITUTE(F125,"" "",""""),""^-?\d+(\.\d+)?,-?\d+(\.\d+)?$""),VALUE(REGEXEXTRACT(SUBSTITUTE(F125,"" "",""""),""^-?\d+(\.\d+)?""))&gt;=-90,VALUE(REGEXEXTRACT(SUBSTITUTE(F125,"" "",""""),""^-?\d+(\.\d+)?""))&lt;=90,VALUE(REGEXEXTRACT"&amp;"(SUBSTITUTE(F125,"" "",""""),""-?\d+(\.\d+)?$""))&gt;=-180,VALUE(REGEXEXTRACT(SUBSTITUTE(F125,"" "",""""),""-?\d+(\.\d+)?$""))&lt;=180),""OK"",""REVISAR"")"),"#N/A")</f>
        <v>#N/A</v>
      </c>
    </row>
    <row r="126" ht="15.75" customHeight="1">
      <c r="A126" s="5" t="str">
        <f t="shared" si="1"/>
        <v>AD507-0124</v>
      </c>
      <c r="C126" s="5"/>
      <c r="F126" s="5"/>
      <c r="G126" s="5" t="str">
        <f t="shared" si="2"/>
        <v/>
      </c>
      <c r="H126" s="5" t="str">
        <f t="shared" si="3"/>
        <v/>
      </c>
      <c r="I126" s="5" t="str">
        <f t="shared" si="4"/>
        <v/>
      </c>
      <c r="J126" s="5" t="str">
        <f t="shared" si="5"/>
        <v/>
      </c>
      <c r="K126" s="5" t="str">
        <f>IFERROR(__xludf.DUMMYFUNCTION("IF(C126&lt;&gt;"""",HYPERLINK(""https://wa.me/507""&amp;REGEXREPLACE(C126,""[^0-9]"","""")&amp;""?text=""&amp;ENCODEURL(""Ya llegue. Codigo: ""&amp;A126&amp;"". Ubicacion: ""&amp;""https://www.google.com/maps/search/?api=1&amp;query=""&amp;SUBSTITUTE(F126,"" "","""")),""📲 Avisar al cliente"""&amp;"),"""")"),"")</f>
        <v/>
      </c>
      <c r="L126" s="5" t="str">
        <f>IFERROR(__xludf.DUMMYFUNCTION("IF(C126&lt;&gt;"""",""https://api.qrserver.com/v1/create-qr-code/?size=200x200&amp;data=""&amp;ENCODEURL(""https://wa.me/507""&amp;REGEXREPLACE(C126,""[^0-9]"","""")&amp;""?text=""&amp;ENCODEURL(""Ya llegue. Codigo: ""&amp;A126&amp;"". Ubicacion: ""&amp;""https://www.google.com/maps/search/?a"&amp;"pi=1&amp;query=""&amp;SUBSTITUTE(F126,"" "",""""))),"""")"),"")</f>
        <v/>
      </c>
      <c r="M126" s="5" t="str">
        <f t="shared" si="6"/>
        <v/>
      </c>
      <c r="N126" s="5" t="str">
        <f>IFERROR(__xludf.DUMMYFUNCTION("IF(AND(F126&lt;&gt;"""",REGEXMATCH(SUBSTITUTE(F126,"" "",""""),""^-?\d+(\.\d+)?,-?\d+(\.\d+)?$""),VALUE(REGEXEXTRACT(SUBSTITUTE(F126,"" "",""""),""^-?\d+(\.\d+)?""))&gt;=-90,VALUE(REGEXEXTRACT(SUBSTITUTE(F126,"" "",""""),""^-?\d+(\.\d+)?""))&lt;=90,VALUE(REGEXEXTRACT"&amp;"(SUBSTITUTE(F126,"" "",""""),""-?\d+(\.\d+)?$""))&gt;=-180,VALUE(REGEXEXTRACT(SUBSTITUTE(F126,"" "",""""),""-?\d+(\.\d+)?$""))&lt;=180),""OK"",""REVISAR"")"),"#N/A")</f>
        <v>#N/A</v>
      </c>
    </row>
    <row r="127" ht="15.75" customHeight="1">
      <c r="A127" s="5" t="str">
        <f t="shared" si="1"/>
        <v>AD507-0125</v>
      </c>
      <c r="C127" s="5"/>
      <c r="F127" s="5"/>
      <c r="G127" s="5" t="str">
        <f t="shared" si="2"/>
        <v/>
      </c>
      <c r="H127" s="5" t="str">
        <f t="shared" si="3"/>
        <v/>
      </c>
      <c r="I127" s="5" t="str">
        <f t="shared" si="4"/>
        <v/>
      </c>
      <c r="J127" s="5" t="str">
        <f t="shared" si="5"/>
        <v/>
      </c>
      <c r="K127" s="5" t="str">
        <f>IFERROR(__xludf.DUMMYFUNCTION("IF(C127&lt;&gt;"""",HYPERLINK(""https://wa.me/507""&amp;REGEXREPLACE(C127,""[^0-9]"","""")&amp;""?text=""&amp;ENCODEURL(""Ya llegue. Codigo: ""&amp;A127&amp;"". Ubicacion: ""&amp;""https://www.google.com/maps/search/?api=1&amp;query=""&amp;SUBSTITUTE(F127,"" "","""")),""📲 Avisar al cliente"""&amp;"),"""")"),"")</f>
        <v/>
      </c>
      <c r="L127" s="5" t="str">
        <f>IFERROR(__xludf.DUMMYFUNCTION("IF(C127&lt;&gt;"""",""https://api.qrserver.com/v1/create-qr-code/?size=200x200&amp;data=""&amp;ENCODEURL(""https://wa.me/507""&amp;REGEXREPLACE(C127,""[^0-9]"","""")&amp;""?text=""&amp;ENCODEURL(""Ya llegue. Codigo: ""&amp;A127&amp;"". Ubicacion: ""&amp;""https://www.google.com/maps/search/?a"&amp;"pi=1&amp;query=""&amp;SUBSTITUTE(F127,"" "",""""))),"""")"),"")</f>
        <v/>
      </c>
      <c r="M127" s="5" t="str">
        <f t="shared" si="6"/>
        <v/>
      </c>
      <c r="N127" s="5" t="str">
        <f>IFERROR(__xludf.DUMMYFUNCTION("IF(AND(F127&lt;&gt;"""",REGEXMATCH(SUBSTITUTE(F127,"" "",""""),""^-?\d+(\.\d+)?,-?\d+(\.\d+)?$""),VALUE(REGEXEXTRACT(SUBSTITUTE(F127,"" "",""""),""^-?\d+(\.\d+)?""))&gt;=-90,VALUE(REGEXEXTRACT(SUBSTITUTE(F127,"" "",""""),""^-?\d+(\.\d+)?""))&lt;=90,VALUE(REGEXEXTRACT"&amp;"(SUBSTITUTE(F127,"" "",""""),""-?\d+(\.\d+)?$""))&gt;=-180,VALUE(REGEXEXTRACT(SUBSTITUTE(F127,"" "",""""),""-?\d+(\.\d+)?$""))&lt;=180),""OK"",""REVISAR"")"),"#N/A")</f>
        <v>#N/A</v>
      </c>
    </row>
    <row r="128" ht="15.75" customHeight="1">
      <c r="A128" s="5" t="str">
        <f t="shared" si="1"/>
        <v>AD507-0126</v>
      </c>
      <c r="C128" s="5"/>
      <c r="F128" s="5"/>
      <c r="G128" s="5" t="str">
        <f t="shared" si="2"/>
        <v/>
      </c>
      <c r="H128" s="5" t="str">
        <f t="shared" si="3"/>
        <v/>
      </c>
      <c r="I128" s="5" t="str">
        <f t="shared" si="4"/>
        <v/>
      </c>
      <c r="J128" s="5" t="str">
        <f t="shared" si="5"/>
        <v/>
      </c>
      <c r="K128" s="5" t="str">
        <f>IFERROR(__xludf.DUMMYFUNCTION("IF(C128&lt;&gt;"""",HYPERLINK(""https://wa.me/507""&amp;REGEXREPLACE(C128,""[^0-9]"","""")&amp;""?text=""&amp;ENCODEURL(""Ya llegue. Codigo: ""&amp;A128&amp;"". Ubicacion: ""&amp;""https://www.google.com/maps/search/?api=1&amp;query=""&amp;SUBSTITUTE(F128,"" "","""")),""📲 Avisar al cliente"""&amp;"),"""")"),"")</f>
        <v/>
      </c>
      <c r="L128" s="5" t="str">
        <f>IFERROR(__xludf.DUMMYFUNCTION("IF(C128&lt;&gt;"""",""https://api.qrserver.com/v1/create-qr-code/?size=200x200&amp;data=""&amp;ENCODEURL(""https://wa.me/507""&amp;REGEXREPLACE(C128,""[^0-9]"","""")&amp;""?text=""&amp;ENCODEURL(""Ya llegue. Codigo: ""&amp;A128&amp;"". Ubicacion: ""&amp;""https://www.google.com/maps/search/?a"&amp;"pi=1&amp;query=""&amp;SUBSTITUTE(F128,"" "",""""))),"""")"),"")</f>
        <v/>
      </c>
      <c r="M128" s="5" t="str">
        <f t="shared" si="6"/>
        <v/>
      </c>
      <c r="N128" s="5" t="str">
        <f>IFERROR(__xludf.DUMMYFUNCTION("IF(AND(F128&lt;&gt;"""",REGEXMATCH(SUBSTITUTE(F128,"" "",""""),""^-?\d+(\.\d+)?,-?\d+(\.\d+)?$""),VALUE(REGEXEXTRACT(SUBSTITUTE(F128,"" "",""""),""^-?\d+(\.\d+)?""))&gt;=-90,VALUE(REGEXEXTRACT(SUBSTITUTE(F128,"" "",""""),""^-?\d+(\.\d+)?""))&lt;=90,VALUE(REGEXEXTRACT"&amp;"(SUBSTITUTE(F128,"" "",""""),""-?\d+(\.\d+)?$""))&gt;=-180,VALUE(REGEXEXTRACT(SUBSTITUTE(F128,"" "",""""),""-?\d+(\.\d+)?$""))&lt;=180),""OK"",""REVISAR"")"),"#N/A")</f>
        <v>#N/A</v>
      </c>
    </row>
    <row r="129" ht="15.75" customHeight="1">
      <c r="A129" s="5" t="str">
        <f t="shared" si="1"/>
        <v>AD507-0127</v>
      </c>
      <c r="C129" s="5"/>
      <c r="F129" s="5"/>
      <c r="G129" s="5" t="str">
        <f t="shared" si="2"/>
        <v/>
      </c>
      <c r="H129" s="5" t="str">
        <f t="shared" si="3"/>
        <v/>
      </c>
      <c r="I129" s="5" t="str">
        <f t="shared" si="4"/>
        <v/>
      </c>
      <c r="J129" s="5" t="str">
        <f t="shared" si="5"/>
        <v/>
      </c>
      <c r="K129" s="5" t="str">
        <f>IFERROR(__xludf.DUMMYFUNCTION("IF(C129&lt;&gt;"""",HYPERLINK(""https://wa.me/507""&amp;REGEXREPLACE(C129,""[^0-9]"","""")&amp;""?text=""&amp;ENCODEURL(""Ya llegue. Codigo: ""&amp;A129&amp;"". Ubicacion: ""&amp;""https://www.google.com/maps/search/?api=1&amp;query=""&amp;SUBSTITUTE(F129,"" "","""")),""📲 Avisar al cliente"""&amp;"),"""")"),"")</f>
        <v/>
      </c>
      <c r="L129" s="5" t="str">
        <f>IFERROR(__xludf.DUMMYFUNCTION("IF(C129&lt;&gt;"""",""https://api.qrserver.com/v1/create-qr-code/?size=200x200&amp;data=""&amp;ENCODEURL(""https://wa.me/507""&amp;REGEXREPLACE(C129,""[^0-9]"","""")&amp;""?text=""&amp;ENCODEURL(""Ya llegue. Codigo: ""&amp;A129&amp;"". Ubicacion: ""&amp;""https://www.google.com/maps/search/?a"&amp;"pi=1&amp;query=""&amp;SUBSTITUTE(F129,"" "",""""))),"""")"),"")</f>
        <v/>
      </c>
      <c r="M129" s="5" t="str">
        <f t="shared" si="6"/>
        <v/>
      </c>
      <c r="N129" s="5" t="str">
        <f>IFERROR(__xludf.DUMMYFUNCTION("IF(AND(F129&lt;&gt;"""",REGEXMATCH(SUBSTITUTE(F129,"" "",""""),""^-?\d+(\.\d+)?,-?\d+(\.\d+)?$""),VALUE(REGEXEXTRACT(SUBSTITUTE(F129,"" "",""""),""^-?\d+(\.\d+)?""))&gt;=-90,VALUE(REGEXEXTRACT(SUBSTITUTE(F129,"" "",""""),""^-?\d+(\.\d+)?""))&lt;=90,VALUE(REGEXEXTRACT"&amp;"(SUBSTITUTE(F129,"" "",""""),""-?\d+(\.\d+)?$""))&gt;=-180,VALUE(REGEXEXTRACT(SUBSTITUTE(F129,"" "",""""),""-?\d+(\.\d+)?$""))&lt;=180),""OK"",""REVISAR"")"),"#N/A")</f>
        <v>#N/A</v>
      </c>
    </row>
    <row r="130" ht="15.75" customHeight="1">
      <c r="A130" s="5" t="str">
        <f t="shared" si="1"/>
        <v>AD507-0128</v>
      </c>
      <c r="C130" s="5"/>
      <c r="F130" s="5"/>
      <c r="G130" s="5" t="str">
        <f t="shared" si="2"/>
        <v/>
      </c>
      <c r="H130" s="5" t="str">
        <f t="shared" si="3"/>
        <v/>
      </c>
      <c r="I130" s="5" t="str">
        <f t="shared" si="4"/>
        <v/>
      </c>
      <c r="J130" s="5" t="str">
        <f t="shared" si="5"/>
        <v/>
      </c>
      <c r="K130" s="5" t="str">
        <f>IFERROR(__xludf.DUMMYFUNCTION("IF(C130&lt;&gt;"""",HYPERLINK(""https://wa.me/507""&amp;REGEXREPLACE(C130,""[^0-9]"","""")&amp;""?text=""&amp;ENCODEURL(""Ya llegue. Codigo: ""&amp;A130&amp;"". Ubicacion: ""&amp;""https://www.google.com/maps/search/?api=1&amp;query=""&amp;SUBSTITUTE(F130,"" "","""")),""📲 Avisar al cliente"""&amp;"),"""")"),"")</f>
        <v/>
      </c>
      <c r="L130" s="5" t="str">
        <f>IFERROR(__xludf.DUMMYFUNCTION("IF(C130&lt;&gt;"""",""https://api.qrserver.com/v1/create-qr-code/?size=200x200&amp;data=""&amp;ENCODEURL(""https://wa.me/507""&amp;REGEXREPLACE(C130,""[^0-9]"","""")&amp;""?text=""&amp;ENCODEURL(""Ya llegue. Codigo: ""&amp;A130&amp;"". Ubicacion: ""&amp;""https://www.google.com/maps/search/?a"&amp;"pi=1&amp;query=""&amp;SUBSTITUTE(F130,"" "",""""))),"""")"),"")</f>
        <v/>
      </c>
      <c r="M130" s="5" t="str">
        <f t="shared" si="6"/>
        <v/>
      </c>
      <c r="N130" s="5" t="str">
        <f>IFERROR(__xludf.DUMMYFUNCTION("IF(AND(F130&lt;&gt;"""",REGEXMATCH(SUBSTITUTE(F130,"" "",""""),""^-?\d+(\.\d+)?,-?\d+(\.\d+)?$""),VALUE(REGEXEXTRACT(SUBSTITUTE(F130,"" "",""""),""^-?\d+(\.\d+)?""))&gt;=-90,VALUE(REGEXEXTRACT(SUBSTITUTE(F130,"" "",""""),""^-?\d+(\.\d+)?""))&lt;=90,VALUE(REGEXEXTRACT"&amp;"(SUBSTITUTE(F130,"" "",""""),""-?\d+(\.\d+)?$""))&gt;=-180,VALUE(REGEXEXTRACT(SUBSTITUTE(F130,"" "",""""),""-?\d+(\.\d+)?$""))&lt;=180),""OK"",""REVISAR"")"),"#N/A")</f>
        <v>#N/A</v>
      </c>
    </row>
    <row r="131" ht="15.75" customHeight="1">
      <c r="A131" s="5" t="str">
        <f t="shared" si="1"/>
        <v>AD507-0129</v>
      </c>
      <c r="C131" s="5"/>
      <c r="F131" s="5"/>
      <c r="G131" s="5" t="str">
        <f t="shared" si="2"/>
        <v/>
      </c>
      <c r="H131" s="5" t="str">
        <f t="shared" si="3"/>
        <v/>
      </c>
      <c r="I131" s="5" t="str">
        <f t="shared" si="4"/>
        <v/>
      </c>
      <c r="J131" s="5" t="str">
        <f t="shared" si="5"/>
        <v/>
      </c>
      <c r="K131" s="5" t="str">
        <f>IFERROR(__xludf.DUMMYFUNCTION("IF(C131&lt;&gt;"""",HYPERLINK(""https://wa.me/507""&amp;REGEXREPLACE(C131,""[^0-9]"","""")&amp;""?text=""&amp;ENCODEURL(""Ya llegue. Codigo: ""&amp;A131&amp;"". Ubicacion: ""&amp;""https://www.google.com/maps/search/?api=1&amp;query=""&amp;SUBSTITUTE(F131,"" "","""")),""📲 Avisar al cliente"""&amp;"),"""")"),"")</f>
        <v/>
      </c>
      <c r="L131" s="5" t="str">
        <f>IFERROR(__xludf.DUMMYFUNCTION("IF(C131&lt;&gt;"""",""https://api.qrserver.com/v1/create-qr-code/?size=200x200&amp;data=""&amp;ENCODEURL(""https://wa.me/507""&amp;REGEXREPLACE(C131,""[^0-9]"","""")&amp;""?text=""&amp;ENCODEURL(""Ya llegue. Codigo: ""&amp;A131&amp;"". Ubicacion: ""&amp;""https://www.google.com/maps/search/?a"&amp;"pi=1&amp;query=""&amp;SUBSTITUTE(F131,"" "",""""))),"""")"),"")</f>
        <v/>
      </c>
      <c r="M131" s="5" t="str">
        <f t="shared" si="6"/>
        <v/>
      </c>
      <c r="N131" s="5" t="str">
        <f>IFERROR(__xludf.DUMMYFUNCTION("IF(AND(F131&lt;&gt;"""",REGEXMATCH(SUBSTITUTE(F131,"" "",""""),""^-?\d+(\.\d+)?,-?\d+(\.\d+)?$""),VALUE(REGEXEXTRACT(SUBSTITUTE(F131,"" "",""""),""^-?\d+(\.\d+)?""))&gt;=-90,VALUE(REGEXEXTRACT(SUBSTITUTE(F131,"" "",""""),""^-?\d+(\.\d+)?""))&lt;=90,VALUE(REGEXEXTRACT"&amp;"(SUBSTITUTE(F131,"" "",""""),""-?\d+(\.\d+)?$""))&gt;=-180,VALUE(REGEXEXTRACT(SUBSTITUTE(F131,"" "",""""),""-?\d+(\.\d+)?$""))&lt;=180),""OK"",""REVISAR"")"),"#N/A")</f>
        <v>#N/A</v>
      </c>
    </row>
    <row r="132" ht="15.75" customHeight="1">
      <c r="A132" s="5" t="str">
        <f t="shared" si="1"/>
        <v>AD507-0130</v>
      </c>
      <c r="C132" s="5"/>
      <c r="F132" s="5"/>
      <c r="G132" s="5" t="str">
        <f t="shared" si="2"/>
        <v/>
      </c>
      <c r="H132" s="5" t="str">
        <f t="shared" si="3"/>
        <v/>
      </c>
      <c r="I132" s="5" t="str">
        <f t="shared" si="4"/>
        <v/>
      </c>
      <c r="J132" s="5" t="str">
        <f t="shared" si="5"/>
        <v/>
      </c>
      <c r="K132" s="5" t="str">
        <f>IFERROR(__xludf.DUMMYFUNCTION("IF(C132&lt;&gt;"""",HYPERLINK(""https://wa.me/507""&amp;REGEXREPLACE(C132,""[^0-9]"","""")&amp;""?text=""&amp;ENCODEURL(""Ya llegue. Codigo: ""&amp;A132&amp;"". Ubicacion: ""&amp;""https://www.google.com/maps/search/?api=1&amp;query=""&amp;SUBSTITUTE(F132,"" "","""")),""📲 Avisar al cliente"""&amp;"),"""")"),"")</f>
        <v/>
      </c>
      <c r="L132" s="5" t="str">
        <f>IFERROR(__xludf.DUMMYFUNCTION("IF(C132&lt;&gt;"""",""https://api.qrserver.com/v1/create-qr-code/?size=200x200&amp;data=""&amp;ENCODEURL(""https://wa.me/507""&amp;REGEXREPLACE(C132,""[^0-9]"","""")&amp;""?text=""&amp;ENCODEURL(""Ya llegue. Codigo: ""&amp;A132&amp;"". Ubicacion: ""&amp;""https://www.google.com/maps/search/?a"&amp;"pi=1&amp;query=""&amp;SUBSTITUTE(F132,"" "",""""))),"""")"),"")</f>
        <v/>
      </c>
      <c r="M132" s="5" t="str">
        <f t="shared" si="6"/>
        <v/>
      </c>
      <c r="N132" s="5" t="str">
        <f>IFERROR(__xludf.DUMMYFUNCTION("IF(AND(F132&lt;&gt;"""",REGEXMATCH(SUBSTITUTE(F132,"" "",""""),""^-?\d+(\.\d+)?,-?\d+(\.\d+)?$""),VALUE(REGEXEXTRACT(SUBSTITUTE(F132,"" "",""""),""^-?\d+(\.\d+)?""))&gt;=-90,VALUE(REGEXEXTRACT(SUBSTITUTE(F132,"" "",""""),""^-?\d+(\.\d+)?""))&lt;=90,VALUE(REGEXEXTRACT"&amp;"(SUBSTITUTE(F132,"" "",""""),""-?\d+(\.\d+)?$""))&gt;=-180,VALUE(REGEXEXTRACT(SUBSTITUTE(F132,"" "",""""),""-?\d+(\.\d+)?$""))&lt;=180),""OK"",""REVISAR"")"),"#N/A")</f>
        <v>#N/A</v>
      </c>
    </row>
    <row r="133" ht="15.75" customHeight="1">
      <c r="A133" s="5" t="str">
        <f t="shared" si="1"/>
        <v>AD507-0131</v>
      </c>
      <c r="C133" s="5"/>
      <c r="F133" s="5"/>
      <c r="G133" s="5" t="str">
        <f t="shared" si="2"/>
        <v/>
      </c>
      <c r="H133" s="5" t="str">
        <f t="shared" si="3"/>
        <v/>
      </c>
      <c r="I133" s="5" t="str">
        <f t="shared" si="4"/>
        <v/>
      </c>
      <c r="J133" s="5" t="str">
        <f t="shared" si="5"/>
        <v/>
      </c>
      <c r="K133" s="5" t="str">
        <f>IFERROR(__xludf.DUMMYFUNCTION("IF(C133&lt;&gt;"""",HYPERLINK(""https://wa.me/507""&amp;REGEXREPLACE(C133,""[^0-9]"","""")&amp;""?text=""&amp;ENCODEURL(""Ya llegue. Codigo: ""&amp;A133&amp;"". Ubicacion: ""&amp;""https://www.google.com/maps/search/?api=1&amp;query=""&amp;SUBSTITUTE(F133,"" "","""")),""📲 Avisar al cliente"""&amp;"),"""")"),"")</f>
        <v/>
      </c>
      <c r="L133" s="5" t="str">
        <f>IFERROR(__xludf.DUMMYFUNCTION("IF(C133&lt;&gt;"""",""https://api.qrserver.com/v1/create-qr-code/?size=200x200&amp;data=""&amp;ENCODEURL(""https://wa.me/507""&amp;REGEXREPLACE(C133,""[^0-9]"","""")&amp;""?text=""&amp;ENCODEURL(""Ya llegue. Codigo: ""&amp;A133&amp;"". Ubicacion: ""&amp;""https://www.google.com/maps/search/?a"&amp;"pi=1&amp;query=""&amp;SUBSTITUTE(F133,"" "",""""))),"""")"),"")</f>
        <v/>
      </c>
      <c r="M133" s="5" t="str">
        <f t="shared" si="6"/>
        <v/>
      </c>
      <c r="N133" s="5" t="str">
        <f>IFERROR(__xludf.DUMMYFUNCTION("IF(AND(F133&lt;&gt;"""",REGEXMATCH(SUBSTITUTE(F133,"" "",""""),""^-?\d+(\.\d+)?,-?\d+(\.\d+)?$""),VALUE(REGEXEXTRACT(SUBSTITUTE(F133,"" "",""""),""^-?\d+(\.\d+)?""))&gt;=-90,VALUE(REGEXEXTRACT(SUBSTITUTE(F133,"" "",""""),""^-?\d+(\.\d+)?""))&lt;=90,VALUE(REGEXEXTRACT"&amp;"(SUBSTITUTE(F133,"" "",""""),""-?\d+(\.\d+)?$""))&gt;=-180,VALUE(REGEXEXTRACT(SUBSTITUTE(F133,"" "",""""),""-?\d+(\.\d+)?$""))&lt;=180),""OK"",""REVISAR"")"),"#N/A")</f>
        <v>#N/A</v>
      </c>
    </row>
    <row r="134" ht="15.75" customHeight="1">
      <c r="A134" s="5" t="str">
        <f t="shared" si="1"/>
        <v>AD507-0132</v>
      </c>
      <c r="C134" s="5"/>
      <c r="F134" s="5"/>
      <c r="G134" s="5" t="str">
        <f t="shared" si="2"/>
        <v/>
      </c>
      <c r="H134" s="5" t="str">
        <f t="shared" si="3"/>
        <v/>
      </c>
      <c r="I134" s="5" t="str">
        <f t="shared" si="4"/>
        <v/>
      </c>
      <c r="J134" s="5" t="str">
        <f t="shared" si="5"/>
        <v/>
      </c>
      <c r="K134" s="5" t="str">
        <f>IFERROR(__xludf.DUMMYFUNCTION("IF(C134&lt;&gt;"""",HYPERLINK(""https://wa.me/507""&amp;REGEXREPLACE(C134,""[^0-9]"","""")&amp;""?text=""&amp;ENCODEURL(""Ya llegue. Codigo: ""&amp;A134&amp;"". Ubicacion: ""&amp;""https://www.google.com/maps/search/?api=1&amp;query=""&amp;SUBSTITUTE(F134,"" "","""")),""📲 Avisar al cliente"""&amp;"),"""")"),"")</f>
        <v/>
      </c>
      <c r="L134" s="5" t="str">
        <f>IFERROR(__xludf.DUMMYFUNCTION("IF(C134&lt;&gt;"""",""https://api.qrserver.com/v1/create-qr-code/?size=200x200&amp;data=""&amp;ENCODEURL(""https://wa.me/507""&amp;REGEXREPLACE(C134,""[^0-9]"","""")&amp;""?text=""&amp;ENCODEURL(""Ya llegue. Codigo: ""&amp;A134&amp;"". Ubicacion: ""&amp;""https://www.google.com/maps/search/?a"&amp;"pi=1&amp;query=""&amp;SUBSTITUTE(F134,"" "",""""))),"""")"),"")</f>
        <v/>
      </c>
      <c r="M134" s="5" t="str">
        <f t="shared" si="6"/>
        <v/>
      </c>
      <c r="N134" s="5" t="str">
        <f>IFERROR(__xludf.DUMMYFUNCTION("IF(AND(F134&lt;&gt;"""",REGEXMATCH(SUBSTITUTE(F134,"" "",""""),""^-?\d+(\.\d+)?,-?\d+(\.\d+)?$""),VALUE(REGEXEXTRACT(SUBSTITUTE(F134,"" "",""""),""^-?\d+(\.\d+)?""))&gt;=-90,VALUE(REGEXEXTRACT(SUBSTITUTE(F134,"" "",""""),""^-?\d+(\.\d+)?""))&lt;=90,VALUE(REGEXEXTRACT"&amp;"(SUBSTITUTE(F134,"" "",""""),""-?\d+(\.\d+)?$""))&gt;=-180,VALUE(REGEXEXTRACT(SUBSTITUTE(F134,"" "",""""),""-?\d+(\.\d+)?$""))&lt;=180),""OK"",""REVISAR"")"),"#N/A")</f>
        <v>#N/A</v>
      </c>
    </row>
    <row r="135" ht="15.75" customHeight="1">
      <c r="A135" s="5" t="str">
        <f t="shared" si="1"/>
        <v>AD507-0133</v>
      </c>
      <c r="C135" s="5"/>
      <c r="F135" s="5"/>
      <c r="G135" s="5" t="str">
        <f t="shared" si="2"/>
        <v/>
      </c>
      <c r="H135" s="5" t="str">
        <f t="shared" si="3"/>
        <v/>
      </c>
      <c r="I135" s="5" t="str">
        <f t="shared" si="4"/>
        <v/>
      </c>
      <c r="J135" s="5" t="str">
        <f t="shared" si="5"/>
        <v/>
      </c>
      <c r="K135" s="5" t="str">
        <f>IFERROR(__xludf.DUMMYFUNCTION("IF(C135&lt;&gt;"""",HYPERLINK(""https://wa.me/507""&amp;REGEXREPLACE(C135,""[^0-9]"","""")&amp;""?text=""&amp;ENCODEURL(""Ya llegue. Codigo: ""&amp;A135&amp;"". Ubicacion: ""&amp;""https://www.google.com/maps/search/?api=1&amp;query=""&amp;SUBSTITUTE(F135,"" "","""")),""📲 Avisar al cliente"""&amp;"),"""")"),"")</f>
        <v/>
      </c>
      <c r="L135" s="5" t="str">
        <f>IFERROR(__xludf.DUMMYFUNCTION("IF(C135&lt;&gt;"""",""https://api.qrserver.com/v1/create-qr-code/?size=200x200&amp;data=""&amp;ENCODEURL(""https://wa.me/507""&amp;REGEXREPLACE(C135,""[^0-9]"","""")&amp;""?text=""&amp;ENCODEURL(""Ya llegue. Codigo: ""&amp;A135&amp;"". Ubicacion: ""&amp;""https://www.google.com/maps/search/?a"&amp;"pi=1&amp;query=""&amp;SUBSTITUTE(F135,"" "",""""))),"""")"),"")</f>
        <v/>
      </c>
      <c r="M135" s="5" t="str">
        <f t="shared" si="6"/>
        <v/>
      </c>
      <c r="N135" s="5" t="str">
        <f>IFERROR(__xludf.DUMMYFUNCTION("IF(AND(F135&lt;&gt;"""",REGEXMATCH(SUBSTITUTE(F135,"" "",""""),""^-?\d+(\.\d+)?,-?\d+(\.\d+)?$""),VALUE(REGEXEXTRACT(SUBSTITUTE(F135,"" "",""""),""^-?\d+(\.\d+)?""))&gt;=-90,VALUE(REGEXEXTRACT(SUBSTITUTE(F135,"" "",""""),""^-?\d+(\.\d+)?""))&lt;=90,VALUE(REGEXEXTRACT"&amp;"(SUBSTITUTE(F135,"" "",""""),""-?\d+(\.\d+)?$""))&gt;=-180,VALUE(REGEXEXTRACT(SUBSTITUTE(F135,"" "",""""),""-?\d+(\.\d+)?$""))&lt;=180),""OK"",""REVISAR"")"),"#N/A")</f>
        <v>#N/A</v>
      </c>
    </row>
    <row r="136" ht="15.75" customHeight="1">
      <c r="A136" s="5" t="str">
        <f t="shared" si="1"/>
        <v>AD507-0134</v>
      </c>
      <c r="C136" s="5"/>
      <c r="F136" s="5"/>
      <c r="G136" s="5" t="str">
        <f t="shared" si="2"/>
        <v/>
      </c>
      <c r="H136" s="5" t="str">
        <f t="shared" si="3"/>
        <v/>
      </c>
      <c r="I136" s="5" t="str">
        <f t="shared" si="4"/>
        <v/>
      </c>
      <c r="J136" s="5" t="str">
        <f t="shared" si="5"/>
        <v/>
      </c>
      <c r="K136" s="5" t="str">
        <f>IFERROR(__xludf.DUMMYFUNCTION("IF(C136&lt;&gt;"""",HYPERLINK(""https://wa.me/507""&amp;REGEXREPLACE(C136,""[^0-9]"","""")&amp;""?text=""&amp;ENCODEURL(""Ya llegue. Codigo: ""&amp;A136&amp;"". Ubicacion: ""&amp;""https://www.google.com/maps/search/?api=1&amp;query=""&amp;SUBSTITUTE(F136,"" "","""")),""📲 Avisar al cliente"""&amp;"),"""")"),"")</f>
        <v/>
      </c>
      <c r="L136" s="5" t="str">
        <f>IFERROR(__xludf.DUMMYFUNCTION("IF(C136&lt;&gt;"""",""https://api.qrserver.com/v1/create-qr-code/?size=200x200&amp;data=""&amp;ENCODEURL(""https://wa.me/507""&amp;REGEXREPLACE(C136,""[^0-9]"","""")&amp;""?text=""&amp;ENCODEURL(""Ya llegue. Codigo: ""&amp;A136&amp;"". Ubicacion: ""&amp;""https://www.google.com/maps/search/?a"&amp;"pi=1&amp;query=""&amp;SUBSTITUTE(F136,"" "",""""))),"""")"),"")</f>
        <v/>
      </c>
      <c r="M136" s="5" t="str">
        <f t="shared" si="6"/>
        <v/>
      </c>
      <c r="N136" s="5" t="str">
        <f>IFERROR(__xludf.DUMMYFUNCTION("IF(AND(F136&lt;&gt;"""",REGEXMATCH(SUBSTITUTE(F136,"" "",""""),""^-?\d+(\.\d+)?,-?\d+(\.\d+)?$""),VALUE(REGEXEXTRACT(SUBSTITUTE(F136,"" "",""""),""^-?\d+(\.\d+)?""))&gt;=-90,VALUE(REGEXEXTRACT(SUBSTITUTE(F136,"" "",""""),""^-?\d+(\.\d+)?""))&lt;=90,VALUE(REGEXEXTRACT"&amp;"(SUBSTITUTE(F136,"" "",""""),""-?\d+(\.\d+)?$""))&gt;=-180,VALUE(REGEXEXTRACT(SUBSTITUTE(F136,"" "",""""),""-?\d+(\.\d+)?$""))&lt;=180),""OK"",""REVISAR"")"),"#N/A")</f>
        <v>#N/A</v>
      </c>
    </row>
    <row r="137" ht="15.75" customHeight="1">
      <c r="A137" s="5" t="str">
        <f t="shared" si="1"/>
        <v>AD507-0135</v>
      </c>
      <c r="C137" s="5"/>
      <c r="F137" s="5"/>
      <c r="G137" s="5" t="str">
        <f t="shared" si="2"/>
        <v/>
      </c>
      <c r="H137" s="5" t="str">
        <f t="shared" si="3"/>
        <v/>
      </c>
      <c r="I137" s="5" t="str">
        <f t="shared" si="4"/>
        <v/>
      </c>
      <c r="J137" s="5" t="str">
        <f t="shared" si="5"/>
        <v/>
      </c>
      <c r="K137" s="5" t="str">
        <f>IFERROR(__xludf.DUMMYFUNCTION("IF(C137&lt;&gt;"""",HYPERLINK(""https://wa.me/507""&amp;REGEXREPLACE(C137,""[^0-9]"","""")&amp;""?text=""&amp;ENCODEURL(""Ya llegue. Codigo: ""&amp;A137&amp;"". Ubicacion: ""&amp;""https://www.google.com/maps/search/?api=1&amp;query=""&amp;SUBSTITUTE(F137,"" "","""")),""📲 Avisar al cliente"""&amp;"),"""")"),"")</f>
        <v/>
      </c>
      <c r="L137" s="5" t="str">
        <f>IFERROR(__xludf.DUMMYFUNCTION("IF(C137&lt;&gt;"""",""https://api.qrserver.com/v1/create-qr-code/?size=200x200&amp;data=""&amp;ENCODEURL(""https://wa.me/507""&amp;REGEXREPLACE(C137,""[^0-9]"","""")&amp;""?text=""&amp;ENCODEURL(""Ya llegue. Codigo: ""&amp;A137&amp;"". Ubicacion: ""&amp;""https://www.google.com/maps/search/?a"&amp;"pi=1&amp;query=""&amp;SUBSTITUTE(F137,"" "",""""))),"""")"),"")</f>
        <v/>
      </c>
      <c r="M137" s="5" t="str">
        <f t="shared" si="6"/>
        <v/>
      </c>
      <c r="N137" s="5" t="str">
        <f>IFERROR(__xludf.DUMMYFUNCTION("IF(AND(F137&lt;&gt;"""",REGEXMATCH(SUBSTITUTE(F137,"" "",""""),""^-?\d+(\.\d+)?,-?\d+(\.\d+)?$""),VALUE(REGEXEXTRACT(SUBSTITUTE(F137,"" "",""""),""^-?\d+(\.\d+)?""))&gt;=-90,VALUE(REGEXEXTRACT(SUBSTITUTE(F137,"" "",""""),""^-?\d+(\.\d+)?""))&lt;=90,VALUE(REGEXEXTRACT"&amp;"(SUBSTITUTE(F137,"" "",""""),""-?\d+(\.\d+)?$""))&gt;=-180,VALUE(REGEXEXTRACT(SUBSTITUTE(F137,"" "",""""),""-?\d+(\.\d+)?$""))&lt;=180),""OK"",""REVISAR"")"),"#N/A")</f>
        <v>#N/A</v>
      </c>
    </row>
    <row r="138" ht="15.75" customHeight="1">
      <c r="A138" s="5" t="str">
        <f t="shared" si="1"/>
        <v>AD507-0136</v>
      </c>
      <c r="C138" s="5"/>
      <c r="F138" s="5"/>
      <c r="G138" s="5" t="str">
        <f t="shared" si="2"/>
        <v/>
      </c>
      <c r="H138" s="5" t="str">
        <f t="shared" si="3"/>
        <v/>
      </c>
      <c r="I138" s="5" t="str">
        <f t="shared" si="4"/>
        <v/>
      </c>
      <c r="J138" s="5" t="str">
        <f t="shared" si="5"/>
        <v/>
      </c>
      <c r="K138" s="5" t="str">
        <f>IFERROR(__xludf.DUMMYFUNCTION("IF(C138&lt;&gt;"""",HYPERLINK(""https://wa.me/507""&amp;REGEXREPLACE(C138,""[^0-9]"","""")&amp;""?text=""&amp;ENCODEURL(""Ya llegue. Codigo: ""&amp;A138&amp;"". Ubicacion: ""&amp;""https://www.google.com/maps/search/?api=1&amp;query=""&amp;SUBSTITUTE(F138,"" "","""")),""📲 Avisar al cliente"""&amp;"),"""")"),"")</f>
        <v/>
      </c>
      <c r="L138" s="5" t="str">
        <f>IFERROR(__xludf.DUMMYFUNCTION("IF(C138&lt;&gt;"""",""https://api.qrserver.com/v1/create-qr-code/?size=200x200&amp;data=""&amp;ENCODEURL(""https://wa.me/507""&amp;REGEXREPLACE(C138,""[^0-9]"","""")&amp;""?text=""&amp;ENCODEURL(""Ya llegue. Codigo: ""&amp;A138&amp;"". Ubicacion: ""&amp;""https://www.google.com/maps/search/?a"&amp;"pi=1&amp;query=""&amp;SUBSTITUTE(F138,"" "",""""))),"""")"),"")</f>
        <v/>
      </c>
      <c r="M138" s="5" t="str">
        <f t="shared" si="6"/>
        <v/>
      </c>
      <c r="N138" s="5" t="str">
        <f>IFERROR(__xludf.DUMMYFUNCTION("IF(AND(F138&lt;&gt;"""",REGEXMATCH(SUBSTITUTE(F138,"" "",""""),""^-?\d+(\.\d+)?,-?\d+(\.\d+)?$""),VALUE(REGEXEXTRACT(SUBSTITUTE(F138,"" "",""""),""^-?\d+(\.\d+)?""))&gt;=-90,VALUE(REGEXEXTRACT(SUBSTITUTE(F138,"" "",""""),""^-?\d+(\.\d+)?""))&lt;=90,VALUE(REGEXEXTRACT"&amp;"(SUBSTITUTE(F138,"" "",""""),""-?\d+(\.\d+)?$""))&gt;=-180,VALUE(REGEXEXTRACT(SUBSTITUTE(F138,"" "",""""),""-?\d+(\.\d+)?$""))&lt;=180),""OK"",""REVISAR"")"),"#N/A")</f>
        <v>#N/A</v>
      </c>
    </row>
    <row r="139" ht="15.75" customHeight="1">
      <c r="A139" s="5" t="str">
        <f t="shared" si="1"/>
        <v>AD507-0137</v>
      </c>
      <c r="C139" s="5"/>
      <c r="F139" s="5"/>
      <c r="G139" s="5" t="str">
        <f t="shared" si="2"/>
        <v/>
      </c>
      <c r="H139" s="5" t="str">
        <f t="shared" si="3"/>
        <v/>
      </c>
      <c r="I139" s="5" t="str">
        <f t="shared" si="4"/>
        <v/>
      </c>
      <c r="J139" s="5" t="str">
        <f t="shared" si="5"/>
        <v/>
      </c>
      <c r="K139" s="5" t="str">
        <f>IFERROR(__xludf.DUMMYFUNCTION("IF(C139&lt;&gt;"""",HYPERLINK(""https://wa.me/507""&amp;REGEXREPLACE(C139,""[^0-9]"","""")&amp;""?text=""&amp;ENCODEURL(""Ya llegue. Codigo: ""&amp;A139&amp;"". Ubicacion: ""&amp;""https://www.google.com/maps/search/?api=1&amp;query=""&amp;SUBSTITUTE(F139,"" "","""")),""📲 Avisar al cliente"""&amp;"),"""")"),"")</f>
        <v/>
      </c>
      <c r="L139" s="5" t="str">
        <f>IFERROR(__xludf.DUMMYFUNCTION("IF(C139&lt;&gt;"""",""https://api.qrserver.com/v1/create-qr-code/?size=200x200&amp;data=""&amp;ENCODEURL(""https://wa.me/507""&amp;REGEXREPLACE(C139,""[^0-9]"","""")&amp;""?text=""&amp;ENCODEURL(""Ya llegue. Codigo: ""&amp;A139&amp;"". Ubicacion: ""&amp;""https://www.google.com/maps/search/?a"&amp;"pi=1&amp;query=""&amp;SUBSTITUTE(F139,"" "",""""))),"""")"),"")</f>
        <v/>
      </c>
      <c r="M139" s="5" t="str">
        <f t="shared" si="6"/>
        <v/>
      </c>
      <c r="N139" s="5" t="str">
        <f>IFERROR(__xludf.DUMMYFUNCTION("IF(AND(F139&lt;&gt;"""",REGEXMATCH(SUBSTITUTE(F139,"" "",""""),""^-?\d+(\.\d+)?,-?\d+(\.\d+)?$""),VALUE(REGEXEXTRACT(SUBSTITUTE(F139,"" "",""""),""^-?\d+(\.\d+)?""))&gt;=-90,VALUE(REGEXEXTRACT(SUBSTITUTE(F139,"" "",""""),""^-?\d+(\.\d+)?""))&lt;=90,VALUE(REGEXEXTRACT"&amp;"(SUBSTITUTE(F139,"" "",""""),""-?\d+(\.\d+)?$""))&gt;=-180,VALUE(REGEXEXTRACT(SUBSTITUTE(F139,"" "",""""),""-?\d+(\.\d+)?$""))&lt;=180),""OK"",""REVISAR"")"),"#N/A")</f>
        <v>#N/A</v>
      </c>
    </row>
    <row r="140" ht="15.75" customHeight="1">
      <c r="A140" s="5" t="str">
        <f t="shared" si="1"/>
        <v>AD507-0138</v>
      </c>
      <c r="C140" s="5"/>
      <c r="F140" s="5"/>
      <c r="G140" s="5" t="str">
        <f t="shared" si="2"/>
        <v/>
      </c>
      <c r="H140" s="5" t="str">
        <f t="shared" si="3"/>
        <v/>
      </c>
      <c r="I140" s="5" t="str">
        <f t="shared" si="4"/>
        <v/>
      </c>
      <c r="J140" s="5" t="str">
        <f t="shared" si="5"/>
        <v/>
      </c>
      <c r="K140" s="5" t="str">
        <f>IFERROR(__xludf.DUMMYFUNCTION("IF(C140&lt;&gt;"""",HYPERLINK(""https://wa.me/507""&amp;REGEXREPLACE(C140,""[^0-9]"","""")&amp;""?text=""&amp;ENCODEURL(""Ya llegue. Codigo: ""&amp;A140&amp;"". Ubicacion: ""&amp;""https://www.google.com/maps/search/?api=1&amp;query=""&amp;SUBSTITUTE(F140,"" "","""")),""📲 Avisar al cliente"""&amp;"),"""")"),"")</f>
        <v/>
      </c>
      <c r="L140" s="5" t="str">
        <f>IFERROR(__xludf.DUMMYFUNCTION("IF(C140&lt;&gt;"""",""https://api.qrserver.com/v1/create-qr-code/?size=200x200&amp;data=""&amp;ENCODEURL(""https://wa.me/507""&amp;REGEXREPLACE(C140,""[^0-9]"","""")&amp;""?text=""&amp;ENCODEURL(""Ya llegue. Codigo: ""&amp;A140&amp;"". Ubicacion: ""&amp;""https://www.google.com/maps/search/?a"&amp;"pi=1&amp;query=""&amp;SUBSTITUTE(F140,"" "",""""))),"""")"),"")</f>
        <v/>
      </c>
      <c r="M140" s="5" t="str">
        <f t="shared" si="6"/>
        <v/>
      </c>
      <c r="N140" s="5" t="str">
        <f>IFERROR(__xludf.DUMMYFUNCTION("IF(AND(F140&lt;&gt;"""",REGEXMATCH(SUBSTITUTE(F140,"" "",""""),""^-?\d+(\.\d+)?,-?\d+(\.\d+)?$""),VALUE(REGEXEXTRACT(SUBSTITUTE(F140,"" "",""""),""^-?\d+(\.\d+)?""))&gt;=-90,VALUE(REGEXEXTRACT(SUBSTITUTE(F140,"" "",""""),""^-?\d+(\.\d+)?""))&lt;=90,VALUE(REGEXEXTRACT"&amp;"(SUBSTITUTE(F140,"" "",""""),""-?\d+(\.\d+)?$""))&gt;=-180,VALUE(REGEXEXTRACT(SUBSTITUTE(F140,"" "",""""),""-?\d+(\.\d+)?$""))&lt;=180),""OK"",""REVISAR"")"),"#N/A")</f>
        <v>#N/A</v>
      </c>
    </row>
    <row r="141" ht="15.75" customHeight="1">
      <c r="A141" s="5" t="str">
        <f t="shared" si="1"/>
        <v>AD507-0139</v>
      </c>
      <c r="C141" s="5"/>
      <c r="F141" s="5"/>
      <c r="G141" s="5" t="str">
        <f t="shared" si="2"/>
        <v/>
      </c>
      <c r="H141" s="5" t="str">
        <f t="shared" si="3"/>
        <v/>
      </c>
      <c r="I141" s="5" t="str">
        <f t="shared" si="4"/>
        <v/>
      </c>
      <c r="J141" s="5" t="str">
        <f t="shared" si="5"/>
        <v/>
      </c>
      <c r="K141" s="5" t="str">
        <f>IFERROR(__xludf.DUMMYFUNCTION("IF(C141&lt;&gt;"""",HYPERLINK(""https://wa.me/507""&amp;REGEXREPLACE(C141,""[^0-9]"","""")&amp;""?text=""&amp;ENCODEURL(""Ya llegue. Codigo: ""&amp;A141&amp;"". Ubicacion: ""&amp;""https://www.google.com/maps/search/?api=1&amp;query=""&amp;SUBSTITUTE(F141,"" "","""")),""📲 Avisar al cliente"""&amp;"),"""")"),"")</f>
        <v/>
      </c>
      <c r="L141" s="5" t="str">
        <f>IFERROR(__xludf.DUMMYFUNCTION("IF(C141&lt;&gt;"""",""https://api.qrserver.com/v1/create-qr-code/?size=200x200&amp;data=""&amp;ENCODEURL(""https://wa.me/507""&amp;REGEXREPLACE(C141,""[^0-9]"","""")&amp;""?text=""&amp;ENCODEURL(""Ya llegue. Codigo: ""&amp;A141&amp;"". Ubicacion: ""&amp;""https://www.google.com/maps/search/?a"&amp;"pi=1&amp;query=""&amp;SUBSTITUTE(F141,"" "",""""))),"""")"),"")</f>
        <v/>
      </c>
      <c r="M141" s="5" t="str">
        <f t="shared" si="6"/>
        <v/>
      </c>
      <c r="N141" s="5" t="str">
        <f>IFERROR(__xludf.DUMMYFUNCTION("IF(AND(F141&lt;&gt;"""",REGEXMATCH(SUBSTITUTE(F141,"" "",""""),""^-?\d+(\.\d+)?,-?\d+(\.\d+)?$""),VALUE(REGEXEXTRACT(SUBSTITUTE(F141,"" "",""""),""^-?\d+(\.\d+)?""))&gt;=-90,VALUE(REGEXEXTRACT(SUBSTITUTE(F141,"" "",""""),""^-?\d+(\.\d+)?""))&lt;=90,VALUE(REGEXEXTRACT"&amp;"(SUBSTITUTE(F141,"" "",""""),""-?\d+(\.\d+)?$""))&gt;=-180,VALUE(REGEXEXTRACT(SUBSTITUTE(F141,"" "",""""),""-?\d+(\.\d+)?$""))&lt;=180),""OK"",""REVISAR"")"),"#N/A")</f>
        <v>#N/A</v>
      </c>
    </row>
    <row r="142" ht="15.75" customHeight="1">
      <c r="A142" s="5" t="str">
        <f t="shared" si="1"/>
        <v>AD507-0140</v>
      </c>
      <c r="C142" s="5"/>
      <c r="F142" s="5"/>
      <c r="G142" s="5" t="str">
        <f t="shared" si="2"/>
        <v/>
      </c>
      <c r="H142" s="5" t="str">
        <f t="shared" si="3"/>
        <v/>
      </c>
      <c r="I142" s="5" t="str">
        <f t="shared" si="4"/>
        <v/>
      </c>
      <c r="J142" s="5" t="str">
        <f t="shared" si="5"/>
        <v/>
      </c>
      <c r="K142" s="5" t="str">
        <f>IFERROR(__xludf.DUMMYFUNCTION("IF(C142&lt;&gt;"""",HYPERLINK(""https://wa.me/507""&amp;REGEXREPLACE(C142,""[^0-9]"","""")&amp;""?text=""&amp;ENCODEURL(""Ya llegue. Codigo: ""&amp;A142&amp;"". Ubicacion: ""&amp;""https://www.google.com/maps/search/?api=1&amp;query=""&amp;SUBSTITUTE(F142,"" "","""")),""📲 Avisar al cliente"""&amp;"),"""")"),"")</f>
        <v/>
      </c>
      <c r="L142" s="5" t="str">
        <f>IFERROR(__xludf.DUMMYFUNCTION("IF(C142&lt;&gt;"""",""https://api.qrserver.com/v1/create-qr-code/?size=200x200&amp;data=""&amp;ENCODEURL(""https://wa.me/507""&amp;REGEXREPLACE(C142,""[^0-9]"","""")&amp;""?text=""&amp;ENCODEURL(""Ya llegue. Codigo: ""&amp;A142&amp;"". Ubicacion: ""&amp;""https://www.google.com/maps/search/?a"&amp;"pi=1&amp;query=""&amp;SUBSTITUTE(F142,"" "",""""))),"""")"),"")</f>
        <v/>
      </c>
      <c r="M142" s="5" t="str">
        <f t="shared" si="6"/>
        <v/>
      </c>
      <c r="N142" s="5" t="str">
        <f>IFERROR(__xludf.DUMMYFUNCTION("IF(AND(F142&lt;&gt;"""",REGEXMATCH(SUBSTITUTE(F142,"" "",""""),""^-?\d+(\.\d+)?,-?\d+(\.\d+)?$""),VALUE(REGEXEXTRACT(SUBSTITUTE(F142,"" "",""""),""^-?\d+(\.\d+)?""))&gt;=-90,VALUE(REGEXEXTRACT(SUBSTITUTE(F142,"" "",""""),""^-?\d+(\.\d+)?""))&lt;=90,VALUE(REGEXEXTRACT"&amp;"(SUBSTITUTE(F142,"" "",""""),""-?\d+(\.\d+)?$""))&gt;=-180,VALUE(REGEXEXTRACT(SUBSTITUTE(F142,"" "",""""),""-?\d+(\.\d+)?$""))&lt;=180),""OK"",""REVISAR"")"),"#N/A")</f>
        <v>#N/A</v>
      </c>
    </row>
    <row r="143" ht="15.75" customHeight="1">
      <c r="A143" s="5" t="str">
        <f t="shared" si="1"/>
        <v>AD507-0141</v>
      </c>
      <c r="C143" s="5"/>
      <c r="F143" s="5"/>
      <c r="G143" s="5" t="str">
        <f t="shared" si="2"/>
        <v/>
      </c>
      <c r="H143" s="5" t="str">
        <f t="shared" si="3"/>
        <v/>
      </c>
      <c r="I143" s="5" t="str">
        <f t="shared" si="4"/>
        <v/>
      </c>
      <c r="J143" s="5" t="str">
        <f t="shared" si="5"/>
        <v/>
      </c>
      <c r="K143" s="5" t="str">
        <f>IFERROR(__xludf.DUMMYFUNCTION("IF(C143&lt;&gt;"""",HYPERLINK(""https://wa.me/507""&amp;REGEXREPLACE(C143,""[^0-9]"","""")&amp;""?text=""&amp;ENCODEURL(""Ya llegue. Codigo: ""&amp;A143&amp;"". Ubicacion: ""&amp;""https://www.google.com/maps/search/?api=1&amp;query=""&amp;SUBSTITUTE(F143,"" "","""")),""📲 Avisar al cliente"""&amp;"),"""")"),"")</f>
        <v/>
      </c>
      <c r="L143" s="5" t="str">
        <f>IFERROR(__xludf.DUMMYFUNCTION("IF(C143&lt;&gt;"""",""https://api.qrserver.com/v1/create-qr-code/?size=200x200&amp;data=""&amp;ENCODEURL(""https://wa.me/507""&amp;REGEXREPLACE(C143,""[^0-9]"","""")&amp;""?text=""&amp;ENCODEURL(""Ya llegue. Codigo: ""&amp;A143&amp;"". Ubicacion: ""&amp;""https://www.google.com/maps/search/?a"&amp;"pi=1&amp;query=""&amp;SUBSTITUTE(F143,"" "",""""))),"""")"),"")</f>
        <v/>
      </c>
      <c r="M143" s="5" t="str">
        <f t="shared" si="6"/>
        <v/>
      </c>
      <c r="N143" s="5" t="str">
        <f>IFERROR(__xludf.DUMMYFUNCTION("IF(AND(F143&lt;&gt;"""",REGEXMATCH(SUBSTITUTE(F143,"" "",""""),""^-?\d+(\.\d+)?,-?\d+(\.\d+)?$""),VALUE(REGEXEXTRACT(SUBSTITUTE(F143,"" "",""""),""^-?\d+(\.\d+)?""))&gt;=-90,VALUE(REGEXEXTRACT(SUBSTITUTE(F143,"" "",""""),""^-?\d+(\.\d+)?""))&lt;=90,VALUE(REGEXEXTRACT"&amp;"(SUBSTITUTE(F143,"" "",""""),""-?\d+(\.\d+)?$""))&gt;=-180,VALUE(REGEXEXTRACT(SUBSTITUTE(F143,"" "",""""),""-?\d+(\.\d+)?$""))&lt;=180),""OK"",""REVISAR"")"),"#N/A")</f>
        <v>#N/A</v>
      </c>
    </row>
    <row r="144" ht="15.75" customHeight="1">
      <c r="A144" s="5" t="str">
        <f t="shared" si="1"/>
        <v>AD507-0142</v>
      </c>
      <c r="C144" s="5"/>
      <c r="F144" s="5"/>
      <c r="G144" s="5" t="str">
        <f t="shared" si="2"/>
        <v/>
      </c>
      <c r="H144" s="5" t="str">
        <f t="shared" si="3"/>
        <v/>
      </c>
      <c r="I144" s="5" t="str">
        <f t="shared" si="4"/>
        <v/>
      </c>
      <c r="J144" s="5" t="str">
        <f t="shared" si="5"/>
        <v/>
      </c>
      <c r="K144" s="5" t="str">
        <f>IFERROR(__xludf.DUMMYFUNCTION("IF(C144&lt;&gt;"""",HYPERLINK(""https://wa.me/507""&amp;REGEXREPLACE(C144,""[^0-9]"","""")&amp;""?text=""&amp;ENCODEURL(""Ya llegue. Codigo: ""&amp;A144&amp;"". Ubicacion: ""&amp;""https://www.google.com/maps/search/?api=1&amp;query=""&amp;SUBSTITUTE(F144,"" "","""")),""📲 Avisar al cliente"""&amp;"),"""")"),"")</f>
        <v/>
      </c>
      <c r="L144" s="5" t="str">
        <f>IFERROR(__xludf.DUMMYFUNCTION("IF(C144&lt;&gt;"""",""https://api.qrserver.com/v1/create-qr-code/?size=200x200&amp;data=""&amp;ENCODEURL(""https://wa.me/507""&amp;REGEXREPLACE(C144,""[^0-9]"","""")&amp;""?text=""&amp;ENCODEURL(""Ya llegue. Codigo: ""&amp;A144&amp;"". Ubicacion: ""&amp;""https://www.google.com/maps/search/?a"&amp;"pi=1&amp;query=""&amp;SUBSTITUTE(F144,"" "",""""))),"""")"),"")</f>
        <v/>
      </c>
      <c r="M144" s="5" t="str">
        <f t="shared" si="6"/>
        <v/>
      </c>
      <c r="N144" s="5" t="str">
        <f>IFERROR(__xludf.DUMMYFUNCTION("IF(AND(F144&lt;&gt;"""",REGEXMATCH(SUBSTITUTE(F144,"" "",""""),""^-?\d+(\.\d+)?,-?\d+(\.\d+)?$""),VALUE(REGEXEXTRACT(SUBSTITUTE(F144,"" "",""""),""^-?\d+(\.\d+)?""))&gt;=-90,VALUE(REGEXEXTRACT(SUBSTITUTE(F144,"" "",""""),""^-?\d+(\.\d+)?""))&lt;=90,VALUE(REGEXEXTRACT"&amp;"(SUBSTITUTE(F144,"" "",""""),""-?\d+(\.\d+)?$""))&gt;=-180,VALUE(REGEXEXTRACT(SUBSTITUTE(F144,"" "",""""),""-?\d+(\.\d+)?$""))&lt;=180),""OK"",""REVISAR"")"),"#N/A")</f>
        <v>#N/A</v>
      </c>
    </row>
    <row r="145" ht="15.75" customHeight="1">
      <c r="A145" s="5" t="str">
        <f t="shared" si="1"/>
        <v>AD507-0143</v>
      </c>
      <c r="C145" s="5"/>
      <c r="F145" s="5"/>
      <c r="G145" s="5" t="str">
        <f t="shared" si="2"/>
        <v/>
      </c>
      <c r="H145" s="5" t="str">
        <f t="shared" si="3"/>
        <v/>
      </c>
      <c r="I145" s="5" t="str">
        <f t="shared" si="4"/>
        <v/>
      </c>
      <c r="J145" s="5" t="str">
        <f t="shared" si="5"/>
        <v/>
      </c>
      <c r="K145" s="5" t="str">
        <f>IFERROR(__xludf.DUMMYFUNCTION("IF(C145&lt;&gt;"""",HYPERLINK(""https://wa.me/507""&amp;REGEXREPLACE(C145,""[^0-9]"","""")&amp;""?text=""&amp;ENCODEURL(""Ya llegue. Codigo: ""&amp;A145&amp;"". Ubicacion: ""&amp;""https://www.google.com/maps/search/?api=1&amp;query=""&amp;SUBSTITUTE(F145,"" "","""")),""📲 Avisar al cliente"""&amp;"),"""")"),"")</f>
        <v/>
      </c>
      <c r="L145" s="5" t="str">
        <f>IFERROR(__xludf.DUMMYFUNCTION("IF(C145&lt;&gt;"""",""https://api.qrserver.com/v1/create-qr-code/?size=200x200&amp;data=""&amp;ENCODEURL(""https://wa.me/507""&amp;REGEXREPLACE(C145,""[^0-9]"","""")&amp;""?text=""&amp;ENCODEURL(""Ya llegue. Codigo: ""&amp;A145&amp;"". Ubicacion: ""&amp;""https://www.google.com/maps/search/?a"&amp;"pi=1&amp;query=""&amp;SUBSTITUTE(F145,"" "",""""))),"""")"),"")</f>
        <v/>
      </c>
      <c r="M145" s="5" t="str">
        <f t="shared" si="6"/>
        <v/>
      </c>
      <c r="N145" s="5" t="str">
        <f>IFERROR(__xludf.DUMMYFUNCTION("IF(AND(F145&lt;&gt;"""",REGEXMATCH(SUBSTITUTE(F145,"" "",""""),""^-?\d+(\.\d+)?,-?\d+(\.\d+)?$""),VALUE(REGEXEXTRACT(SUBSTITUTE(F145,"" "",""""),""^-?\d+(\.\d+)?""))&gt;=-90,VALUE(REGEXEXTRACT(SUBSTITUTE(F145,"" "",""""),""^-?\d+(\.\d+)?""))&lt;=90,VALUE(REGEXEXTRACT"&amp;"(SUBSTITUTE(F145,"" "",""""),""-?\d+(\.\d+)?$""))&gt;=-180,VALUE(REGEXEXTRACT(SUBSTITUTE(F145,"" "",""""),""-?\d+(\.\d+)?$""))&lt;=180),""OK"",""REVISAR"")"),"#N/A")</f>
        <v>#N/A</v>
      </c>
    </row>
    <row r="146" ht="15.75" customHeight="1">
      <c r="A146" s="5" t="str">
        <f t="shared" si="1"/>
        <v>AD507-0144</v>
      </c>
      <c r="C146" s="5"/>
      <c r="F146" s="5"/>
      <c r="G146" s="5" t="str">
        <f t="shared" si="2"/>
        <v/>
      </c>
      <c r="H146" s="5" t="str">
        <f t="shared" si="3"/>
        <v/>
      </c>
      <c r="I146" s="5" t="str">
        <f t="shared" si="4"/>
        <v/>
      </c>
      <c r="J146" s="5" t="str">
        <f t="shared" si="5"/>
        <v/>
      </c>
      <c r="K146" s="5" t="str">
        <f>IFERROR(__xludf.DUMMYFUNCTION("IF(C146&lt;&gt;"""",HYPERLINK(""https://wa.me/507""&amp;REGEXREPLACE(C146,""[^0-9]"","""")&amp;""?text=""&amp;ENCODEURL(""Ya llegue. Codigo: ""&amp;A146&amp;"". Ubicacion: ""&amp;""https://www.google.com/maps/search/?api=1&amp;query=""&amp;SUBSTITUTE(F146,"" "","""")),""📲 Avisar al cliente"""&amp;"),"""")"),"")</f>
        <v/>
      </c>
      <c r="L146" s="5" t="str">
        <f>IFERROR(__xludf.DUMMYFUNCTION("IF(C146&lt;&gt;"""",""https://api.qrserver.com/v1/create-qr-code/?size=200x200&amp;data=""&amp;ENCODEURL(""https://wa.me/507""&amp;REGEXREPLACE(C146,""[^0-9]"","""")&amp;""?text=""&amp;ENCODEURL(""Ya llegue. Codigo: ""&amp;A146&amp;"". Ubicacion: ""&amp;""https://www.google.com/maps/search/?a"&amp;"pi=1&amp;query=""&amp;SUBSTITUTE(F146,"" "",""""))),"""")"),"")</f>
        <v/>
      </c>
      <c r="M146" s="5" t="str">
        <f t="shared" si="6"/>
        <v/>
      </c>
      <c r="N146" s="5" t="str">
        <f>IFERROR(__xludf.DUMMYFUNCTION("IF(AND(F146&lt;&gt;"""",REGEXMATCH(SUBSTITUTE(F146,"" "",""""),""^-?\d+(\.\d+)?,-?\d+(\.\d+)?$""),VALUE(REGEXEXTRACT(SUBSTITUTE(F146,"" "",""""),""^-?\d+(\.\d+)?""))&gt;=-90,VALUE(REGEXEXTRACT(SUBSTITUTE(F146,"" "",""""),""^-?\d+(\.\d+)?""))&lt;=90,VALUE(REGEXEXTRACT"&amp;"(SUBSTITUTE(F146,"" "",""""),""-?\d+(\.\d+)?$""))&gt;=-180,VALUE(REGEXEXTRACT(SUBSTITUTE(F146,"" "",""""),""-?\d+(\.\d+)?$""))&lt;=180),""OK"",""REVISAR"")"),"#N/A")</f>
        <v>#N/A</v>
      </c>
    </row>
    <row r="147" ht="15.75" customHeight="1">
      <c r="A147" s="5" t="str">
        <f t="shared" si="1"/>
        <v>AD507-0145</v>
      </c>
      <c r="C147" s="5"/>
      <c r="F147" s="5"/>
      <c r="G147" s="5" t="str">
        <f t="shared" si="2"/>
        <v/>
      </c>
      <c r="H147" s="5" t="str">
        <f t="shared" si="3"/>
        <v/>
      </c>
      <c r="I147" s="5" t="str">
        <f t="shared" si="4"/>
        <v/>
      </c>
      <c r="J147" s="5" t="str">
        <f t="shared" si="5"/>
        <v/>
      </c>
      <c r="K147" s="5" t="str">
        <f>IFERROR(__xludf.DUMMYFUNCTION("IF(C147&lt;&gt;"""",HYPERLINK(""https://wa.me/507""&amp;REGEXREPLACE(C147,""[^0-9]"","""")&amp;""?text=""&amp;ENCODEURL(""Ya llegue. Codigo: ""&amp;A147&amp;"". Ubicacion: ""&amp;""https://www.google.com/maps/search/?api=1&amp;query=""&amp;SUBSTITUTE(F147,"" "","""")),""📲 Avisar al cliente"""&amp;"),"""")"),"")</f>
        <v/>
      </c>
      <c r="L147" s="5" t="str">
        <f>IFERROR(__xludf.DUMMYFUNCTION("IF(C147&lt;&gt;"""",""https://api.qrserver.com/v1/create-qr-code/?size=200x200&amp;data=""&amp;ENCODEURL(""https://wa.me/507""&amp;REGEXREPLACE(C147,""[^0-9]"","""")&amp;""?text=""&amp;ENCODEURL(""Ya llegue. Codigo: ""&amp;A147&amp;"". Ubicacion: ""&amp;""https://www.google.com/maps/search/?a"&amp;"pi=1&amp;query=""&amp;SUBSTITUTE(F147,"" "",""""))),"""")"),"")</f>
        <v/>
      </c>
      <c r="M147" s="5" t="str">
        <f t="shared" si="6"/>
        <v/>
      </c>
      <c r="N147" s="5" t="str">
        <f>IFERROR(__xludf.DUMMYFUNCTION("IF(AND(F147&lt;&gt;"""",REGEXMATCH(SUBSTITUTE(F147,"" "",""""),""^-?\d+(\.\d+)?,-?\d+(\.\d+)?$""),VALUE(REGEXEXTRACT(SUBSTITUTE(F147,"" "",""""),""^-?\d+(\.\d+)?""))&gt;=-90,VALUE(REGEXEXTRACT(SUBSTITUTE(F147,"" "",""""),""^-?\d+(\.\d+)?""))&lt;=90,VALUE(REGEXEXTRACT"&amp;"(SUBSTITUTE(F147,"" "",""""),""-?\d+(\.\d+)?$""))&gt;=-180,VALUE(REGEXEXTRACT(SUBSTITUTE(F147,"" "",""""),""-?\d+(\.\d+)?$""))&lt;=180),""OK"",""REVISAR"")"),"#N/A")</f>
        <v>#N/A</v>
      </c>
    </row>
    <row r="148" ht="15.75" customHeight="1">
      <c r="A148" s="5" t="str">
        <f t="shared" si="1"/>
        <v>AD507-0146</v>
      </c>
      <c r="C148" s="5"/>
      <c r="F148" s="5"/>
      <c r="G148" s="5" t="str">
        <f t="shared" si="2"/>
        <v/>
      </c>
      <c r="H148" s="5" t="str">
        <f t="shared" si="3"/>
        <v/>
      </c>
      <c r="I148" s="5" t="str">
        <f t="shared" si="4"/>
        <v/>
      </c>
      <c r="J148" s="5" t="str">
        <f t="shared" si="5"/>
        <v/>
      </c>
      <c r="K148" s="5" t="str">
        <f>IFERROR(__xludf.DUMMYFUNCTION("IF(C148&lt;&gt;"""",HYPERLINK(""https://wa.me/507""&amp;REGEXREPLACE(C148,""[^0-9]"","""")&amp;""?text=""&amp;ENCODEURL(""Ya llegue. Codigo: ""&amp;A148&amp;"". Ubicacion: ""&amp;""https://www.google.com/maps/search/?api=1&amp;query=""&amp;SUBSTITUTE(F148,"" "","""")),""📲 Avisar al cliente"""&amp;"),"""")"),"")</f>
        <v/>
      </c>
      <c r="L148" s="5" t="str">
        <f>IFERROR(__xludf.DUMMYFUNCTION("IF(C148&lt;&gt;"""",""https://api.qrserver.com/v1/create-qr-code/?size=200x200&amp;data=""&amp;ENCODEURL(""https://wa.me/507""&amp;REGEXREPLACE(C148,""[^0-9]"","""")&amp;""?text=""&amp;ENCODEURL(""Ya llegue. Codigo: ""&amp;A148&amp;"". Ubicacion: ""&amp;""https://www.google.com/maps/search/?a"&amp;"pi=1&amp;query=""&amp;SUBSTITUTE(F148,"" "",""""))),"""")"),"")</f>
        <v/>
      </c>
      <c r="M148" s="5" t="str">
        <f t="shared" si="6"/>
        <v/>
      </c>
      <c r="N148" s="5" t="str">
        <f>IFERROR(__xludf.DUMMYFUNCTION("IF(AND(F148&lt;&gt;"""",REGEXMATCH(SUBSTITUTE(F148,"" "",""""),""^-?\d+(\.\d+)?,-?\d+(\.\d+)?$""),VALUE(REGEXEXTRACT(SUBSTITUTE(F148,"" "",""""),""^-?\d+(\.\d+)?""))&gt;=-90,VALUE(REGEXEXTRACT(SUBSTITUTE(F148,"" "",""""),""^-?\d+(\.\d+)?""))&lt;=90,VALUE(REGEXEXTRACT"&amp;"(SUBSTITUTE(F148,"" "",""""),""-?\d+(\.\d+)?$""))&gt;=-180,VALUE(REGEXEXTRACT(SUBSTITUTE(F148,"" "",""""),""-?\d+(\.\d+)?$""))&lt;=180),""OK"",""REVISAR"")"),"#N/A")</f>
        <v>#N/A</v>
      </c>
    </row>
    <row r="149" ht="15.75" customHeight="1">
      <c r="A149" s="5" t="str">
        <f t="shared" si="1"/>
        <v>AD507-0147</v>
      </c>
      <c r="C149" s="5"/>
      <c r="F149" s="5"/>
      <c r="G149" s="5" t="str">
        <f t="shared" si="2"/>
        <v/>
      </c>
      <c r="H149" s="5" t="str">
        <f t="shared" si="3"/>
        <v/>
      </c>
      <c r="I149" s="5" t="str">
        <f t="shared" si="4"/>
        <v/>
      </c>
      <c r="J149" s="5" t="str">
        <f t="shared" si="5"/>
        <v/>
      </c>
      <c r="K149" s="5" t="str">
        <f>IFERROR(__xludf.DUMMYFUNCTION("IF(C149&lt;&gt;"""",HYPERLINK(""https://wa.me/507""&amp;REGEXREPLACE(C149,""[^0-9]"","""")&amp;""?text=""&amp;ENCODEURL(""Ya llegue. Codigo: ""&amp;A149&amp;"". Ubicacion: ""&amp;""https://www.google.com/maps/search/?api=1&amp;query=""&amp;SUBSTITUTE(F149,"" "","""")),""📲 Avisar al cliente"""&amp;"),"""")"),"")</f>
        <v/>
      </c>
      <c r="L149" s="5" t="str">
        <f>IFERROR(__xludf.DUMMYFUNCTION("IF(C149&lt;&gt;"""",""https://api.qrserver.com/v1/create-qr-code/?size=200x200&amp;data=""&amp;ENCODEURL(""https://wa.me/507""&amp;REGEXREPLACE(C149,""[^0-9]"","""")&amp;""?text=""&amp;ENCODEURL(""Ya llegue. Codigo: ""&amp;A149&amp;"". Ubicacion: ""&amp;""https://www.google.com/maps/search/?a"&amp;"pi=1&amp;query=""&amp;SUBSTITUTE(F149,"" "",""""))),"""")"),"")</f>
        <v/>
      </c>
      <c r="M149" s="5" t="str">
        <f t="shared" si="6"/>
        <v/>
      </c>
      <c r="N149" s="5" t="str">
        <f>IFERROR(__xludf.DUMMYFUNCTION("IF(AND(F149&lt;&gt;"""",REGEXMATCH(SUBSTITUTE(F149,"" "",""""),""^-?\d+(\.\d+)?,-?\d+(\.\d+)?$""),VALUE(REGEXEXTRACT(SUBSTITUTE(F149,"" "",""""),""^-?\d+(\.\d+)?""))&gt;=-90,VALUE(REGEXEXTRACT(SUBSTITUTE(F149,"" "",""""),""^-?\d+(\.\d+)?""))&lt;=90,VALUE(REGEXEXTRACT"&amp;"(SUBSTITUTE(F149,"" "",""""),""-?\d+(\.\d+)?$""))&gt;=-180,VALUE(REGEXEXTRACT(SUBSTITUTE(F149,"" "",""""),""-?\d+(\.\d+)?$""))&lt;=180),""OK"",""REVISAR"")"),"#N/A")</f>
        <v>#N/A</v>
      </c>
    </row>
    <row r="150" ht="15.75" customHeight="1">
      <c r="A150" s="5" t="str">
        <f t="shared" si="1"/>
        <v>AD507-0148</v>
      </c>
      <c r="C150" s="5"/>
      <c r="F150" s="5"/>
      <c r="G150" s="5" t="str">
        <f t="shared" si="2"/>
        <v/>
      </c>
      <c r="H150" s="5" t="str">
        <f t="shared" si="3"/>
        <v/>
      </c>
      <c r="I150" s="5" t="str">
        <f t="shared" si="4"/>
        <v/>
      </c>
      <c r="J150" s="5" t="str">
        <f t="shared" si="5"/>
        <v/>
      </c>
      <c r="K150" s="5" t="str">
        <f>IFERROR(__xludf.DUMMYFUNCTION("IF(C150&lt;&gt;"""",HYPERLINK(""https://wa.me/507""&amp;REGEXREPLACE(C150,""[^0-9]"","""")&amp;""?text=""&amp;ENCODEURL(""Ya llegue. Codigo: ""&amp;A150&amp;"". Ubicacion: ""&amp;""https://www.google.com/maps/search/?api=1&amp;query=""&amp;SUBSTITUTE(F150,"" "","""")),""📲 Avisar al cliente"""&amp;"),"""")"),"")</f>
        <v/>
      </c>
      <c r="L150" s="5" t="str">
        <f>IFERROR(__xludf.DUMMYFUNCTION("IF(C150&lt;&gt;"""",""https://api.qrserver.com/v1/create-qr-code/?size=200x200&amp;data=""&amp;ENCODEURL(""https://wa.me/507""&amp;REGEXREPLACE(C150,""[^0-9]"","""")&amp;""?text=""&amp;ENCODEURL(""Ya llegue. Codigo: ""&amp;A150&amp;"". Ubicacion: ""&amp;""https://www.google.com/maps/search/?a"&amp;"pi=1&amp;query=""&amp;SUBSTITUTE(F150,"" "",""""))),"""")"),"")</f>
        <v/>
      </c>
      <c r="M150" s="5" t="str">
        <f t="shared" si="6"/>
        <v/>
      </c>
      <c r="N150" s="5" t="str">
        <f>IFERROR(__xludf.DUMMYFUNCTION("IF(AND(F150&lt;&gt;"""",REGEXMATCH(SUBSTITUTE(F150,"" "",""""),""^-?\d+(\.\d+)?,-?\d+(\.\d+)?$""),VALUE(REGEXEXTRACT(SUBSTITUTE(F150,"" "",""""),""^-?\d+(\.\d+)?""))&gt;=-90,VALUE(REGEXEXTRACT(SUBSTITUTE(F150,"" "",""""),""^-?\d+(\.\d+)?""))&lt;=90,VALUE(REGEXEXTRACT"&amp;"(SUBSTITUTE(F150,"" "",""""),""-?\d+(\.\d+)?$""))&gt;=-180,VALUE(REGEXEXTRACT(SUBSTITUTE(F150,"" "",""""),""-?\d+(\.\d+)?$""))&lt;=180),""OK"",""REVISAR"")"),"#N/A")</f>
        <v>#N/A</v>
      </c>
    </row>
    <row r="151" ht="15.75" customHeight="1">
      <c r="A151" s="5" t="str">
        <f t="shared" si="1"/>
        <v>AD507-0149</v>
      </c>
      <c r="C151" s="5"/>
      <c r="F151" s="5"/>
      <c r="G151" s="5" t="str">
        <f t="shared" si="2"/>
        <v/>
      </c>
      <c r="H151" s="5" t="str">
        <f t="shared" si="3"/>
        <v/>
      </c>
      <c r="I151" s="5" t="str">
        <f t="shared" si="4"/>
        <v/>
      </c>
      <c r="J151" s="5" t="str">
        <f t="shared" si="5"/>
        <v/>
      </c>
      <c r="K151" s="5" t="str">
        <f>IFERROR(__xludf.DUMMYFUNCTION("IF(C151&lt;&gt;"""",HYPERLINK(""https://wa.me/507""&amp;REGEXREPLACE(C151,""[^0-9]"","""")&amp;""?text=""&amp;ENCODEURL(""Ya llegue. Codigo: ""&amp;A151&amp;"". Ubicacion: ""&amp;""https://www.google.com/maps/search/?api=1&amp;query=""&amp;SUBSTITUTE(F151,"" "","""")),""📲 Avisar al cliente"""&amp;"),"""")"),"")</f>
        <v/>
      </c>
      <c r="L151" s="5" t="str">
        <f>IFERROR(__xludf.DUMMYFUNCTION("IF(C151&lt;&gt;"""",""https://api.qrserver.com/v1/create-qr-code/?size=200x200&amp;data=""&amp;ENCODEURL(""https://wa.me/507""&amp;REGEXREPLACE(C151,""[^0-9]"","""")&amp;""?text=""&amp;ENCODEURL(""Ya llegue. Codigo: ""&amp;A151&amp;"". Ubicacion: ""&amp;""https://www.google.com/maps/search/?a"&amp;"pi=1&amp;query=""&amp;SUBSTITUTE(F151,"" "",""""))),"""")"),"")</f>
        <v/>
      </c>
      <c r="M151" s="5" t="str">
        <f t="shared" si="6"/>
        <v/>
      </c>
      <c r="N151" s="5" t="str">
        <f>IFERROR(__xludf.DUMMYFUNCTION("IF(AND(F151&lt;&gt;"""",REGEXMATCH(SUBSTITUTE(F151,"" "",""""),""^-?\d+(\.\d+)?,-?\d+(\.\d+)?$""),VALUE(REGEXEXTRACT(SUBSTITUTE(F151,"" "",""""),""^-?\d+(\.\d+)?""))&gt;=-90,VALUE(REGEXEXTRACT(SUBSTITUTE(F151,"" "",""""),""^-?\d+(\.\d+)?""))&lt;=90,VALUE(REGEXEXTRACT"&amp;"(SUBSTITUTE(F151,"" "",""""),""-?\d+(\.\d+)?$""))&gt;=-180,VALUE(REGEXEXTRACT(SUBSTITUTE(F151,"" "",""""),""-?\d+(\.\d+)?$""))&lt;=180),""OK"",""REVISAR"")"),"#N/A")</f>
        <v>#N/A</v>
      </c>
    </row>
    <row r="152" ht="15.75" customHeight="1">
      <c r="A152" s="5" t="str">
        <f t="shared" si="1"/>
        <v>AD507-0150</v>
      </c>
      <c r="C152" s="5"/>
      <c r="F152" s="5"/>
      <c r="G152" s="5" t="str">
        <f t="shared" si="2"/>
        <v/>
      </c>
      <c r="H152" s="5" t="str">
        <f t="shared" si="3"/>
        <v/>
      </c>
      <c r="I152" s="5" t="str">
        <f t="shared" si="4"/>
        <v/>
      </c>
      <c r="J152" s="5" t="str">
        <f t="shared" si="5"/>
        <v/>
      </c>
      <c r="K152" s="5" t="str">
        <f>IFERROR(__xludf.DUMMYFUNCTION("IF(C152&lt;&gt;"""",HYPERLINK(""https://wa.me/507""&amp;REGEXREPLACE(C152,""[^0-9]"","""")&amp;""?text=""&amp;ENCODEURL(""Ya llegue. Codigo: ""&amp;A152&amp;"". Ubicacion: ""&amp;""https://www.google.com/maps/search/?api=1&amp;query=""&amp;SUBSTITUTE(F152,"" "","""")),""📲 Avisar al cliente"""&amp;"),"""")"),"")</f>
        <v/>
      </c>
      <c r="L152" s="5" t="str">
        <f>IFERROR(__xludf.DUMMYFUNCTION("IF(C152&lt;&gt;"""",""https://api.qrserver.com/v1/create-qr-code/?size=200x200&amp;data=""&amp;ENCODEURL(""https://wa.me/507""&amp;REGEXREPLACE(C152,""[^0-9]"","""")&amp;""?text=""&amp;ENCODEURL(""Ya llegue. Codigo: ""&amp;A152&amp;"". Ubicacion: ""&amp;""https://www.google.com/maps/search/?a"&amp;"pi=1&amp;query=""&amp;SUBSTITUTE(F152,"" "",""""))),"""")"),"")</f>
        <v/>
      </c>
      <c r="M152" s="5" t="str">
        <f t="shared" si="6"/>
        <v/>
      </c>
      <c r="N152" s="5" t="str">
        <f>IFERROR(__xludf.DUMMYFUNCTION("IF(AND(F152&lt;&gt;"""",REGEXMATCH(SUBSTITUTE(F152,"" "",""""),""^-?\d+(\.\d+)?,-?\d+(\.\d+)?$""),VALUE(REGEXEXTRACT(SUBSTITUTE(F152,"" "",""""),""^-?\d+(\.\d+)?""))&gt;=-90,VALUE(REGEXEXTRACT(SUBSTITUTE(F152,"" "",""""),""^-?\d+(\.\d+)?""))&lt;=90,VALUE(REGEXEXTRACT"&amp;"(SUBSTITUTE(F152,"" "",""""),""-?\d+(\.\d+)?$""))&gt;=-180,VALUE(REGEXEXTRACT(SUBSTITUTE(F152,"" "",""""),""-?\d+(\.\d+)?$""))&lt;=180),""OK"",""REVISAR"")"),"#N/A")</f>
        <v>#N/A</v>
      </c>
    </row>
    <row r="153" ht="15.75" customHeight="1">
      <c r="A153" s="5" t="str">
        <f t="shared" si="1"/>
        <v>AD507-0151</v>
      </c>
      <c r="C153" s="5"/>
      <c r="F153" s="5"/>
      <c r="G153" s="5" t="str">
        <f t="shared" si="2"/>
        <v/>
      </c>
      <c r="H153" s="5" t="str">
        <f t="shared" si="3"/>
        <v/>
      </c>
      <c r="I153" s="5" t="str">
        <f t="shared" si="4"/>
        <v/>
      </c>
      <c r="J153" s="5" t="str">
        <f t="shared" si="5"/>
        <v/>
      </c>
      <c r="K153" s="5" t="str">
        <f>IFERROR(__xludf.DUMMYFUNCTION("IF(C153&lt;&gt;"""",HYPERLINK(""https://wa.me/507""&amp;REGEXREPLACE(C153,""[^0-9]"","""")&amp;""?text=""&amp;ENCODEURL(""Ya llegue. Codigo: ""&amp;A153&amp;"". Ubicacion: ""&amp;""https://www.google.com/maps/search/?api=1&amp;query=""&amp;SUBSTITUTE(F153,"" "","""")),""📲 Avisar al cliente"""&amp;"),"""")"),"")</f>
        <v/>
      </c>
      <c r="L153" s="5" t="str">
        <f>IFERROR(__xludf.DUMMYFUNCTION("IF(C153&lt;&gt;"""",""https://api.qrserver.com/v1/create-qr-code/?size=200x200&amp;data=""&amp;ENCODEURL(""https://wa.me/507""&amp;REGEXREPLACE(C153,""[^0-9]"","""")&amp;""?text=""&amp;ENCODEURL(""Ya llegue. Codigo: ""&amp;A153&amp;"". Ubicacion: ""&amp;""https://www.google.com/maps/search/?a"&amp;"pi=1&amp;query=""&amp;SUBSTITUTE(F153,"" "",""""))),"""")"),"")</f>
        <v/>
      </c>
      <c r="M153" s="5" t="str">
        <f t="shared" si="6"/>
        <v/>
      </c>
      <c r="N153" s="5" t="str">
        <f>IFERROR(__xludf.DUMMYFUNCTION("IF(AND(F153&lt;&gt;"""",REGEXMATCH(SUBSTITUTE(F153,"" "",""""),""^-?\d+(\.\d+)?,-?\d+(\.\d+)?$""),VALUE(REGEXEXTRACT(SUBSTITUTE(F153,"" "",""""),""^-?\d+(\.\d+)?""))&gt;=-90,VALUE(REGEXEXTRACT(SUBSTITUTE(F153,"" "",""""),""^-?\d+(\.\d+)?""))&lt;=90,VALUE(REGEXEXTRACT"&amp;"(SUBSTITUTE(F153,"" "",""""),""-?\d+(\.\d+)?$""))&gt;=-180,VALUE(REGEXEXTRACT(SUBSTITUTE(F153,"" "",""""),""-?\d+(\.\d+)?$""))&lt;=180),""OK"",""REVISAR"")"),"#N/A")</f>
        <v>#N/A</v>
      </c>
    </row>
    <row r="154" ht="15.75" customHeight="1">
      <c r="A154" s="5" t="str">
        <f t="shared" si="1"/>
        <v>AD507-0152</v>
      </c>
      <c r="C154" s="5"/>
      <c r="F154" s="5"/>
      <c r="G154" s="5" t="str">
        <f t="shared" si="2"/>
        <v/>
      </c>
      <c r="H154" s="5" t="str">
        <f t="shared" si="3"/>
        <v/>
      </c>
      <c r="I154" s="5" t="str">
        <f t="shared" si="4"/>
        <v/>
      </c>
      <c r="J154" s="5" t="str">
        <f t="shared" si="5"/>
        <v/>
      </c>
      <c r="K154" s="5" t="str">
        <f>IFERROR(__xludf.DUMMYFUNCTION("IF(C154&lt;&gt;"""",HYPERLINK(""https://wa.me/507""&amp;REGEXREPLACE(C154,""[^0-9]"","""")&amp;""?text=""&amp;ENCODEURL(""Ya llegue. Codigo: ""&amp;A154&amp;"". Ubicacion: ""&amp;""https://www.google.com/maps/search/?api=1&amp;query=""&amp;SUBSTITUTE(F154,"" "","""")),""📲 Avisar al cliente"""&amp;"),"""")"),"")</f>
        <v/>
      </c>
      <c r="L154" s="5" t="str">
        <f>IFERROR(__xludf.DUMMYFUNCTION("IF(C154&lt;&gt;"""",""https://api.qrserver.com/v1/create-qr-code/?size=200x200&amp;data=""&amp;ENCODEURL(""https://wa.me/507""&amp;REGEXREPLACE(C154,""[^0-9]"","""")&amp;""?text=""&amp;ENCODEURL(""Ya llegue. Codigo: ""&amp;A154&amp;"". Ubicacion: ""&amp;""https://www.google.com/maps/search/?a"&amp;"pi=1&amp;query=""&amp;SUBSTITUTE(F154,"" "",""""))),"""")"),"")</f>
        <v/>
      </c>
      <c r="M154" s="5" t="str">
        <f t="shared" si="6"/>
        <v/>
      </c>
      <c r="N154" s="5" t="str">
        <f>IFERROR(__xludf.DUMMYFUNCTION("IF(AND(F154&lt;&gt;"""",REGEXMATCH(SUBSTITUTE(F154,"" "",""""),""^-?\d+(\.\d+)?,-?\d+(\.\d+)?$""),VALUE(REGEXEXTRACT(SUBSTITUTE(F154,"" "",""""),""^-?\d+(\.\d+)?""))&gt;=-90,VALUE(REGEXEXTRACT(SUBSTITUTE(F154,"" "",""""),""^-?\d+(\.\d+)?""))&lt;=90,VALUE(REGEXEXTRACT"&amp;"(SUBSTITUTE(F154,"" "",""""),""-?\d+(\.\d+)?$""))&gt;=-180,VALUE(REGEXEXTRACT(SUBSTITUTE(F154,"" "",""""),""-?\d+(\.\d+)?$""))&lt;=180),""OK"",""REVISAR"")"),"#N/A")</f>
        <v>#N/A</v>
      </c>
    </row>
    <row r="155" ht="15.75" customHeight="1">
      <c r="A155" s="5" t="str">
        <f t="shared" si="1"/>
        <v>AD507-0153</v>
      </c>
      <c r="C155" s="5"/>
      <c r="F155" s="5"/>
      <c r="G155" s="5" t="str">
        <f t="shared" si="2"/>
        <v/>
      </c>
      <c r="H155" s="5" t="str">
        <f t="shared" si="3"/>
        <v/>
      </c>
      <c r="I155" s="5" t="str">
        <f t="shared" si="4"/>
        <v/>
      </c>
      <c r="J155" s="5" t="str">
        <f t="shared" si="5"/>
        <v/>
      </c>
      <c r="K155" s="5" t="str">
        <f>IFERROR(__xludf.DUMMYFUNCTION("IF(C155&lt;&gt;"""",HYPERLINK(""https://wa.me/507""&amp;REGEXREPLACE(C155,""[^0-9]"","""")&amp;""?text=""&amp;ENCODEURL(""Ya llegue. Codigo: ""&amp;A155&amp;"". Ubicacion: ""&amp;""https://www.google.com/maps/search/?api=1&amp;query=""&amp;SUBSTITUTE(F155,"" "","""")),""📲 Avisar al cliente"""&amp;"),"""")"),"")</f>
        <v/>
      </c>
      <c r="L155" s="5" t="str">
        <f>IFERROR(__xludf.DUMMYFUNCTION("IF(C155&lt;&gt;"""",""https://api.qrserver.com/v1/create-qr-code/?size=200x200&amp;data=""&amp;ENCODEURL(""https://wa.me/507""&amp;REGEXREPLACE(C155,""[^0-9]"","""")&amp;""?text=""&amp;ENCODEURL(""Ya llegue. Codigo: ""&amp;A155&amp;"". Ubicacion: ""&amp;""https://www.google.com/maps/search/?a"&amp;"pi=1&amp;query=""&amp;SUBSTITUTE(F155,"" "",""""))),"""")"),"")</f>
        <v/>
      </c>
      <c r="M155" s="5" t="str">
        <f t="shared" si="6"/>
        <v/>
      </c>
      <c r="N155" s="5" t="str">
        <f>IFERROR(__xludf.DUMMYFUNCTION("IF(AND(F155&lt;&gt;"""",REGEXMATCH(SUBSTITUTE(F155,"" "",""""),""^-?\d+(\.\d+)?,-?\d+(\.\d+)?$""),VALUE(REGEXEXTRACT(SUBSTITUTE(F155,"" "",""""),""^-?\d+(\.\d+)?""))&gt;=-90,VALUE(REGEXEXTRACT(SUBSTITUTE(F155,"" "",""""),""^-?\d+(\.\d+)?""))&lt;=90,VALUE(REGEXEXTRACT"&amp;"(SUBSTITUTE(F155,"" "",""""),""-?\d+(\.\d+)?$""))&gt;=-180,VALUE(REGEXEXTRACT(SUBSTITUTE(F155,"" "",""""),""-?\d+(\.\d+)?$""))&lt;=180),""OK"",""REVISAR"")"),"#N/A")</f>
        <v>#N/A</v>
      </c>
    </row>
    <row r="156" ht="15.75" customHeight="1">
      <c r="A156" s="5" t="str">
        <f t="shared" si="1"/>
        <v>AD507-0154</v>
      </c>
      <c r="C156" s="5"/>
      <c r="F156" s="5"/>
      <c r="G156" s="5" t="str">
        <f t="shared" si="2"/>
        <v/>
      </c>
      <c r="H156" s="5" t="str">
        <f t="shared" si="3"/>
        <v/>
      </c>
      <c r="I156" s="5" t="str">
        <f t="shared" si="4"/>
        <v/>
      </c>
      <c r="J156" s="5" t="str">
        <f t="shared" si="5"/>
        <v/>
      </c>
      <c r="K156" s="5" t="str">
        <f>IFERROR(__xludf.DUMMYFUNCTION("IF(C156&lt;&gt;"""",HYPERLINK(""https://wa.me/507""&amp;REGEXREPLACE(C156,""[^0-9]"","""")&amp;""?text=""&amp;ENCODEURL(""Ya llegue. Codigo: ""&amp;A156&amp;"". Ubicacion: ""&amp;""https://www.google.com/maps/search/?api=1&amp;query=""&amp;SUBSTITUTE(F156,"" "","""")),""📲 Avisar al cliente"""&amp;"),"""")"),"")</f>
        <v/>
      </c>
      <c r="L156" s="5" t="str">
        <f>IFERROR(__xludf.DUMMYFUNCTION("IF(C156&lt;&gt;"""",""https://api.qrserver.com/v1/create-qr-code/?size=200x200&amp;data=""&amp;ENCODEURL(""https://wa.me/507""&amp;REGEXREPLACE(C156,""[^0-9]"","""")&amp;""?text=""&amp;ENCODEURL(""Ya llegue. Codigo: ""&amp;A156&amp;"". Ubicacion: ""&amp;""https://www.google.com/maps/search/?a"&amp;"pi=1&amp;query=""&amp;SUBSTITUTE(F156,"" "",""""))),"""")"),"")</f>
        <v/>
      </c>
      <c r="M156" s="5" t="str">
        <f t="shared" si="6"/>
        <v/>
      </c>
      <c r="N156" s="5" t="str">
        <f>IFERROR(__xludf.DUMMYFUNCTION("IF(AND(F156&lt;&gt;"""",REGEXMATCH(SUBSTITUTE(F156,"" "",""""),""^-?\d+(\.\d+)?,-?\d+(\.\d+)?$""),VALUE(REGEXEXTRACT(SUBSTITUTE(F156,"" "",""""),""^-?\d+(\.\d+)?""))&gt;=-90,VALUE(REGEXEXTRACT(SUBSTITUTE(F156,"" "",""""),""^-?\d+(\.\d+)?""))&lt;=90,VALUE(REGEXEXTRACT"&amp;"(SUBSTITUTE(F156,"" "",""""),""-?\d+(\.\d+)?$""))&gt;=-180,VALUE(REGEXEXTRACT(SUBSTITUTE(F156,"" "",""""),""-?\d+(\.\d+)?$""))&lt;=180),""OK"",""REVISAR"")"),"#N/A")</f>
        <v>#N/A</v>
      </c>
    </row>
    <row r="157" ht="15.75" customHeight="1">
      <c r="A157" s="5" t="str">
        <f t="shared" si="1"/>
        <v>AD507-0155</v>
      </c>
      <c r="C157" s="5"/>
      <c r="F157" s="5"/>
      <c r="G157" s="5" t="str">
        <f t="shared" si="2"/>
        <v/>
      </c>
      <c r="H157" s="5" t="str">
        <f t="shared" si="3"/>
        <v/>
      </c>
      <c r="I157" s="5" t="str">
        <f t="shared" si="4"/>
        <v/>
      </c>
      <c r="J157" s="5" t="str">
        <f t="shared" si="5"/>
        <v/>
      </c>
      <c r="K157" s="5" t="str">
        <f>IFERROR(__xludf.DUMMYFUNCTION("IF(C157&lt;&gt;"""",HYPERLINK(""https://wa.me/507""&amp;REGEXREPLACE(C157,""[^0-9]"","""")&amp;""?text=""&amp;ENCODEURL(""Ya llegue. Codigo: ""&amp;A157&amp;"". Ubicacion: ""&amp;""https://www.google.com/maps/search/?api=1&amp;query=""&amp;SUBSTITUTE(F157,"" "","""")),""📲 Avisar al cliente"""&amp;"),"""")"),"")</f>
        <v/>
      </c>
      <c r="L157" s="5" t="str">
        <f>IFERROR(__xludf.DUMMYFUNCTION("IF(C157&lt;&gt;"""",""https://api.qrserver.com/v1/create-qr-code/?size=200x200&amp;data=""&amp;ENCODEURL(""https://wa.me/507""&amp;REGEXREPLACE(C157,""[^0-9]"","""")&amp;""?text=""&amp;ENCODEURL(""Ya llegue. Codigo: ""&amp;A157&amp;"". Ubicacion: ""&amp;""https://www.google.com/maps/search/?a"&amp;"pi=1&amp;query=""&amp;SUBSTITUTE(F157,"" "",""""))),"""")"),"")</f>
        <v/>
      </c>
      <c r="M157" s="5" t="str">
        <f t="shared" si="6"/>
        <v/>
      </c>
      <c r="N157" s="5" t="str">
        <f>IFERROR(__xludf.DUMMYFUNCTION("IF(AND(F157&lt;&gt;"""",REGEXMATCH(SUBSTITUTE(F157,"" "",""""),""^-?\d+(\.\d+)?,-?\d+(\.\d+)?$""),VALUE(REGEXEXTRACT(SUBSTITUTE(F157,"" "",""""),""^-?\d+(\.\d+)?""))&gt;=-90,VALUE(REGEXEXTRACT(SUBSTITUTE(F157,"" "",""""),""^-?\d+(\.\d+)?""))&lt;=90,VALUE(REGEXEXTRACT"&amp;"(SUBSTITUTE(F157,"" "",""""),""-?\d+(\.\d+)?$""))&gt;=-180,VALUE(REGEXEXTRACT(SUBSTITUTE(F157,"" "",""""),""-?\d+(\.\d+)?$""))&lt;=180),""OK"",""REVISAR"")"),"#N/A")</f>
        <v>#N/A</v>
      </c>
    </row>
    <row r="158" ht="15.75" customHeight="1">
      <c r="A158" s="5" t="str">
        <f t="shared" si="1"/>
        <v>AD507-0156</v>
      </c>
      <c r="C158" s="5"/>
      <c r="F158" s="5"/>
      <c r="G158" s="5" t="str">
        <f t="shared" si="2"/>
        <v/>
      </c>
      <c r="H158" s="5" t="str">
        <f t="shared" si="3"/>
        <v/>
      </c>
      <c r="I158" s="5" t="str">
        <f t="shared" si="4"/>
        <v/>
      </c>
      <c r="J158" s="5" t="str">
        <f t="shared" si="5"/>
        <v/>
      </c>
      <c r="K158" s="5" t="str">
        <f>IFERROR(__xludf.DUMMYFUNCTION("IF(C158&lt;&gt;"""",HYPERLINK(""https://wa.me/507""&amp;REGEXREPLACE(C158,""[^0-9]"","""")&amp;""?text=""&amp;ENCODEURL(""Ya llegue. Codigo: ""&amp;A158&amp;"". Ubicacion: ""&amp;""https://www.google.com/maps/search/?api=1&amp;query=""&amp;SUBSTITUTE(F158,"" "","""")),""📲 Avisar al cliente"""&amp;"),"""")"),"")</f>
        <v/>
      </c>
      <c r="L158" s="5" t="str">
        <f>IFERROR(__xludf.DUMMYFUNCTION("IF(C158&lt;&gt;"""",""https://api.qrserver.com/v1/create-qr-code/?size=200x200&amp;data=""&amp;ENCODEURL(""https://wa.me/507""&amp;REGEXREPLACE(C158,""[^0-9]"","""")&amp;""?text=""&amp;ENCODEURL(""Ya llegue. Codigo: ""&amp;A158&amp;"". Ubicacion: ""&amp;""https://www.google.com/maps/search/?a"&amp;"pi=1&amp;query=""&amp;SUBSTITUTE(F158,"" "",""""))),"""")"),"")</f>
        <v/>
      </c>
      <c r="M158" s="5" t="str">
        <f t="shared" si="6"/>
        <v/>
      </c>
      <c r="N158" s="5" t="str">
        <f>IFERROR(__xludf.DUMMYFUNCTION("IF(AND(F158&lt;&gt;"""",REGEXMATCH(SUBSTITUTE(F158,"" "",""""),""^-?\d+(\.\d+)?,-?\d+(\.\d+)?$""),VALUE(REGEXEXTRACT(SUBSTITUTE(F158,"" "",""""),""^-?\d+(\.\d+)?""))&gt;=-90,VALUE(REGEXEXTRACT(SUBSTITUTE(F158,"" "",""""),""^-?\d+(\.\d+)?""))&lt;=90,VALUE(REGEXEXTRACT"&amp;"(SUBSTITUTE(F158,"" "",""""),""-?\d+(\.\d+)?$""))&gt;=-180,VALUE(REGEXEXTRACT(SUBSTITUTE(F158,"" "",""""),""-?\d+(\.\d+)?$""))&lt;=180),""OK"",""REVISAR"")"),"#N/A")</f>
        <v>#N/A</v>
      </c>
    </row>
    <row r="159" ht="15.75" customHeight="1">
      <c r="A159" s="5" t="str">
        <f t="shared" si="1"/>
        <v>AD507-0157</v>
      </c>
      <c r="C159" s="5"/>
      <c r="F159" s="5"/>
      <c r="G159" s="5" t="str">
        <f t="shared" si="2"/>
        <v/>
      </c>
      <c r="H159" s="5" t="str">
        <f t="shared" si="3"/>
        <v/>
      </c>
      <c r="I159" s="5" t="str">
        <f t="shared" si="4"/>
        <v/>
      </c>
      <c r="J159" s="5" t="str">
        <f t="shared" si="5"/>
        <v/>
      </c>
      <c r="K159" s="5" t="str">
        <f>IFERROR(__xludf.DUMMYFUNCTION("IF(C159&lt;&gt;"""",HYPERLINK(""https://wa.me/507""&amp;REGEXREPLACE(C159,""[^0-9]"","""")&amp;""?text=""&amp;ENCODEURL(""Ya llegue. Codigo: ""&amp;A159&amp;"". Ubicacion: ""&amp;""https://www.google.com/maps/search/?api=1&amp;query=""&amp;SUBSTITUTE(F159,"" "","""")),""📲 Avisar al cliente"""&amp;"),"""")"),"")</f>
        <v/>
      </c>
      <c r="L159" s="5" t="str">
        <f>IFERROR(__xludf.DUMMYFUNCTION("IF(C159&lt;&gt;"""",""https://api.qrserver.com/v1/create-qr-code/?size=200x200&amp;data=""&amp;ENCODEURL(""https://wa.me/507""&amp;REGEXREPLACE(C159,""[^0-9]"","""")&amp;""?text=""&amp;ENCODEURL(""Ya llegue. Codigo: ""&amp;A159&amp;"". Ubicacion: ""&amp;""https://www.google.com/maps/search/?a"&amp;"pi=1&amp;query=""&amp;SUBSTITUTE(F159,"" "",""""))),"""")"),"")</f>
        <v/>
      </c>
      <c r="M159" s="5" t="str">
        <f t="shared" si="6"/>
        <v/>
      </c>
      <c r="N159" s="5" t="str">
        <f>IFERROR(__xludf.DUMMYFUNCTION("IF(AND(F159&lt;&gt;"""",REGEXMATCH(SUBSTITUTE(F159,"" "",""""),""^-?\d+(\.\d+)?,-?\d+(\.\d+)?$""),VALUE(REGEXEXTRACT(SUBSTITUTE(F159,"" "",""""),""^-?\d+(\.\d+)?""))&gt;=-90,VALUE(REGEXEXTRACT(SUBSTITUTE(F159,"" "",""""),""^-?\d+(\.\d+)?""))&lt;=90,VALUE(REGEXEXTRACT"&amp;"(SUBSTITUTE(F159,"" "",""""),""-?\d+(\.\d+)?$""))&gt;=-180,VALUE(REGEXEXTRACT(SUBSTITUTE(F159,"" "",""""),""-?\d+(\.\d+)?$""))&lt;=180),""OK"",""REVISAR"")"),"#N/A")</f>
        <v>#N/A</v>
      </c>
    </row>
    <row r="160" ht="15.75" customHeight="1">
      <c r="A160" s="5" t="str">
        <f t="shared" si="1"/>
        <v>AD507-0158</v>
      </c>
      <c r="C160" s="5"/>
      <c r="F160" s="5"/>
      <c r="G160" s="5" t="str">
        <f t="shared" si="2"/>
        <v/>
      </c>
      <c r="H160" s="5" t="str">
        <f t="shared" si="3"/>
        <v/>
      </c>
      <c r="I160" s="5" t="str">
        <f t="shared" si="4"/>
        <v/>
      </c>
      <c r="J160" s="5" t="str">
        <f t="shared" si="5"/>
        <v/>
      </c>
      <c r="K160" s="5" t="str">
        <f>IFERROR(__xludf.DUMMYFUNCTION("IF(C160&lt;&gt;"""",HYPERLINK(""https://wa.me/507""&amp;REGEXREPLACE(C160,""[^0-9]"","""")&amp;""?text=""&amp;ENCODEURL(""Ya llegue. Codigo: ""&amp;A160&amp;"". Ubicacion: ""&amp;""https://www.google.com/maps/search/?api=1&amp;query=""&amp;SUBSTITUTE(F160,"" "","""")),""📲 Avisar al cliente"""&amp;"),"""")"),"")</f>
        <v/>
      </c>
      <c r="L160" s="5" t="str">
        <f>IFERROR(__xludf.DUMMYFUNCTION("IF(C160&lt;&gt;"""",""https://api.qrserver.com/v1/create-qr-code/?size=200x200&amp;data=""&amp;ENCODEURL(""https://wa.me/507""&amp;REGEXREPLACE(C160,""[^0-9]"","""")&amp;""?text=""&amp;ENCODEURL(""Ya llegue. Codigo: ""&amp;A160&amp;"". Ubicacion: ""&amp;""https://www.google.com/maps/search/?a"&amp;"pi=1&amp;query=""&amp;SUBSTITUTE(F160,"" "",""""))),"""")"),"")</f>
        <v/>
      </c>
      <c r="M160" s="5" t="str">
        <f t="shared" si="6"/>
        <v/>
      </c>
      <c r="N160" s="5" t="str">
        <f>IFERROR(__xludf.DUMMYFUNCTION("IF(AND(F160&lt;&gt;"""",REGEXMATCH(SUBSTITUTE(F160,"" "",""""),""^-?\d+(\.\d+)?,-?\d+(\.\d+)?$""),VALUE(REGEXEXTRACT(SUBSTITUTE(F160,"" "",""""),""^-?\d+(\.\d+)?""))&gt;=-90,VALUE(REGEXEXTRACT(SUBSTITUTE(F160,"" "",""""),""^-?\d+(\.\d+)?""))&lt;=90,VALUE(REGEXEXTRACT"&amp;"(SUBSTITUTE(F160,"" "",""""),""-?\d+(\.\d+)?$""))&gt;=-180,VALUE(REGEXEXTRACT(SUBSTITUTE(F160,"" "",""""),""-?\d+(\.\d+)?$""))&lt;=180),""OK"",""REVISAR"")"),"#N/A")</f>
        <v>#N/A</v>
      </c>
    </row>
    <row r="161" ht="15.75" customHeight="1">
      <c r="A161" s="5" t="str">
        <f t="shared" si="1"/>
        <v>AD507-0159</v>
      </c>
      <c r="C161" s="5"/>
      <c r="F161" s="5"/>
      <c r="G161" s="5" t="str">
        <f t="shared" si="2"/>
        <v/>
      </c>
      <c r="H161" s="5" t="str">
        <f t="shared" si="3"/>
        <v/>
      </c>
      <c r="I161" s="5" t="str">
        <f t="shared" si="4"/>
        <v/>
      </c>
      <c r="J161" s="5" t="str">
        <f t="shared" si="5"/>
        <v/>
      </c>
      <c r="K161" s="5" t="str">
        <f>IFERROR(__xludf.DUMMYFUNCTION("IF(C161&lt;&gt;"""",HYPERLINK(""https://wa.me/507""&amp;REGEXREPLACE(C161,""[^0-9]"","""")&amp;""?text=""&amp;ENCODEURL(""Ya llegue. Codigo: ""&amp;A161&amp;"". Ubicacion: ""&amp;""https://www.google.com/maps/search/?api=1&amp;query=""&amp;SUBSTITUTE(F161,"" "","""")),""📲 Avisar al cliente"""&amp;"),"""")"),"")</f>
        <v/>
      </c>
      <c r="L161" s="5" t="str">
        <f>IFERROR(__xludf.DUMMYFUNCTION("IF(C161&lt;&gt;"""",""https://api.qrserver.com/v1/create-qr-code/?size=200x200&amp;data=""&amp;ENCODEURL(""https://wa.me/507""&amp;REGEXREPLACE(C161,""[^0-9]"","""")&amp;""?text=""&amp;ENCODEURL(""Ya llegue. Codigo: ""&amp;A161&amp;"". Ubicacion: ""&amp;""https://www.google.com/maps/search/?a"&amp;"pi=1&amp;query=""&amp;SUBSTITUTE(F161,"" "",""""))),"""")"),"")</f>
        <v/>
      </c>
      <c r="M161" s="5" t="str">
        <f t="shared" si="6"/>
        <v/>
      </c>
      <c r="N161" s="5" t="str">
        <f>IFERROR(__xludf.DUMMYFUNCTION("IF(AND(F161&lt;&gt;"""",REGEXMATCH(SUBSTITUTE(F161,"" "",""""),""^-?\d+(\.\d+)?,-?\d+(\.\d+)?$""),VALUE(REGEXEXTRACT(SUBSTITUTE(F161,"" "",""""),""^-?\d+(\.\d+)?""))&gt;=-90,VALUE(REGEXEXTRACT(SUBSTITUTE(F161,"" "",""""),""^-?\d+(\.\d+)?""))&lt;=90,VALUE(REGEXEXTRACT"&amp;"(SUBSTITUTE(F161,"" "",""""),""-?\d+(\.\d+)?$""))&gt;=-180,VALUE(REGEXEXTRACT(SUBSTITUTE(F161,"" "",""""),""-?\d+(\.\d+)?$""))&lt;=180),""OK"",""REVISAR"")"),"#N/A")</f>
        <v>#N/A</v>
      </c>
    </row>
    <row r="162" ht="15.75" customHeight="1">
      <c r="A162" s="5" t="str">
        <f t="shared" si="1"/>
        <v>AD507-0160</v>
      </c>
      <c r="C162" s="5"/>
      <c r="F162" s="5"/>
      <c r="G162" s="5" t="str">
        <f t="shared" si="2"/>
        <v/>
      </c>
      <c r="H162" s="5" t="str">
        <f t="shared" si="3"/>
        <v/>
      </c>
      <c r="I162" s="5" t="str">
        <f t="shared" si="4"/>
        <v/>
      </c>
      <c r="J162" s="5" t="str">
        <f t="shared" si="5"/>
        <v/>
      </c>
      <c r="K162" s="5" t="str">
        <f>IFERROR(__xludf.DUMMYFUNCTION("IF(C162&lt;&gt;"""",HYPERLINK(""https://wa.me/507""&amp;REGEXREPLACE(C162,""[^0-9]"","""")&amp;""?text=""&amp;ENCODEURL(""Ya llegue. Codigo: ""&amp;A162&amp;"". Ubicacion: ""&amp;""https://www.google.com/maps/search/?api=1&amp;query=""&amp;SUBSTITUTE(F162,"" "","""")),""📲 Avisar al cliente"""&amp;"),"""")"),"")</f>
        <v/>
      </c>
      <c r="L162" s="5" t="str">
        <f>IFERROR(__xludf.DUMMYFUNCTION("IF(C162&lt;&gt;"""",""https://api.qrserver.com/v1/create-qr-code/?size=200x200&amp;data=""&amp;ENCODEURL(""https://wa.me/507""&amp;REGEXREPLACE(C162,""[^0-9]"","""")&amp;""?text=""&amp;ENCODEURL(""Ya llegue. Codigo: ""&amp;A162&amp;"". Ubicacion: ""&amp;""https://www.google.com/maps/search/?a"&amp;"pi=1&amp;query=""&amp;SUBSTITUTE(F162,"" "",""""))),"""")"),"")</f>
        <v/>
      </c>
      <c r="M162" s="5" t="str">
        <f t="shared" si="6"/>
        <v/>
      </c>
      <c r="N162" s="5" t="str">
        <f>IFERROR(__xludf.DUMMYFUNCTION("IF(AND(F162&lt;&gt;"""",REGEXMATCH(SUBSTITUTE(F162,"" "",""""),""^-?\d+(\.\d+)?,-?\d+(\.\d+)?$""),VALUE(REGEXEXTRACT(SUBSTITUTE(F162,"" "",""""),""^-?\d+(\.\d+)?""))&gt;=-90,VALUE(REGEXEXTRACT(SUBSTITUTE(F162,"" "",""""),""^-?\d+(\.\d+)?""))&lt;=90,VALUE(REGEXEXTRACT"&amp;"(SUBSTITUTE(F162,"" "",""""),""-?\d+(\.\d+)?$""))&gt;=-180,VALUE(REGEXEXTRACT(SUBSTITUTE(F162,"" "",""""),""-?\d+(\.\d+)?$""))&lt;=180),""OK"",""REVISAR"")"),"#N/A")</f>
        <v>#N/A</v>
      </c>
    </row>
    <row r="163" ht="15.75" customHeight="1">
      <c r="A163" s="5" t="str">
        <f t="shared" si="1"/>
        <v>AD507-0161</v>
      </c>
      <c r="C163" s="5"/>
      <c r="F163" s="5"/>
      <c r="G163" s="5" t="str">
        <f t="shared" si="2"/>
        <v/>
      </c>
      <c r="H163" s="5" t="str">
        <f t="shared" si="3"/>
        <v/>
      </c>
      <c r="I163" s="5" t="str">
        <f t="shared" si="4"/>
        <v/>
      </c>
      <c r="J163" s="5" t="str">
        <f t="shared" si="5"/>
        <v/>
      </c>
      <c r="K163" s="5" t="str">
        <f>IFERROR(__xludf.DUMMYFUNCTION("IF(C163&lt;&gt;"""",HYPERLINK(""https://wa.me/507""&amp;REGEXREPLACE(C163,""[^0-9]"","""")&amp;""?text=""&amp;ENCODEURL(""Ya llegue. Codigo: ""&amp;A163&amp;"". Ubicacion: ""&amp;""https://www.google.com/maps/search/?api=1&amp;query=""&amp;SUBSTITUTE(F163,"" "","""")),""📲 Avisar al cliente"""&amp;"),"""")"),"")</f>
        <v/>
      </c>
      <c r="L163" s="5" t="str">
        <f>IFERROR(__xludf.DUMMYFUNCTION("IF(C163&lt;&gt;"""",""https://api.qrserver.com/v1/create-qr-code/?size=200x200&amp;data=""&amp;ENCODEURL(""https://wa.me/507""&amp;REGEXREPLACE(C163,""[^0-9]"","""")&amp;""?text=""&amp;ENCODEURL(""Ya llegue. Codigo: ""&amp;A163&amp;"". Ubicacion: ""&amp;""https://www.google.com/maps/search/?a"&amp;"pi=1&amp;query=""&amp;SUBSTITUTE(F163,"" "",""""))),"""")"),"")</f>
        <v/>
      </c>
      <c r="M163" s="5" t="str">
        <f t="shared" si="6"/>
        <v/>
      </c>
      <c r="N163" s="5" t="str">
        <f>IFERROR(__xludf.DUMMYFUNCTION("IF(AND(F163&lt;&gt;"""",REGEXMATCH(SUBSTITUTE(F163,"" "",""""),""^-?\d+(\.\d+)?,-?\d+(\.\d+)?$""),VALUE(REGEXEXTRACT(SUBSTITUTE(F163,"" "",""""),""^-?\d+(\.\d+)?""))&gt;=-90,VALUE(REGEXEXTRACT(SUBSTITUTE(F163,"" "",""""),""^-?\d+(\.\d+)?""))&lt;=90,VALUE(REGEXEXTRACT"&amp;"(SUBSTITUTE(F163,"" "",""""),""-?\d+(\.\d+)?$""))&gt;=-180,VALUE(REGEXEXTRACT(SUBSTITUTE(F163,"" "",""""),""-?\d+(\.\d+)?$""))&lt;=180),""OK"",""REVISAR"")"),"#N/A")</f>
        <v>#N/A</v>
      </c>
    </row>
    <row r="164" ht="15.75" customHeight="1">
      <c r="A164" s="5" t="str">
        <f t="shared" si="1"/>
        <v>AD507-0162</v>
      </c>
      <c r="C164" s="5"/>
      <c r="F164" s="5"/>
      <c r="G164" s="5" t="str">
        <f t="shared" si="2"/>
        <v/>
      </c>
      <c r="H164" s="5" t="str">
        <f t="shared" si="3"/>
        <v/>
      </c>
      <c r="I164" s="5" t="str">
        <f t="shared" si="4"/>
        <v/>
      </c>
      <c r="J164" s="5" t="str">
        <f t="shared" si="5"/>
        <v/>
      </c>
      <c r="K164" s="5" t="str">
        <f>IFERROR(__xludf.DUMMYFUNCTION("IF(C164&lt;&gt;"""",HYPERLINK(""https://wa.me/507""&amp;REGEXREPLACE(C164,""[^0-9]"","""")&amp;""?text=""&amp;ENCODEURL(""Ya llegue. Codigo: ""&amp;A164&amp;"". Ubicacion: ""&amp;""https://www.google.com/maps/search/?api=1&amp;query=""&amp;SUBSTITUTE(F164,"" "","""")),""📲 Avisar al cliente"""&amp;"),"""")"),"")</f>
        <v/>
      </c>
      <c r="L164" s="5" t="str">
        <f>IFERROR(__xludf.DUMMYFUNCTION("IF(C164&lt;&gt;"""",""https://api.qrserver.com/v1/create-qr-code/?size=200x200&amp;data=""&amp;ENCODEURL(""https://wa.me/507""&amp;REGEXREPLACE(C164,""[^0-9]"","""")&amp;""?text=""&amp;ENCODEURL(""Ya llegue. Codigo: ""&amp;A164&amp;"". Ubicacion: ""&amp;""https://www.google.com/maps/search/?a"&amp;"pi=1&amp;query=""&amp;SUBSTITUTE(F164,"" "",""""))),"""")"),"")</f>
        <v/>
      </c>
      <c r="M164" s="5" t="str">
        <f t="shared" si="6"/>
        <v/>
      </c>
      <c r="N164" s="5" t="str">
        <f>IFERROR(__xludf.DUMMYFUNCTION("IF(AND(F164&lt;&gt;"""",REGEXMATCH(SUBSTITUTE(F164,"" "",""""),""^-?\d+(\.\d+)?,-?\d+(\.\d+)?$""),VALUE(REGEXEXTRACT(SUBSTITUTE(F164,"" "",""""),""^-?\d+(\.\d+)?""))&gt;=-90,VALUE(REGEXEXTRACT(SUBSTITUTE(F164,"" "",""""),""^-?\d+(\.\d+)?""))&lt;=90,VALUE(REGEXEXTRACT"&amp;"(SUBSTITUTE(F164,"" "",""""),""-?\d+(\.\d+)?$""))&gt;=-180,VALUE(REGEXEXTRACT(SUBSTITUTE(F164,"" "",""""),""-?\d+(\.\d+)?$""))&lt;=180),""OK"",""REVISAR"")"),"#N/A")</f>
        <v>#N/A</v>
      </c>
    </row>
    <row r="165" ht="15.75" customHeight="1">
      <c r="A165" s="5" t="str">
        <f t="shared" si="1"/>
        <v>AD507-0163</v>
      </c>
      <c r="C165" s="5"/>
      <c r="F165" s="5"/>
      <c r="G165" s="5" t="str">
        <f t="shared" si="2"/>
        <v/>
      </c>
      <c r="H165" s="5" t="str">
        <f t="shared" si="3"/>
        <v/>
      </c>
      <c r="I165" s="5" t="str">
        <f t="shared" si="4"/>
        <v/>
      </c>
      <c r="J165" s="5" t="str">
        <f t="shared" si="5"/>
        <v/>
      </c>
      <c r="K165" s="5" t="str">
        <f>IFERROR(__xludf.DUMMYFUNCTION("IF(C165&lt;&gt;"""",HYPERLINK(""https://wa.me/507""&amp;REGEXREPLACE(C165,""[^0-9]"","""")&amp;""?text=""&amp;ENCODEURL(""Ya llegue. Codigo: ""&amp;A165&amp;"". Ubicacion: ""&amp;""https://www.google.com/maps/search/?api=1&amp;query=""&amp;SUBSTITUTE(F165,"" "","""")),""📲 Avisar al cliente"""&amp;"),"""")"),"")</f>
        <v/>
      </c>
      <c r="L165" s="5" t="str">
        <f>IFERROR(__xludf.DUMMYFUNCTION("IF(C165&lt;&gt;"""",""https://api.qrserver.com/v1/create-qr-code/?size=200x200&amp;data=""&amp;ENCODEURL(""https://wa.me/507""&amp;REGEXREPLACE(C165,""[^0-9]"","""")&amp;""?text=""&amp;ENCODEURL(""Ya llegue. Codigo: ""&amp;A165&amp;"". Ubicacion: ""&amp;""https://www.google.com/maps/search/?a"&amp;"pi=1&amp;query=""&amp;SUBSTITUTE(F165,"" "",""""))),"""")"),"")</f>
        <v/>
      </c>
      <c r="M165" s="5" t="str">
        <f t="shared" si="6"/>
        <v/>
      </c>
      <c r="N165" s="5" t="str">
        <f>IFERROR(__xludf.DUMMYFUNCTION("IF(AND(F165&lt;&gt;"""",REGEXMATCH(SUBSTITUTE(F165,"" "",""""),""^-?\d+(\.\d+)?,-?\d+(\.\d+)?$""),VALUE(REGEXEXTRACT(SUBSTITUTE(F165,"" "",""""),""^-?\d+(\.\d+)?""))&gt;=-90,VALUE(REGEXEXTRACT(SUBSTITUTE(F165,"" "",""""),""^-?\d+(\.\d+)?""))&lt;=90,VALUE(REGEXEXTRACT"&amp;"(SUBSTITUTE(F165,"" "",""""),""-?\d+(\.\d+)?$""))&gt;=-180,VALUE(REGEXEXTRACT(SUBSTITUTE(F165,"" "",""""),""-?\d+(\.\d+)?$""))&lt;=180),""OK"",""REVISAR"")"),"#N/A")</f>
        <v>#N/A</v>
      </c>
    </row>
    <row r="166" ht="15.75" customHeight="1">
      <c r="A166" s="5" t="str">
        <f t="shared" si="1"/>
        <v>AD507-0164</v>
      </c>
      <c r="C166" s="5"/>
      <c r="F166" s="5"/>
      <c r="G166" s="5" t="str">
        <f t="shared" si="2"/>
        <v/>
      </c>
      <c r="H166" s="5" t="str">
        <f t="shared" si="3"/>
        <v/>
      </c>
      <c r="I166" s="5" t="str">
        <f t="shared" si="4"/>
        <v/>
      </c>
      <c r="J166" s="5" t="str">
        <f t="shared" si="5"/>
        <v/>
      </c>
      <c r="K166" s="5" t="str">
        <f>IFERROR(__xludf.DUMMYFUNCTION("IF(C166&lt;&gt;"""",HYPERLINK(""https://wa.me/507""&amp;REGEXREPLACE(C166,""[^0-9]"","""")&amp;""?text=""&amp;ENCODEURL(""Ya llegue. Codigo: ""&amp;A166&amp;"". Ubicacion: ""&amp;""https://www.google.com/maps/search/?api=1&amp;query=""&amp;SUBSTITUTE(F166,"" "","""")),""📲 Avisar al cliente"""&amp;"),"""")"),"")</f>
        <v/>
      </c>
      <c r="L166" s="5" t="str">
        <f>IFERROR(__xludf.DUMMYFUNCTION("IF(C166&lt;&gt;"""",""https://api.qrserver.com/v1/create-qr-code/?size=200x200&amp;data=""&amp;ENCODEURL(""https://wa.me/507""&amp;REGEXREPLACE(C166,""[^0-9]"","""")&amp;""?text=""&amp;ENCODEURL(""Ya llegue. Codigo: ""&amp;A166&amp;"". Ubicacion: ""&amp;""https://www.google.com/maps/search/?a"&amp;"pi=1&amp;query=""&amp;SUBSTITUTE(F166,"" "",""""))),"""")"),"")</f>
        <v/>
      </c>
      <c r="M166" s="5" t="str">
        <f t="shared" si="6"/>
        <v/>
      </c>
      <c r="N166" s="5" t="str">
        <f>IFERROR(__xludf.DUMMYFUNCTION("IF(AND(F166&lt;&gt;"""",REGEXMATCH(SUBSTITUTE(F166,"" "",""""),""^-?\d+(\.\d+)?,-?\d+(\.\d+)?$""),VALUE(REGEXEXTRACT(SUBSTITUTE(F166,"" "",""""),""^-?\d+(\.\d+)?""))&gt;=-90,VALUE(REGEXEXTRACT(SUBSTITUTE(F166,"" "",""""),""^-?\d+(\.\d+)?""))&lt;=90,VALUE(REGEXEXTRACT"&amp;"(SUBSTITUTE(F166,"" "",""""),""-?\d+(\.\d+)?$""))&gt;=-180,VALUE(REGEXEXTRACT(SUBSTITUTE(F166,"" "",""""),""-?\d+(\.\d+)?$""))&lt;=180),""OK"",""REVISAR"")"),"#N/A")</f>
        <v>#N/A</v>
      </c>
    </row>
    <row r="167" ht="15.75" customHeight="1">
      <c r="A167" s="5" t="str">
        <f t="shared" si="1"/>
        <v>AD507-0165</v>
      </c>
      <c r="C167" s="5"/>
      <c r="F167" s="5"/>
      <c r="G167" s="5" t="str">
        <f t="shared" si="2"/>
        <v/>
      </c>
      <c r="H167" s="5" t="str">
        <f t="shared" si="3"/>
        <v/>
      </c>
      <c r="I167" s="5" t="str">
        <f t="shared" si="4"/>
        <v/>
      </c>
      <c r="J167" s="5" t="str">
        <f t="shared" si="5"/>
        <v/>
      </c>
      <c r="K167" s="5" t="str">
        <f>IFERROR(__xludf.DUMMYFUNCTION("IF(C167&lt;&gt;"""",HYPERLINK(""https://wa.me/507""&amp;REGEXREPLACE(C167,""[^0-9]"","""")&amp;""?text=""&amp;ENCODEURL(""Ya llegue. Codigo: ""&amp;A167&amp;"". Ubicacion: ""&amp;""https://www.google.com/maps/search/?api=1&amp;query=""&amp;SUBSTITUTE(F167,"" "","""")),""📲 Avisar al cliente"""&amp;"),"""")"),"")</f>
        <v/>
      </c>
      <c r="L167" s="5" t="str">
        <f>IFERROR(__xludf.DUMMYFUNCTION("IF(C167&lt;&gt;"""",""https://api.qrserver.com/v1/create-qr-code/?size=200x200&amp;data=""&amp;ENCODEURL(""https://wa.me/507""&amp;REGEXREPLACE(C167,""[^0-9]"","""")&amp;""?text=""&amp;ENCODEURL(""Ya llegue. Codigo: ""&amp;A167&amp;"". Ubicacion: ""&amp;""https://www.google.com/maps/search/?a"&amp;"pi=1&amp;query=""&amp;SUBSTITUTE(F167,"" "",""""))),"""")"),"")</f>
        <v/>
      </c>
      <c r="M167" s="5" t="str">
        <f t="shared" si="6"/>
        <v/>
      </c>
      <c r="N167" s="5" t="str">
        <f>IFERROR(__xludf.DUMMYFUNCTION("IF(AND(F167&lt;&gt;"""",REGEXMATCH(SUBSTITUTE(F167,"" "",""""),""^-?\d+(\.\d+)?,-?\d+(\.\d+)?$""),VALUE(REGEXEXTRACT(SUBSTITUTE(F167,"" "",""""),""^-?\d+(\.\d+)?""))&gt;=-90,VALUE(REGEXEXTRACT(SUBSTITUTE(F167,"" "",""""),""^-?\d+(\.\d+)?""))&lt;=90,VALUE(REGEXEXTRACT"&amp;"(SUBSTITUTE(F167,"" "",""""),""-?\d+(\.\d+)?$""))&gt;=-180,VALUE(REGEXEXTRACT(SUBSTITUTE(F167,"" "",""""),""-?\d+(\.\d+)?$""))&lt;=180),""OK"",""REVISAR"")"),"#N/A")</f>
        <v>#N/A</v>
      </c>
    </row>
    <row r="168" ht="15.75" customHeight="1">
      <c r="A168" s="5" t="str">
        <f t="shared" si="1"/>
        <v>AD507-0166</v>
      </c>
      <c r="C168" s="5"/>
      <c r="F168" s="5"/>
      <c r="G168" s="5" t="str">
        <f t="shared" si="2"/>
        <v/>
      </c>
      <c r="H168" s="5" t="str">
        <f t="shared" si="3"/>
        <v/>
      </c>
      <c r="I168" s="5" t="str">
        <f t="shared" si="4"/>
        <v/>
      </c>
      <c r="J168" s="5" t="str">
        <f t="shared" si="5"/>
        <v/>
      </c>
      <c r="K168" s="5" t="str">
        <f>IFERROR(__xludf.DUMMYFUNCTION("IF(C168&lt;&gt;"""",HYPERLINK(""https://wa.me/507""&amp;REGEXREPLACE(C168,""[^0-9]"","""")&amp;""?text=""&amp;ENCODEURL(""Ya llegue. Codigo: ""&amp;A168&amp;"". Ubicacion: ""&amp;""https://www.google.com/maps/search/?api=1&amp;query=""&amp;SUBSTITUTE(F168,"" "","""")),""📲 Avisar al cliente"""&amp;"),"""")"),"")</f>
        <v/>
      </c>
      <c r="L168" s="5" t="str">
        <f>IFERROR(__xludf.DUMMYFUNCTION("IF(C168&lt;&gt;"""",""https://api.qrserver.com/v1/create-qr-code/?size=200x200&amp;data=""&amp;ENCODEURL(""https://wa.me/507""&amp;REGEXREPLACE(C168,""[^0-9]"","""")&amp;""?text=""&amp;ENCODEURL(""Ya llegue. Codigo: ""&amp;A168&amp;"". Ubicacion: ""&amp;""https://www.google.com/maps/search/?a"&amp;"pi=1&amp;query=""&amp;SUBSTITUTE(F168,"" "",""""))),"""")"),"")</f>
        <v/>
      </c>
      <c r="M168" s="5" t="str">
        <f t="shared" si="6"/>
        <v/>
      </c>
      <c r="N168" s="5" t="str">
        <f>IFERROR(__xludf.DUMMYFUNCTION("IF(AND(F168&lt;&gt;"""",REGEXMATCH(SUBSTITUTE(F168,"" "",""""),""^-?\d+(\.\d+)?,-?\d+(\.\d+)?$""),VALUE(REGEXEXTRACT(SUBSTITUTE(F168,"" "",""""),""^-?\d+(\.\d+)?""))&gt;=-90,VALUE(REGEXEXTRACT(SUBSTITUTE(F168,"" "",""""),""^-?\d+(\.\d+)?""))&lt;=90,VALUE(REGEXEXTRACT"&amp;"(SUBSTITUTE(F168,"" "",""""),""-?\d+(\.\d+)?$""))&gt;=-180,VALUE(REGEXEXTRACT(SUBSTITUTE(F168,"" "",""""),""-?\d+(\.\d+)?$""))&lt;=180),""OK"",""REVISAR"")"),"#N/A")</f>
        <v>#N/A</v>
      </c>
    </row>
    <row r="169" ht="15.75" customHeight="1">
      <c r="A169" s="5" t="str">
        <f t="shared" si="1"/>
        <v>AD507-0167</v>
      </c>
      <c r="C169" s="5"/>
      <c r="F169" s="5"/>
      <c r="G169" s="5" t="str">
        <f t="shared" si="2"/>
        <v/>
      </c>
      <c r="H169" s="5" t="str">
        <f t="shared" si="3"/>
        <v/>
      </c>
      <c r="I169" s="5" t="str">
        <f t="shared" si="4"/>
        <v/>
      </c>
      <c r="J169" s="5" t="str">
        <f t="shared" si="5"/>
        <v/>
      </c>
      <c r="K169" s="5" t="str">
        <f>IFERROR(__xludf.DUMMYFUNCTION("IF(C169&lt;&gt;"""",HYPERLINK(""https://wa.me/507""&amp;REGEXREPLACE(C169,""[^0-9]"","""")&amp;""?text=""&amp;ENCODEURL(""Ya llegue. Codigo: ""&amp;A169&amp;"". Ubicacion: ""&amp;""https://www.google.com/maps/search/?api=1&amp;query=""&amp;SUBSTITUTE(F169,"" "","""")),""📲 Avisar al cliente"""&amp;"),"""")"),"")</f>
        <v/>
      </c>
      <c r="L169" s="5" t="str">
        <f>IFERROR(__xludf.DUMMYFUNCTION("IF(C169&lt;&gt;"""",""https://api.qrserver.com/v1/create-qr-code/?size=200x200&amp;data=""&amp;ENCODEURL(""https://wa.me/507""&amp;REGEXREPLACE(C169,""[^0-9]"","""")&amp;""?text=""&amp;ENCODEURL(""Ya llegue. Codigo: ""&amp;A169&amp;"". Ubicacion: ""&amp;""https://www.google.com/maps/search/?a"&amp;"pi=1&amp;query=""&amp;SUBSTITUTE(F169,"" "",""""))),"""")"),"")</f>
        <v/>
      </c>
      <c r="M169" s="5" t="str">
        <f t="shared" si="6"/>
        <v/>
      </c>
      <c r="N169" s="5" t="str">
        <f>IFERROR(__xludf.DUMMYFUNCTION("IF(AND(F169&lt;&gt;"""",REGEXMATCH(SUBSTITUTE(F169,"" "",""""),""^-?\d+(\.\d+)?,-?\d+(\.\d+)?$""),VALUE(REGEXEXTRACT(SUBSTITUTE(F169,"" "",""""),""^-?\d+(\.\d+)?""))&gt;=-90,VALUE(REGEXEXTRACT(SUBSTITUTE(F169,"" "",""""),""^-?\d+(\.\d+)?""))&lt;=90,VALUE(REGEXEXTRACT"&amp;"(SUBSTITUTE(F169,"" "",""""),""-?\d+(\.\d+)?$""))&gt;=-180,VALUE(REGEXEXTRACT(SUBSTITUTE(F169,"" "",""""),""-?\d+(\.\d+)?$""))&lt;=180),""OK"",""REVISAR"")"),"#N/A")</f>
        <v>#N/A</v>
      </c>
    </row>
    <row r="170" ht="15.75" customHeight="1">
      <c r="A170" s="5" t="str">
        <f t="shared" si="1"/>
        <v>AD507-0168</v>
      </c>
      <c r="C170" s="5"/>
      <c r="F170" s="5"/>
      <c r="G170" s="5" t="str">
        <f t="shared" si="2"/>
        <v/>
      </c>
      <c r="H170" s="5" t="str">
        <f t="shared" si="3"/>
        <v/>
      </c>
      <c r="I170" s="5" t="str">
        <f t="shared" si="4"/>
        <v/>
      </c>
      <c r="J170" s="5" t="str">
        <f t="shared" si="5"/>
        <v/>
      </c>
      <c r="K170" s="5" t="str">
        <f>IFERROR(__xludf.DUMMYFUNCTION("IF(C170&lt;&gt;"""",HYPERLINK(""https://wa.me/507""&amp;REGEXREPLACE(C170,""[^0-9]"","""")&amp;""?text=""&amp;ENCODEURL(""Ya llegue. Codigo: ""&amp;A170&amp;"". Ubicacion: ""&amp;""https://www.google.com/maps/search/?api=1&amp;query=""&amp;SUBSTITUTE(F170,"" "","""")),""📲 Avisar al cliente"""&amp;"),"""")"),"")</f>
        <v/>
      </c>
      <c r="L170" s="5" t="str">
        <f>IFERROR(__xludf.DUMMYFUNCTION("IF(C170&lt;&gt;"""",""https://api.qrserver.com/v1/create-qr-code/?size=200x200&amp;data=""&amp;ENCODEURL(""https://wa.me/507""&amp;REGEXREPLACE(C170,""[^0-9]"","""")&amp;""?text=""&amp;ENCODEURL(""Ya llegue. Codigo: ""&amp;A170&amp;"". Ubicacion: ""&amp;""https://www.google.com/maps/search/?a"&amp;"pi=1&amp;query=""&amp;SUBSTITUTE(F170,"" "",""""))),"""")"),"")</f>
        <v/>
      </c>
      <c r="M170" s="5" t="str">
        <f t="shared" si="6"/>
        <v/>
      </c>
      <c r="N170" s="5" t="str">
        <f>IFERROR(__xludf.DUMMYFUNCTION("IF(AND(F170&lt;&gt;"""",REGEXMATCH(SUBSTITUTE(F170,"" "",""""),""^-?\d+(\.\d+)?,-?\d+(\.\d+)?$""),VALUE(REGEXEXTRACT(SUBSTITUTE(F170,"" "",""""),""^-?\d+(\.\d+)?""))&gt;=-90,VALUE(REGEXEXTRACT(SUBSTITUTE(F170,"" "",""""),""^-?\d+(\.\d+)?""))&lt;=90,VALUE(REGEXEXTRACT"&amp;"(SUBSTITUTE(F170,"" "",""""),""-?\d+(\.\d+)?$""))&gt;=-180,VALUE(REGEXEXTRACT(SUBSTITUTE(F170,"" "",""""),""-?\d+(\.\d+)?$""))&lt;=180),""OK"",""REVISAR"")"),"#N/A")</f>
        <v>#N/A</v>
      </c>
    </row>
    <row r="171" ht="15.75" customHeight="1">
      <c r="A171" s="5" t="str">
        <f t="shared" si="1"/>
        <v>AD507-0169</v>
      </c>
      <c r="C171" s="5"/>
      <c r="F171" s="5"/>
      <c r="G171" s="5" t="str">
        <f t="shared" si="2"/>
        <v/>
      </c>
      <c r="H171" s="5" t="str">
        <f t="shared" si="3"/>
        <v/>
      </c>
      <c r="I171" s="5" t="str">
        <f t="shared" si="4"/>
        <v/>
      </c>
      <c r="J171" s="5" t="str">
        <f t="shared" si="5"/>
        <v/>
      </c>
      <c r="K171" s="5" t="str">
        <f>IFERROR(__xludf.DUMMYFUNCTION("IF(C171&lt;&gt;"""",HYPERLINK(""https://wa.me/507""&amp;REGEXREPLACE(C171,""[^0-9]"","""")&amp;""?text=""&amp;ENCODEURL(""Ya llegue. Codigo: ""&amp;A171&amp;"". Ubicacion: ""&amp;""https://www.google.com/maps/search/?api=1&amp;query=""&amp;SUBSTITUTE(F171,"" "","""")),""📲 Avisar al cliente"""&amp;"),"""")"),"")</f>
        <v/>
      </c>
      <c r="L171" s="5" t="str">
        <f>IFERROR(__xludf.DUMMYFUNCTION("IF(C171&lt;&gt;"""",""https://api.qrserver.com/v1/create-qr-code/?size=200x200&amp;data=""&amp;ENCODEURL(""https://wa.me/507""&amp;REGEXREPLACE(C171,""[^0-9]"","""")&amp;""?text=""&amp;ENCODEURL(""Ya llegue. Codigo: ""&amp;A171&amp;"". Ubicacion: ""&amp;""https://www.google.com/maps/search/?a"&amp;"pi=1&amp;query=""&amp;SUBSTITUTE(F171,"" "",""""))),"""")"),"")</f>
        <v/>
      </c>
      <c r="M171" s="5" t="str">
        <f t="shared" si="6"/>
        <v/>
      </c>
      <c r="N171" s="5" t="str">
        <f>IFERROR(__xludf.DUMMYFUNCTION("IF(AND(F171&lt;&gt;"""",REGEXMATCH(SUBSTITUTE(F171,"" "",""""),""^-?\d+(\.\d+)?,-?\d+(\.\d+)?$""),VALUE(REGEXEXTRACT(SUBSTITUTE(F171,"" "",""""),""^-?\d+(\.\d+)?""))&gt;=-90,VALUE(REGEXEXTRACT(SUBSTITUTE(F171,"" "",""""),""^-?\d+(\.\d+)?""))&lt;=90,VALUE(REGEXEXTRACT"&amp;"(SUBSTITUTE(F171,"" "",""""),""-?\d+(\.\d+)?$""))&gt;=-180,VALUE(REGEXEXTRACT(SUBSTITUTE(F171,"" "",""""),""-?\d+(\.\d+)?$""))&lt;=180),""OK"",""REVISAR"")"),"#N/A")</f>
        <v>#N/A</v>
      </c>
    </row>
    <row r="172" ht="15.75" customHeight="1">
      <c r="A172" s="5" t="str">
        <f t="shared" si="1"/>
        <v>AD507-0170</v>
      </c>
      <c r="C172" s="5"/>
      <c r="F172" s="5"/>
      <c r="G172" s="5" t="str">
        <f t="shared" si="2"/>
        <v/>
      </c>
      <c r="H172" s="5" t="str">
        <f t="shared" si="3"/>
        <v/>
      </c>
      <c r="I172" s="5" t="str">
        <f t="shared" si="4"/>
        <v/>
      </c>
      <c r="J172" s="5" t="str">
        <f t="shared" si="5"/>
        <v/>
      </c>
      <c r="K172" s="5" t="str">
        <f>IFERROR(__xludf.DUMMYFUNCTION("IF(C172&lt;&gt;"""",HYPERLINK(""https://wa.me/507""&amp;REGEXREPLACE(C172,""[^0-9]"","""")&amp;""?text=""&amp;ENCODEURL(""Ya llegue. Codigo: ""&amp;A172&amp;"". Ubicacion: ""&amp;""https://www.google.com/maps/search/?api=1&amp;query=""&amp;SUBSTITUTE(F172,"" "","""")),""📲 Avisar al cliente"""&amp;"),"""")"),"")</f>
        <v/>
      </c>
      <c r="L172" s="5" t="str">
        <f>IFERROR(__xludf.DUMMYFUNCTION("IF(C172&lt;&gt;"""",""https://api.qrserver.com/v1/create-qr-code/?size=200x200&amp;data=""&amp;ENCODEURL(""https://wa.me/507""&amp;REGEXREPLACE(C172,""[^0-9]"","""")&amp;""?text=""&amp;ENCODEURL(""Ya llegue. Codigo: ""&amp;A172&amp;"". Ubicacion: ""&amp;""https://www.google.com/maps/search/?a"&amp;"pi=1&amp;query=""&amp;SUBSTITUTE(F172,"" "",""""))),"""")"),"")</f>
        <v/>
      </c>
      <c r="M172" s="5" t="str">
        <f t="shared" si="6"/>
        <v/>
      </c>
      <c r="N172" s="5" t="str">
        <f>IFERROR(__xludf.DUMMYFUNCTION("IF(AND(F172&lt;&gt;"""",REGEXMATCH(SUBSTITUTE(F172,"" "",""""),""^-?\d+(\.\d+)?,-?\d+(\.\d+)?$""),VALUE(REGEXEXTRACT(SUBSTITUTE(F172,"" "",""""),""^-?\d+(\.\d+)?""))&gt;=-90,VALUE(REGEXEXTRACT(SUBSTITUTE(F172,"" "",""""),""^-?\d+(\.\d+)?""))&lt;=90,VALUE(REGEXEXTRACT"&amp;"(SUBSTITUTE(F172,"" "",""""),""-?\d+(\.\d+)?$""))&gt;=-180,VALUE(REGEXEXTRACT(SUBSTITUTE(F172,"" "",""""),""-?\d+(\.\d+)?$""))&lt;=180),""OK"",""REVISAR"")"),"#N/A")</f>
        <v>#N/A</v>
      </c>
    </row>
    <row r="173" ht="15.75" customHeight="1">
      <c r="A173" s="5" t="str">
        <f t="shared" si="1"/>
        <v>AD507-0171</v>
      </c>
      <c r="C173" s="5"/>
      <c r="F173" s="5"/>
      <c r="G173" s="5" t="str">
        <f t="shared" si="2"/>
        <v/>
      </c>
      <c r="H173" s="5" t="str">
        <f t="shared" si="3"/>
        <v/>
      </c>
      <c r="I173" s="5" t="str">
        <f t="shared" si="4"/>
        <v/>
      </c>
      <c r="J173" s="5" t="str">
        <f t="shared" si="5"/>
        <v/>
      </c>
      <c r="K173" s="5" t="str">
        <f>IFERROR(__xludf.DUMMYFUNCTION("IF(C173&lt;&gt;"""",HYPERLINK(""https://wa.me/507""&amp;REGEXREPLACE(C173,""[^0-9]"","""")&amp;""?text=""&amp;ENCODEURL(""Ya llegue. Codigo: ""&amp;A173&amp;"". Ubicacion: ""&amp;""https://www.google.com/maps/search/?api=1&amp;query=""&amp;SUBSTITUTE(F173,"" "","""")),""📲 Avisar al cliente"""&amp;"),"""")"),"")</f>
        <v/>
      </c>
      <c r="L173" s="5" t="str">
        <f>IFERROR(__xludf.DUMMYFUNCTION("IF(C173&lt;&gt;"""",""https://api.qrserver.com/v1/create-qr-code/?size=200x200&amp;data=""&amp;ENCODEURL(""https://wa.me/507""&amp;REGEXREPLACE(C173,""[^0-9]"","""")&amp;""?text=""&amp;ENCODEURL(""Ya llegue. Codigo: ""&amp;A173&amp;"". Ubicacion: ""&amp;""https://www.google.com/maps/search/?a"&amp;"pi=1&amp;query=""&amp;SUBSTITUTE(F173,"" "",""""))),"""")"),"")</f>
        <v/>
      </c>
      <c r="M173" s="5" t="str">
        <f t="shared" si="6"/>
        <v/>
      </c>
      <c r="N173" s="5" t="str">
        <f>IFERROR(__xludf.DUMMYFUNCTION("IF(AND(F173&lt;&gt;"""",REGEXMATCH(SUBSTITUTE(F173,"" "",""""),""^-?\d+(\.\d+)?,-?\d+(\.\d+)?$""),VALUE(REGEXEXTRACT(SUBSTITUTE(F173,"" "",""""),""^-?\d+(\.\d+)?""))&gt;=-90,VALUE(REGEXEXTRACT(SUBSTITUTE(F173,"" "",""""),""^-?\d+(\.\d+)?""))&lt;=90,VALUE(REGEXEXTRACT"&amp;"(SUBSTITUTE(F173,"" "",""""),""-?\d+(\.\d+)?$""))&gt;=-180,VALUE(REGEXEXTRACT(SUBSTITUTE(F173,"" "",""""),""-?\d+(\.\d+)?$""))&lt;=180),""OK"",""REVISAR"")"),"#N/A")</f>
        <v>#N/A</v>
      </c>
    </row>
    <row r="174" ht="15.75" customHeight="1">
      <c r="A174" s="5" t="str">
        <f t="shared" si="1"/>
        <v>AD507-0172</v>
      </c>
      <c r="C174" s="5"/>
      <c r="F174" s="5"/>
      <c r="G174" s="5" t="str">
        <f t="shared" si="2"/>
        <v/>
      </c>
      <c r="H174" s="5" t="str">
        <f t="shared" si="3"/>
        <v/>
      </c>
      <c r="I174" s="5" t="str">
        <f t="shared" si="4"/>
        <v/>
      </c>
      <c r="J174" s="5" t="str">
        <f t="shared" si="5"/>
        <v/>
      </c>
      <c r="K174" s="5" t="str">
        <f>IFERROR(__xludf.DUMMYFUNCTION("IF(C174&lt;&gt;"""",HYPERLINK(""https://wa.me/507""&amp;REGEXREPLACE(C174,""[^0-9]"","""")&amp;""?text=""&amp;ENCODEURL(""Ya llegue. Codigo: ""&amp;A174&amp;"". Ubicacion: ""&amp;""https://www.google.com/maps/search/?api=1&amp;query=""&amp;SUBSTITUTE(F174,"" "","""")),""📲 Avisar al cliente"""&amp;"),"""")"),"")</f>
        <v/>
      </c>
      <c r="L174" s="5" t="str">
        <f>IFERROR(__xludf.DUMMYFUNCTION("IF(C174&lt;&gt;"""",""https://api.qrserver.com/v1/create-qr-code/?size=200x200&amp;data=""&amp;ENCODEURL(""https://wa.me/507""&amp;REGEXREPLACE(C174,""[^0-9]"","""")&amp;""?text=""&amp;ENCODEURL(""Ya llegue. Codigo: ""&amp;A174&amp;"". Ubicacion: ""&amp;""https://www.google.com/maps/search/?a"&amp;"pi=1&amp;query=""&amp;SUBSTITUTE(F174,"" "",""""))),"""")"),"")</f>
        <v/>
      </c>
      <c r="M174" s="5" t="str">
        <f t="shared" si="6"/>
        <v/>
      </c>
      <c r="N174" s="5" t="str">
        <f>IFERROR(__xludf.DUMMYFUNCTION("IF(AND(F174&lt;&gt;"""",REGEXMATCH(SUBSTITUTE(F174,"" "",""""),""^-?\d+(\.\d+)?,-?\d+(\.\d+)?$""),VALUE(REGEXEXTRACT(SUBSTITUTE(F174,"" "",""""),""^-?\d+(\.\d+)?""))&gt;=-90,VALUE(REGEXEXTRACT(SUBSTITUTE(F174,"" "",""""),""^-?\d+(\.\d+)?""))&lt;=90,VALUE(REGEXEXTRACT"&amp;"(SUBSTITUTE(F174,"" "",""""),""-?\d+(\.\d+)?$""))&gt;=-180,VALUE(REGEXEXTRACT(SUBSTITUTE(F174,"" "",""""),""-?\d+(\.\d+)?$""))&lt;=180),""OK"",""REVISAR"")"),"#N/A")</f>
        <v>#N/A</v>
      </c>
    </row>
    <row r="175" ht="15.75" customHeight="1">
      <c r="A175" s="5" t="str">
        <f t="shared" si="1"/>
        <v>AD507-0173</v>
      </c>
      <c r="C175" s="5"/>
      <c r="F175" s="5"/>
      <c r="G175" s="5" t="str">
        <f t="shared" si="2"/>
        <v/>
      </c>
      <c r="H175" s="5" t="str">
        <f t="shared" si="3"/>
        <v/>
      </c>
      <c r="I175" s="5" t="str">
        <f t="shared" si="4"/>
        <v/>
      </c>
      <c r="J175" s="5" t="str">
        <f t="shared" si="5"/>
        <v/>
      </c>
      <c r="K175" s="5" t="str">
        <f>IFERROR(__xludf.DUMMYFUNCTION("IF(C175&lt;&gt;"""",HYPERLINK(""https://wa.me/507""&amp;REGEXREPLACE(C175,""[^0-9]"","""")&amp;""?text=""&amp;ENCODEURL(""Ya llegue. Codigo: ""&amp;A175&amp;"". Ubicacion: ""&amp;""https://www.google.com/maps/search/?api=1&amp;query=""&amp;SUBSTITUTE(F175,"" "","""")),""📲 Avisar al cliente"""&amp;"),"""")"),"")</f>
        <v/>
      </c>
      <c r="L175" s="5" t="str">
        <f>IFERROR(__xludf.DUMMYFUNCTION("IF(C175&lt;&gt;"""",""https://api.qrserver.com/v1/create-qr-code/?size=200x200&amp;data=""&amp;ENCODEURL(""https://wa.me/507""&amp;REGEXREPLACE(C175,""[^0-9]"","""")&amp;""?text=""&amp;ENCODEURL(""Ya llegue. Codigo: ""&amp;A175&amp;"". Ubicacion: ""&amp;""https://www.google.com/maps/search/?a"&amp;"pi=1&amp;query=""&amp;SUBSTITUTE(F175,"" "",""""))),"""")"),"")</f>
        <v/>
      </c>
      <c r="M175" s="5" t="str">
        <f t="shared" si="6"/>
        <v/>
      </c>
      <c r="N175" s="5" t="str">
        <f>IFERROR(__xludf.DUMMYFUNCTION("IF(AND(F175&lt;&gt;"""",REGEXMATCH(SUBSTITUTE(F175,"" "",""""),""^-?\d+(\.\d+)?,-?\d+(\.\d+)?$""),VALUE(REGEXEXTRACT(SUBSTITUTE(F175,"" "",""""),""^-?\d+(\.\d+)?""))&gt;=-90,VALUE(REGEXEXTRACT(SUBSTITUTE(F175,"" "",""""),""^-?\d+(\.\d+)?""))&lt;=90,VALUE(REGEXEXTRACT"&amp;"(SUBSTITUTE(F175,"" "",""""),""-?\d+(\.\d+)?$""))&gt;=-180,VALUE(REGEXEXTRACT(SUBSTITUTE(F175,"" "",""""),""-?\d+(\.\d+)?$""))&lt;=180),""OK"",""REVISAR"")"),"#N/A")</f>
        <v>#N/A</v>
      </c>
    </row>
    <row r="176" ht="15.75" customHeight="1">
      <c r="A176" s="5" t="str">
        <f t="shared" si="1"/>
        <v>AD507-0174</v>
      </c>
      <c r="C176" s="5"/>
      <c r="F176" s="5"/>
      <c r="G176" s="5" t="str">
        <f t="shared" si="2"/>
        <v/>
      </c>
      <c r="H176" s="5" t="str">
        <f t="shared" si="3"/>
        <v/>
      </c>
      <c r="I176" s="5" t="str">
        <f t="shared" si="4"/>
        <v/>
      </c>
      <c r="J176" s="5" t="str">
        <f t="shared" si="5"/>
        <v/>
      </c>
      <c r="K176" s="5" t="str">
        <f>IFERROR(__xludf.DUMMYFUNCTION("IF(C176&lt;&gt;"""",HYPERLINK(""https://wa.me/507""&amp;REGEXREPLACE(C176,""[^0-9]"","""")&amp;""?text=""&amp;ENCODEURL(""Ya llegue. Codigo: ""&amp;A176&amp;"". Ubicacion: ""&amp;""https://www.google.com/maps/search/?api=1&amp;query=""&amp;SUBSTITUTE(F176,"" "","""")),""📲 Avisar al cliente"""&amp;"),"""")"),"")</f>
        <v/>
      </c>
      <c r="L176" s="5" t="str">
        <f>IFERROR(__xludf.DUMMYFUNCTION("IF(C176&lt;&gt;"""",""https://api.qrserver.com/v1/create-qr-code/?size=200x200&amp;data=""&amp;ENCODEURL(""https://wa.me/507""&amp;REGEXREPLACE(C176,""[^0-9]"","""")&amp;""?text=""&amp;ENCODEURL(""Ya llegue. Codigo: ""&amp;A176&amp;"". Ubicacion: ""&amp;""https://www.google.com/maps/search/?a"&amp;"pi=1&amp;query=""&amp;SUBSTITUTE(F176,"" "",""""))),"""")"),"")</f>
        <v/>
      </c>
      <c r="M176" s="5" t="str">
        <f t="shared" si="6"/>
        <v/>
      </c>
      <c r="N176" s="5" t="str">
        <f>IFERROR(__xludf.DUMMYFUNCTION("IF(AND(F176&lt;&gt;"""",REGEXMATCH(SUBSTITUTE(F176,"" "",""""),""^-?\d+(\.\d+)?,-?\d+(\.\d+)?$""),VALUE(REGEXEXTRACT(SUBSTITUTE(F176,"" "",""""),""^-?\d+(\.\d+)?""))&gt;=-90,VALUE(REGEXEXTRACT(SUBSTITUTE(F176,"" "",""""),""^-?\d+(\.\d+)?""))&lt;=90,VALUE(REGEXEXTRACT"&amp;"(SUBSTITUTE(F176,"" "",""""),""-?\d+(\.\d+)?$""))&gt;=-180,VALUE(REGEXEXTRACT(SUBSTITUTE(F176,"" "",""""),""-?\d+(\.\d+)?$""))&lt;=180),""OK"",""REVISAR"")"),"#N/A")</f>
        <v>#N/A</v>
      </c>
    </row>
    <row r="177" ht="15.75" customHeight="1">
      <c r="A177" s="5" t="str">
        <f t="shared" si="1"/>
        <v>AD507-0175</v>
      </c>
      <c r="C177" s="5"/>
      <c r="F177" s="5"/>
      <c r="G177" s="5" t="str">
        <f t="shared" si="2"/>
        <v/>
      </c>
      <c r="H177" s="5" t="str">
        <f t="shared" si="3"/>
        <v/>
      </c>
      <c r="I177" s="5" t="str">
        <f t="shared" si="4"/>
        <v/>
      </c>
      <c r="J177" s="5" t="str">
        <f t="shared" si="5"/>
        <v/>
      </c>
      <c r="K177" s="5" t="str">
        <f>IFERROR(__xludf.DUMMYFUNCTION("IF(C177&lt;&gt;"""",HYPERLINK(""https://wa.me/507""&amp;REGEXREPLACE(C177,""[^0-9]"","""")&amp;""?text=""&amp;ENCODEURL(""Ya llegue. Codigo: ""&amp;A177&amp;"". Ubicacion: ""&amp;""https://www.google.com/maps/search/?api=1&amp;query=""&amp;SUBSTITUTE(F177,"" "","""")),""📲 Avisar al cliente"""&amp;"),"""")"),"")</f>
        <v/>
      </c>
      <c r="L177" s="5" t="str">
        <f>IFERROR(__xludf.DUMMYFUNCTION("IF(C177&lt;&gt;"""",""https://api.qrserver.com/v1/create-qr-code/?size=200x200&amp;data=""&amp;ENCODEURL(""https://wa.me/507""&amp;REGEXREPLACE(C177,""[^0-9]"","""")&amp;""?text=""&amp;ENCODEURL(""Ya llegue. Codigo: ""&amp;A177&amp;"". Ubicacion: ""&amp;""https://www.google.com/maps/search/?a"&amp;"pi=1&amp;query=""&amp;SUBSTITUTE(F177,"" "",""""))),"""")"),"")</f>
        <v/>
      </c>
      <c r="M177" s="5" t="str">
        <f t="shared" si="6"/>
        <v/>
      </c>
      <c r="N177" s="5" t="str">
        <f>IFERROR(__xludf.DUMMYFUNCTION("IF(AND(F177&lt;&gt;"""",REGEXMATCH(SUBSTITUTE(F177,"" "",""""),""^-?\d+(\.\d+)?,-?\d+(\.\d+)?$""),VALUE(REGEXEXTRACT(SUBSTITUTE(F177,"" "",""""),""^-?\d+(\.\d+)?""))&gt;=-90,VALUE(REGEXEXTRACT(SUBSTITUTE(F177,"" "",""""),""^-?\d+(\.\d+)?""))&lt;=90,VALUE(REGEXEXTRACT"&amp;"(SUBSTITUTE(F177,"" "",""""),""-?\d+(\.\d+)?$""))&gt;=-180,VALUE(REGEXEXTRACT(SUBSTITUTE(F177,"" "",""""),""-?\d+(\.\d+)?$""))&lt;=180),""OK"",""REVISAR"")"),"#N/A")</f>
        <v>#N/A</v>
      </c>
    </row>
    <row r="178" ht="15.75" customHeight="1">
      <c r="A178" s="5" t="str">
        <f t="shared" si="1"/>
        <v>AD507-0176</v>
      </c>
      <c r="C178" s="5"/>
      <c r="F178" s="5"/>
      <c r="G178" s="5" t="str">
        <f t="shared" si="2"/>
        <v/>
      </c>
      <c r="H178" s="5" t="str">
        <f t="shared" si="3"/>
        <v/>
      </c>
      <c r="I178" s="5" t="str">
        <f t="shared" si="4"/>
        <v/>
      </c>
      <c r="J178" s="5" t="str">
        <f t="shared" si="5"/>
        <v/>
      </c>
      <c r="K178" s="5" t="str">
        <f>IFERROR(__xludf.DUMMYFUNCTION("IF(C178&lt;&gt;"""",HYPERLINK(""https://wa.me/507""&amp;REGEXREPLACE(C178,""[^0-9]"","""")&amp;""?text=""&amp;ENCODEURL(""Ya llegue. Codigo: ""&amp;A178&amp;"". Ubicacion: ""&amp;""https://www.google.com/maps/search/?api=1&amp;query=""&amp;SUBSTITUTE(F178,"" "","""")),""📲 Avisar al cliente"""&amp;"),"""")"),"")</f>
        <v/>
      </c>
      <c r="L178" s="5" t="str">
        <f>IFERROR(__xludf.DUMMYFUNCTION("IF(C178&lt;&gt;"""",""https://api.qrserver.com/v1/create-qr-code/?size=200x200&amp;data=""&amp;ENCODEURL(""https://wa.me/507""&amp;REGEXREPLACE(C178,""[^0-9]"","""")&amp;""?text=""&amp;ENCODEURL(""Ya llegue. Codigo: ""&amp;A178&amp;"". Ubicacion: ""&amp;""https://www.google.com/maps/search/?a"&amp;"pi=1&amp;query=""&amp;SUBSTITUTE(F178,"" "",""""))),"""")"),"")</f>
        <v/>
      </c>
      <c r="M178" s="5" t="str">
        <f t="shared" si="6"/>
        <v/>
      </c>
      <c r="N178" s="5" t="str">
        <f>IFERROR(__xludf.DUMMYFUNCTION("IF(AND(F178&lt;&gt;"""",REGEXMATCH(SUBSTITUTE(F178,"" "",""""),""^-?\d+(\.\d+)?,-?\d+(\.\d+)?$""),VALUE(REGEXEXTRACT(SUBSTITUTE(F178,"" "",""""),""^-?\d+(\.\d+)?""))&gt;=-90,VALUE(REGEXEXTRACT(SUBSTITUTE(F178,"" "",""""),""^-?\d+(\.\d+)?""))&lt;=90,VALUE(REGEXEXTRACT"&amp;"(SUBSTITUTE(F178,"" "",""""),""-?\d+(\.\d+)?$""))&gt;=-180,VALUE(REGEXEXTRACT(SUBSTITUTE(F178,"" "",""""),""-?\d+(\.\d+)?$""))&lt;=180),""OK"",""REVISAR"")"),"#N/A")</f>
        <v>#N/A</v>
      </c>
    </row>
    <row r="179" ht="15.75" customHeight="1">
      <c r="A179" s="5" t="str">
        <f t="shared" si="1"/>
        <v>AD507-0177</v>
      </c>
      <c r="C179" s="5"/>
      <c r="F179" s="5"/>
      <c r="G179" s="5" t="str">
        <f t="shared" si="2"/>
        <v/>
      </c>
      <c r="H179" s="5" t="str">
        <f t="shared" si="3"/>
        <v/>
      </c>
      <c r="I179" s="5" t="str">
        <f t="shared" si="4"/>
        <v/>
      </c>
      <c r="J179" s="5" t="str">
        <f t="shared" si="5"/>
        <v/>
      </c>
      <c r="K179" s="5" t="str">
        <f>IFERROR(__xludf.DUMMYFUNCTION("IF(C179&lt;&gt;"""",HYPERLINK(""https://wa.me/507""&amp;REGEXREPLACE(C179,""[^0-9]"","""")&amp;""?text=""&amp;ENCODEURL(""Ya llegue. Codigo: ""&amp;A179&amp;"". Ubicacion: ""&amp;""https://www.google.com/maps/search/?api=1&amp;query=""&amp;SUBSTITUTE(F179,"" "","""")),""📲 Avisar al cliente"""&amp;"),"""")"),"")</f>
        <v/>
      </c>
      <c r="L179" s="5" t="str">
        <f>IFERROR(__xludf.DUMMYFUNCTION("IF(C179&lt;&gt;"""",""https://api.qrserver.com/v1/create-qr-code/?size=200x200&amp;data=""&amp;ENCODEURL(""https://wa.me/507""&amp;REGEXREPLACE(C179,""[^0-9]"","""")&amp;""?text=""&amp;ENCODEURL(""Ya llegue. Codigo: ""&amp;A179&amp;"". Ubicacion: ""&amp;""https://www.google.com/maps/search/?a"&amp;"pi=1&amp;query=""&amp;SUBSTITUTE(F179,"" "",""""))),"""")"),"")</f>
        <v/>
      </c>
      <c r="M179" s="5" t="str">
        <f t="shared" si="6"/>
        <v/>
      </c>
      <c r="N179" s="5" t="str">
        <f>IFERROR(__xludf.DUMMYFUNCTION("IF(AND(F179&lt;&gt;"""",REGEXMATCH(SUBSTITUTE(F179,"" "",""""),""^-?\d+(\.\d+)?,-?\d+(\.\d+)?$""),VALUE(REGEXEXTRACT(SUBSTITUTE(F179,"" "",""""),""^-?\d+(\.\d+)?""))&gt;=-90,VALUE(REGEXEXTRACT(SUBSTITUTE(F179,"" "",""""),""^-?\d+(\.\d+)?""))&lt;=90,VALUE(REGEXEXTRACT"&amp;"(SUBSTITUTE(F179,"" "",""""),""-?\d+(\.\d+)?$""))&gt;=-180,VALUE(REGEXEXTRACT(SUBSTITUTE(F179,"" "",""""),""-?\d+(\.\d+)?$""))&lt;=180),""OK"",""REVISAR"")"),"#N/A")</f>
        <v>#N/A</v>
      </c>
    </row>
    <row r="180" ht="15.75" customHeight="1">
      <c r="A180" s="5" t="str">
        <f t="shared" si="1"/>
        <v>AD507-0178</v>
      </c>
      <c r="C180" s="5"/>
      <c r="F180" s="5"/>
      <c r="G180" s="5" t="str">
        <f t="shared" si="2"/>
        <v/>
      </c>
      <c r="H180" s="5" t="str">
        <f t="shared" si="3"/>
        <v/>
      </c>
      <c r="I180" s="5" t="str">
        <f t="shared" si="4"/>
        <v/>
      </c>
      <c r="J180" s="5" t="str">
        <f t="shared" si="5"/>
        <v/>
      </c>
      <c r="K180" s="5" t="str">
        <f>IFERROR(__xludf.DUMMYFUNCTION("IF(C180&lt;&gt;"""",HYPERLINK(""https://wa.me/507""&amp;REGEXREPLACE(C180,""[^0-9]"","""")&amp;""?text=""&amp;ENCODEURL(""Ya llegue. Codigo: ""&amp;A180&amp;"". Ubicacion: ""&amp;""https://www.google.com/maps/search/?api=1&amp;query=""&amp;SUBSTITUTE(F180,"" "","""")),""📲 Avisar al cliente"""&amp;"),"""")"),"")</f>
        <v/>
      </c>
      <c r="L180" s="5" t="str">
        <f>IFERROR(__xludf.DUMMYFUNCTION("IF(C180&lt;&gt;"""",""https://api.qrserver.com/v1/create-qr-code/?size=200x200&amp;data=""&amp;ENCODEURL(""https://wa.me/507""&amp;REGEXREPLACE(C180,""[^0-9]"","""")&amp;""?text=""&amp;ENCODEURL(""Ya llegue. Codigo: ""&amp;A180&amp;"". Ubicacion: ""&amp;""https://www.google.com/maps/search/?a"&amp;"pi=1&amp;query=""&amp;SUBSTITUTE(F180,"" "",""""))),"""")"),"")</f>
        <v/>
      </c>
      <c r="M180" s="5" t="str">
        <f t="shared" si="6"/>
        <v/>
      </c>
      <c r="N180" s="5" t="str">
        <f>IFERROR(__xludf.DUMMYFUNCTION("IF(AND(F180&lt;&gt;"""",REGEXMATCH(SUBSTITUTE(F180,"" "",""""),""^-?\d+(\.\d+)?,-?\d+(\.\d+)?$""),VALUE(REGEXEXTRACT(SUBSTITUTE(F180,"" "",""""),""^-?\d+(\.\d+)?""))&gt;=-90,VALUE(REGEXEXTRACT(SUBSTITUTE(F180,"" "",""""),""^-?\d+(\.\d+)?""))&lt;=90,VALUE(REGEXEXTRACT"&amp;"(SUBSTITUTE(F180,"" "",""""),""-?\d+(\.\d+)?$""))&gt;=-180,VALUE(REGEXEXTRACT(SUBSTITUTE(F180,"" "",""""),""-?\d+(\.\d+)?$""))&lt;=180),""OK"",""REVISAR"")"),"#N/A")</f>
        <v>#N/A</v>
      </c>
    </row>
    <row r="181" ht="15.75" customHeight="1">
      <c r="A181" s="5" t="str">
        <f t="shared" si="1"/>
        <v>AD507-0179</v>
      </c>
      <c r="C181" s="5"/>
      <c r="F181" s="5"/>
      <c r="G181" s="5" t="str">
        <f t="shared" si="2"/>
        <v/>
      </c>
      <c r="H181" s="5" t="str">
        <f t="shared" si="3"/>
        <v/>
      </c>
      <c r="I181" s="5" t="str">
        <f t="shared" si="4"/>
        <v/>
      </c>
      <c r="J181" s="5" t="str">
        <f t="shared" si="5"/>
        <v/>
      </c>
      <c r="K181" s="5" t="str">
        <f>IFERROR(__xludf.DUMMYFUNCTION("IF(C181&lt;&gt;"""",HYPERLINK(""https://wa.me/507""&amp;REGEXREPLACE(C181,""[^0-9]"","""")&amp;""?text=""&amp;ENCODEURL(""Ya llegue. Codigo: ""&amp;A181&amp;"". Ubicacion: ""&amp;""https://www.google.com/maps/search/?api=1&amp;query=""&amp;SUBSTITUTE(F181,"" "","""")),""📲 Avisar al cliente"""&amp;"),"""")"),"")</f>
        <v/>
      </c>
      <c r="L181" s="5" t="str">
        <f>IFERROR(__xludf.DUMMYFUNCTION("IF(C181&lt;&gt;"""",""https://api.qrserver.com/v1/create-qr-code/?size=200x200&amp;data=""&amp;ENCODEURL(""https://wa.me/507""&amp;REGEXREPLACE(C181,""[^0-9]"","""")&amp;""?text=""&amp;ENCODEURL(""Ya llegue. Codigo: ""&amp;A181&amp;"". Ubicacion: ""&amp;""https://www.google.com/maps/search/?a"&amp;"pi=1&amp;query=""&amp;SUBSTITUTE(F181,"" "",""""))),"""")"),"")</f>
        <v/>
      </c>
      <c r="M181" s="5" t="str">
        <f t="shared" si="6"/>
        <v/>
      </c>
      <c r="N181" s="5" t="str">
        <f>IFERROR(__xludf.DUMMYFUNCTION("IF(AND(F181&lt;&gt;"""",REGEXMATCH(SUBSTITUTE(F181,"" "",""""),""^-?\d+(\.\d+)?,-?\d+(\.\d+)?$""),VALUE(REGEXEXTRACT(SUBSTITUTE(F181,"" "",""""),""^-?\d+(\.\d+)?""))&gt;=-90,VALUE(REGEXEXTRACT(SUBSTITUTE(F181,"" "",""""),""^-?\d+(\.\d+)?""))&lt;=90,VALUE(REGEXEXTRACT"&amp;"(SUBSTITUTE(F181,"" "",""""),""-?\d+(\.\d+)?$""))&gt;=-180,VALUE(REGEXEXTRACT(SUBSTITUTE(F181,"" "",""""),""-?\d+(\.\d+)?$""))&lt;=180),""OK"",""REVISAR"")"),"#N/A")</f>
        <v>#N/A</v>
      </c>
    </row>
    <row r="182" ht="15.75" customHeight="1">
      <c r="A182" s="5" t="str">
        <f t="shared" si="1"/>
        <v>AD507-0180</v>
      </c>
      <c r="C182" s="5"/>
      <c r="F182" s="5"/>
      <c r="G182" s="5" t="str">
        <f t="shared" si="2"/>
        <v/>
      </c>
      <c r="H182" s="5" t="str">
        <f t="shared" si="3"/>
        <v/>
      </c>
      <c r="I182" s="5" t="str">
        <f t="shared" si="4"/>
        <v/>
      </c>
      <c r="J182" s="5" t="str">
        <f t="shared" si="5"/>
        <v/>
      </c>
      <c r="K182" s="5" t="str">
        <f>IFERROR(__xludf.DUMMYFUNCTION("IF(C182&lt;&gt;"""",HYPERLINK(""https://wa.me/507""&amp;REGEXREPLACE(C182,""[^0-9]"","""")&amp;""?text=""&amp;ENCODEURL(""Ya llegue. Codigo: ""&amp;A182&amp;"". Ubicacion: ""&amp;""https://www.google.com/maps/search/?api=1&amp;query=""&amp;SUBSTITUTE(F182,"" "","""")),""📲 Avisar al cliente"""&amp;"),"""")"),"")</f>
        <v/>
      </c>
      <c r="L182" s="5" t="str">
        <f>IFERROR(__xludf.DUMMYFUNCTION("IF(C182&lt;&gt;"""",""https://api.qrserver.com/v1/create-qr-code/?size=200x200&amp;data=""&amp;ENCODEURL(""https://wa.me/507""&amp;REGEXREPLACE(C182,""[^0-9]"","""")&amp;""?text=""&amp;ENCODEURL(""Ya llegue. Codigo: ""&amp;A182&amp;"". Ubicacion: ""&amp;""https://www.google.com/maps/search/?a"&amp;"pi=1&amp;query=""&amp;SUBSTITUTE(F182,"" "",""""))),"""")"),"")</f>
        <v/>
      </c>
      <c r="M182" s="5" t="str">
        <f t="shared" si="6"/>
        <v/>
      </c>
      <c r="N182" s="5" t="str">
        <f>IFERROR(__xludf.DUMMYFUNCTION("IF(AND(F182&lt;&gt;"""",REGEXMATCH(SUBSTITUTE(F182,"" "",""""),""^-?\d+(\.\d+)?,-?\d+(\.\d+)?$""),VALUE(REGEXEXTRACT(SUBSTITUTE(F182,"" "",""""),""^-?\d+(\.\d+)?""))&gt;=-90,VALUE(REGEXEXTRACT(SUBSTITUTE(F182,"" "",""""),""^-?\d+(\.\d+)?""))&lt;=90,VALUE(REGEXEXTRACT"&amp;"(SUBSTITUTE(F182,"" "",""""),""-?\d+(\.\d+)?$""))&gt;=-180,VALUE(REGEXEXTRACT(SUBSTITUTE(F182,"" "",""""),""-?\d+(\.\d+)?$""))&lt;=180),""OK"",""REVISAR"")"),"#N/A")</f>
        <v>#N/A</v>
      </c>
    </row>
    <row r="183" ht="15.75" customHeight="1">
      <c r="A183" s="5" t="str">
        <f t="shared" si="1"/>
        <v>AD507-0181</v>
      </c>
      <c r="C183" s="5"/>
      <c r="F183" s="5"/>
      <c r="G183" s="5" t="str">
        <f t="shared" si="2"/>
        <v/>
      </c>
      <c r="H183" s="5" t="str">
        <f t="shared" si="3"/>
        <v/>
      </c>
      <c r="I183" s="5" t="str">
        <f t="shared" si="4"/>
        <v/>
      </c>
      <c r="J183" s="5" t="str">
        <f t="shared" si="5"/>
        <v/>
      </c>
      <c r="K183" s="5" t="str">
        <f>IFERROR(__xludf.DUMMYFUNCTION("IF(C183&lt;&gt;"""",HYPERLINK(""https://wa.me/507""&amp;REGEXREPLACE(C183,""[^0-9]"","""")&amp;""?text=""&amp;ENCODEURL(""Ya llegue. Codigo: ""&amp;A183&amp;"". Ubicacion: ""&amp;""https://www.google.com/maps/search/?api=1&amp;query=""&amp;SUBSTITUTE(F183,"" "","""")),""📲 Avisar al cliente"""&amp;"),"""")"),"")</f>
        <v/>
      </c>
      <c r="L183" s="5" t="str">
        <f>IFERROR(__xludf.DUMMYFUNCTION("IF(C183&lt;&gt;"""",""https://api.qrserver.com/v1/create-qr-code/?size=200x200&amp;data=""&amp;ENCODEURL(""https://wa.me/507""&amp;REGEXREPLACE(C183,""[^0-9]"","""")&amp;""?text=""&amp;ENCODEURL(""Ya llegue. Codigo: ""&amp;A183&amp;"". Ubicacion: ""&amp;""https://www.google.com/maps/search/?a"&amp;"pi=1&amp;query=""&amp;SUBSTITUTE(F183,"" "",""""))),"""")"),"")</f>
        <v/>
      </c>
      <c r="M183" s="5" t="str">
        <f t="shared" si="6"/>
        <v/>
      </c>
      <c r="N183" s="5" t="str">
        <f>IFERROR(__xludf.DUMMYFUNCTION("IF(AND(F183&lt;&gt;"""",REGEXMATCH(SUBSTITUTE(F183,"" "",""""),""^-?\d+(\.\d+)?,-?\d+(\.\d+)?$""),VALUE(REGEXEXTRACT(SUBSTITUTE(F183,"" "",""""),""^-?\d+(\.\d+)?""))&gt;=-90,VALUE(REGEXEXTRACT(SUBSTITUTE(F183,"" "",""""),""^-?\d+(\.\d+)?""))&lt;=90,VALUE(REGEXEXTRACT"&amp;"(SUBSTITUTE(F183,"" "",""""),""-?\d+(\.\d+)?$""))&gt;=-180,VALUE(REGEXEXTRACT(SUBSTITUTE(F183,"" "",""""),""-?\d+(\.\d+)?$""))&lt;=180),""OK"",""REVISAR"")"),"#N/A")</f>
        <v>#N/A</v>
      </c>
    </row>
    <row r="184" ht="15.75" customHeight="1">
      <c r="A184" s="5" t="str">
        <f t="shared" si="1"/>
        <v>AD507-0182</v>
      </c>
      <c r="C184" s="5"/>
      <c r="F184" s="5"/>
      <c r="G184" s="5" t="str">
        <f t="shared" si="2"/>
        <v/>
      </c>
      <c r="H184" s="5" t="str">
        <f t="shared" si="3"/>
        <v/>
      </c>
      <c r="I184" s="5" t="str">
        <f t="shared" si="4"/>
        <v/>
      </c>
      <c r="J184" s="5" t="str">
        <f t="shared" si="5"/>
        <v/>
      </c>
      <c r="K184" s="5" t="str">
        <f>IFERROR(__xludf.DUMMYFUNCTION("IF(C184&lt;&gt;"""",HYPERLINK(""https://wa.me/507""&amp;REGEXREPLACE(C184,""[^0-9]"","""")&amp;""?text=""&amp;ENCODEURL(""Ya llegue. Codigo: ""&amp;A184&amp;"". Ubicacion: ""&amp;""https://www.google.com/maps/search/?api=1&amp;query=""&amp;SUBSTITUTE(F184,"" "","""")),""📲 Avisar al cliente"""&amp;"),"""")"),"")</f>
        <v/>
      </c>
      <c r="L184" s="5" t="str">
        <f>IFERROR(__xludf.DUMMYFUNCTION("IF(C184&lt;&gt;"""",""https://api.qrserver.com/v1/create-qr-code/?size=200x200&amp;data=""&amp;ENCODEURL(""https://wa.me/507""&amp;REGEXREPLACE(C184,""[^0-9]"","""")&amp;""?text=""&amp;ENCODEURL(""Ya llegue. Codigo: ""&amp;A184&amp;"". Ubicacion: ""&amp;""https://www.google.com/maps/search/?a"&amp;"pi=1&amp;query=""&amp;SUBSTITUTE(F184,"" "",""""))),"""")"),"")</f>
        <v/>
      </c>
      <c r="M184" s="5" t="str">
        <f t="shared" si="6"/>
        <v/>
      </c>
      <c r="N184" s="5" t="str">
        <f>IFERROR(__xludf.DUMMYFUNCTION("IF(AND(F184&lt;&gt;"""",REGEXMATCH(SUBSTITUTE(F184,"" "",""""),""^-?\d+(\.\d+)?,-?\d+(\.\d+)?$""),VALUE(REGEXEXTRACT(SUBSTITUTE(F184,"" "",""""),""^-?\d+(\.\d+)?""))&gt;=-90,VALUE(REGEXEXTRACT(SUBSTITUTE(F184,"" "",""""),""^-?\d+(\.\d+)?""))&lt;=90,VALUE(REGEXEXTRACT"&amp;"(SUBSTITUTE(F184,"" "",""""),""-?\d+(\.\d+)?$""))&gt;=-180,VALUE(REGEXEXTRACT(SUBSTITUTE(F184,"" "",""""),""-?\d+(\.\d+)?$""))&lt;=180),""OK"",""REVISAR"")"),"#N/A")</f>
        <v>#N/A</v>
      </c>
    </row>
    <row r="185" ht="15.75" customHeight="1">
      <c r="A185" s="5" t="str">
        <f t="shared" si="1"/>
        <v>AD507-0183</v>
      </c>
      <c r="C185" s="5"/>
      <c r="F185" s="5"/>
      <c r="G185" s="5" t="str">
        <f t="shared" si="2"/>
        <v/>
      </c>
      <c r="H185" s="5" t="str">
        <f t="shared" si="3"/>
        <v/>
      </c>
      <c r="I185" s="5" t="str">
        <f t="shared" si="4"/>
        <v/>
      </c>
      <c r="J185" s="5" t="str">
        <f t="shared" si="5"/>
        <v/>
      </c>
      <c r="K185" s="5" t="str">
        <f>IFERROR(__xludf.DUMMYFUNCTION("IF(C185&lt;&gt;"""",HYPERLINK(""https://wa.me/507""&amp;REGEXREPLACE(C185,""[^0-9]"","""")&amp;""?text=""&amp;ENCODEURL(""Ya llegue. Codigo: ""&amp;A185&amp;"". Ubicacion: ""&amp;""https://www.google.com/maps/search/?api=1&amp;query=""&amp;SUBSTITUTE(F185,"" "","""")),""📲 Avisar al cliente"""&amp;"),"""")"),"")</f>
        <v/>
      </c>
      <c r="L185" s="5" t="str">
        <f>IFERROR(__xludf.DUMMYFUNCTION("IF(C185&lt;&gt;"""",""https://api.qrserver.com/v1/create-qr-code/?size=200x200&amp;data=""&amp;ENCODEURL(""https://wa.me/507""&amp;REGEXREPLACE(C185,""[^0-9]"","""")&amp;""?text=""&amp;ENCODEURL(""Ya llegue. Codigo: ""&amp;A185&amp;"". Ubicacion: ""&amp;""https://www.google.com/maps/search/?a"&amp;"pi=1&amp;query=""&amp;SUBSTITUTE(F185,"" "",""""))),"""")"),"")</f>
        <v/>
      </c>
      <c r="M185" s="5" t="str">
        <f t="shared" si="6"/>
        <v/>
      </c>
      <c r="N185" s="5" t="str">
        <f>IFERROR(__xludf.DUMMYFUNCTION("IF(AND(F185&lt;&gt;"""",REGEXMATCH(SUBSTITUTE(F185,"" "",""""),""^-?\d+(\.\d+)?,-?\d+(\.\d+)?$""),VALUE(REGEXEXTRACT(SUBSTITUTE(F185,"" "",""""),""^-?\d+(\.\d+)?""))&gt;=-90,VALUE(REGEXEXTRACT(SUBSTITUTE(F185,"" "",""""),""^-?\d+(\.\d+)?""))&lt;=90,VALUE(REGEXEXTRACT"&amp;"(SUBSTITUTE(F185,"" "",""""),""-?\d+(\.\d+)?$""))&gt;=-180,VALUE(REGEXEXTRACT(SUBSTITUTE(F185,"" "",""""),""-?\d+(\.\d+)?$""))&lt;=180),""OK"",""REVISAR"")"),"#N/A")</f>
        <v>#N/A</v>
      </c>
    </row>
    <row r="186" ht="15.75" customHeight="1">
      <c r="A186" s="5" t="str">
        <f t="shared" si="1"/>
        <v>AD507-0184</v>
      </c>
      <c r="C186" s="5"/>
      <c r="F186" s="5"/>
      <c r="G186" s="5" t="str">
        <f t="shared" si="2"/>
        <v/>
      </c>
      <c r="H186" s="5" t="str">
        <f t="shared" si="3"/>
        <v/>
      </c>
      <c r="I186" s="5" t="str">
        <f t="shared" si="4"/>
        <v/>
      </c>
      <c r="J186" s="5" t="str">
        <f t="shared" si="5"/>
        <v/>
      </c>
      <c r="K186" s="5" t="str">
        <f>IFERROR(__xludf.DUMMYFUNCTION("IF(C186&lt;&gt;"""",HYPERLINK(""https://wa.me/507""&amp;REGEXREPLACE(C186,""[^0-9]"","""")&amp;""?text=""&amp;ENCODEURL(""Ya llegue. Codigo: ""&amp;A186&amp;"". Ubicacion: ""&amp;""https://www.google.com/maps/search/?api=1&amp;query=""&amp;SUBSTITUTE(F186,"" "","""")),""📲 Avisar al cliente"""&amp;"),"""")"),"")</f>
        <v/>
      </c>
      <c r="L186" s="5" t="str">
        <f>IFERROR(__xludf.DUMMYFUNCTION("IF(C186&lt;&gt;"""",""https://api.qrserver.com/v1/create-qr-code/?size=200x200&amp;data=""&amp;ENCODEURL(""https://wa.me/507""&amp;REGEXREPLACE(C186,""[^0-9]"","""")&amp;""?text=""&amp;ENCODEURL(""Ya llegue. Codigo: ""&amp;A186&amp;"". Ubicacion: ""&amp;""https://www.google.com/maps/search/?a"&amp;"pi=1&amp;query=""&amp;SUBSTITUTE(F186,"" "",""""))),"""")"),"")</f>
        <v/>
      </c>
      <c r="M186" s="5" t="str">
        <f t="shared" si="6"/>
        <v/>
      </c>
      <c r="N186" s="5" t="str">
        <f>IFERROR(__xludf.DUMMYFUNCTION("IF(AND(F186&lt;&gt;"""",REGEXMATCH(SUBSTITUTE(F186,"" "",""""),""^-?\d+(\.\d+)?,-?\d+(\.\d+)?$""),VALUE(REGEXEXTRACT(SUBSTITUTE(F186,"" "",""""),""^-?\d+(\.\d+)?""))&gt;=-90,VALUE(REGEXEXTRACT(SUBSTITUTE(F186,"" "",""""),""^-?\d+(\.\d+)?""))&lt;=90,VALUE(REGEXEXTRACT"&amp;"(SUBSTITUTE(F186,"" "",""""),""-?\d+(\.\d+)?$""))&gt;=-180,VALUE(REGEXEXTRACT(SUBSTITUTE(F186,"" "",""""),""-?\d+(\.\d+)?$""))&lt;=180),""OK"",""REVISAR"")"),"#N/A")</f>
        <v>#N/A</v>
      </c>
    </row>
    <row r="187" ht="15.75" customHeight="1">
      <c r="A187" s="5" t="str">
        <f t="shared" si="1"/>
        <v>AD507-0185</v>
      </c>
      <c r="C187" s="5"/>
      <c r="F187" s="5"/>
      <c r="G187" s="5" t="str">
        <f t="shared" si="2"/>
        <v/>
      </c>
      <c r="H187" s="5" t="str">
        <f t="shared" si="3"/>
        <v/>
      </c>
      <c r="I187" s="5" t="str">
        <f t="shared" si="4"/>
        <v/>
      </c>
      <c r="J187" s="5" t="str">
        <f t="shared" si="5"/>
        <v/>
      </c>
      <c r="K187" s="5" t="str">
        <f>IFERROR(__xludf.DUMMYFUNCTION("IF(C187&lt;&gt;"""",HYPERLINK(""https://wa.me/507""&amp;REGEXREPLACE(C187,""[^0-9]"","""")&amp;""?text=""&amp;ENCODEURL(""Ya llegue. Codigo: ""&amp;A187&amp;"". Ubicacion: ""&amp;""https://www.google.com/maps/search/?api=1&amp;query=""&amp;SUBSTITUTE(F187,"" "","""")),""📲 Avisar al cliente"""&amp;"),"""")"),"")</f>
        <v/>
      </c>
      <c r="L187" s="5" t="str">
        <f>IFERROR(__xludf.DUMMYFUNCTION("IF(C187&lt;&gt;"""",""https://api.qrserver.com/v1/create-qr-code/?size=200x200&amp;data=""&amp;ENCODEURL(""https://wa.me/507""&amp;REGEXREPLACE(C187,""[^0-9]"","""")&amp;""?text=""&amp;ENCODEURL(""Ya llegue. Codigo: ""&amp;A187&amp;"". Ubicacion: ""&amp;""https://www.google.com/maps/search/?a"&amp;"pi=1&amp;query=""&amp;SUBSTITUTE(F187,"" "",""""))),"""")"),"")</f>
        <v/>
      </c>
      <c r="M187" s="5" t="str">
        <f t="shared" si="6"/>
        <v/>
      </c>
      <c r="N187" s="5" t="str">
        <f>IFERROR(__xludf.DUMMYFUNCTION("IF(AND(F187&lt;&gt;"""",REGEXMATCH(SUBSTITUTE(F187,"" "",""""),""^-?\d+(\.\d+)?,-?\d+(\.\d+)?$""),VALUE(REGEXEXTRACT(SUBSTITUTE(F187,"" "",""""),""^-?\d+(\.\d+)?""))&gt;=-90,VALUE(REGEXEXTRACT(SUBSTITUTE(F187,"" "",""""),""^-?\d+(\.\d+)?""))&lt;=90,VALUE(REGEXEXTRACT"&amp;"(SUBSTITUTE(F187,"" "",""""),""-?\d+(\.\d+)?$""))&gt;=-180,VALUE(REGEXEXTRACT(SUBSTITUTE(F187,"" "",""""),""-?\d+(\.\d+)?$""))&lt;=180),""OK"",""REVISAR"")"),"#N/A")</f>
        <v>#N/A</v>
      </c>
    </row>
    <row r="188" ht="15.75" customHeight="1">
      <c r="A188" s="5" t="str">
        <f t="shared" si="1"/>
        <v>AD507-0186</v>
      </c>
      <c r="C188" s="5"/>
      <c r="F188" s="5"/>
      <c r="G188" s="5" t="str">
        <f t="shared" si="2"/>
        <v/>
      </c>
      <c r="H188" s="5" t="str">
        <f t="shared" si="3"/>
        <v/>
      </c>
      <c r="I188" s="5" t="str">
        <f t="shared" si="4"/>
        <v/>
      </c>
      <c r="J188" s="5" t="str">
        <f t="shared" si="5"/>
        <v/>
      </c>
      <c r="K188" s="5" t="str">
        <f>IFERROR(__xludf.DUMMYFUNCTION("IF(C188&lt;&gt;"""",HYPERLINK(""https://wa.me/507""&amp;REGEXREPLACE(C188,""[^0-9]"","""")&amp;""?text=""&amp;ENCODEURL(""Ya llegue. Codigo: ""&amp;A188&amp;"". Ubicacion: ""&amp;""https://www.google.com/maps/search/?api=1&amp;query=""&amp;SUBSTITUTE(F188,"" "","""")),""📲 Avisar al cliente"""&amp;"),"""")"),"")</f>
        <v/>
      </c>
      <c r="L188" s="5" t="str">
        <f>IFERROR(__xludf.DUMMYFUNCTION("IF(C188&lt;&gt;"""",""https://api.qrserver.com/v1/create-qr-code/?size=200x200&amp;data=""&amp;ENCODEURL(""https://wa.me/507""&amp;REGEXREPLACE(C188,""[^0-9]"","""")&amp;""?text=""&amp;ENCODEURL(""Ya llegue. Codigo: ""&amp;A188&amp;"". Ubicacion: ""&amp;""https://www.google.com/maps/search/?a"&amp;"pi=1&amp;query=""&amp;SUBSTITUTE(F188,"" "",""""))),"""")"),"")</f>
        <v/>
      </c>
      <c r="M188" s="5" t="str">
        <f t="shared" si="6"/>
        <v/>
      </c>
      <c r="N188" s="5" t="str">
        <f>IFERROR(__xludf.DUMMYFUNCTION("IF(AND(F188&lt;&gt;"""",REGEXMATCH(SUBSTITUTE(F188,"" "",""""),""^-?\d+(\.\d+)?,-?\d+(\.\d+)?$""),VALUE(REGEXEXTRACT(SUBSTITUTE(F188,"" "",""""),""^-?\d+(\.\d+)?""))&gt;=-90,VALUE(REGEXEXTRACT(SUBSTITUTE(F188,"" "",""""),""^-?\d+(\.\d+)?""))&lt;=90,VALUE(REGEXEXTRACT"&amp;"(SUBSTITUTE(F188,"" "",""""),""-?\d+(\.\d+)?$""))&gt;=-180,VALUE(REGEXEXTRACT(SUBSTITUTE(F188,"" "",""""),""-?\d+(\.\d+)?$""))&lt;=180),""OK"",""REVISAR"")"),"#N/A")</f>
        <v>#N/A</v>
      </c>
    </row>
    <row r="189" ht="15.75" customHeight="1">
      <c r="A189" s="5" t="str">
        <f t="shared" si="1"/>
        <v>AD507-0187</v>
      </c>
      <c r="C189" s="5"/>
      <c r="F189" s="5"/>
      <c r="G189" s="5" t="str">
        <f t="shared" si="2"/>
        <v/>
      </c>
      <c r="H189" s="5" t="str">
        <f t="shared" si="3"/>
        <v/>
      </c>
      <c r="I189" s="5" t="str">
        <f t="shared" si="4"/>
        <v/>
      </c>
      <c r="J189" s="5" t="str">
        <f t="shared" si="5"/>
        <v/>
      </c>
      <c r="K189" s="5" t="str">
        <f>IFERROR(__xludf.DUMMYFUNCTION("IF(C189&lt;&gt;"""",HYPERLINK(""https://wa.me/507""&amp;REGEXREPLACE(C189,""[^0-9]"","""")&amp;""?text=""&amp;ENCODEURL(""Ya llegue. Codigo: ""&amp;A189&amp;"". Ubicacion: ""&amp;""https://www.google.com/maps/search/?api=1&amp;query=""&amp;SUBSTITUTE(F189,"" "","""")),""📲 Avisar al cliente"""&amp;"),"""")"),"")</f>
        <v/>
      </c>
      <c r="L189" s="5" t="str">
        <f>IFERROR(__xludf.DUMMYFUNCTION("IF(C189&lt;&gt;"""",""https://api.qrserver.com/v1/create-qr-code/?size=200x200&amp;data=""&amp;ENCODEURL(""https://wa.me/507""&amp;REGEXREPLACE(C189,""[^0-9]"","""")&amp;""?text=""&amp;ENCODEURL(""Ya llegue. Codigo: ""&amp;A189&amp;"". Ubicacion: ""&amp;""https://www.google.com/maps/search/?a"&amp;"pi=1&amp;query=""&amp;SUBSTITUTE(F189,"" "",""""))),"""")"),"")</f>
        <v/>
      </c>
      <c r="M189" s="5" t="str">
        <f t="shared" si="6"/>
        <v/>
      </c>
      <c r="N189" s="5" t="str">
        <f>IFERROR(__xludf.DUMMYFUNCTION("IF(AND(F189&lt;&gt;"""",REGEXMATCH(SUBSTITUTE(F189,"" "",""""),""^-?\d+(\.\d+)?,-?\d+(\.\d+)?$""),VALUE(REGEXEXTRACT(SUBSTITUTE(F189,"" "",""""),""^-?\d+(\.\d+)?""))&gt;=-90,VALUE(REGEXEXTRACT(SUBSTITUTE(F189,"" "",""""),""^-?\d+(\.\d+)?""))&lt;=90,VALUE(REGEXEXTRACT"&amp;"(SUBSTITUTE(F189,"" "",""""),""-?\d+(\.\d+)?$""))&gt;=-180,VALUE(REGEXEXTRACT(SUBSTITUTE(F189,"" "",""""),""-?\d+(\.\d+)?$""))&lt;=180),""OK"",""REVISAR"")"),"#N/A")</f>
        <v>#N/A</v>
      </c>
    </row>
    <row r="190" ht="15.75" customHeight="1">
      <c r="A190" s="5" t="str">
        <f t="shared" si="1"/>
        <v>AD507-0188</v>
      </c>
      <c r="C190" s="5"/>
      <c r="F190" s="5"/>
      <c r="G190" s="5" t="str">
        <f t="shared" si="2"/>
        <v/>
      </c>
      <c r="H190" s="5" t="str">
        <f t="shared" si="3"/>
        <v/>
      </c>
      <c r="I190" s="5" t="str">
        <f t="shared" si="4"/>
        <v/>
      </c>
      <c r="J190" s="5" t="str">
        <f t="shared" si="5"/>
        <v/>
      </c>
      <c r="K190" s="5" t="str">
        <f>IFERROR(__xludf.DUMMYFUNCTION("IF(C190&lt;&gt;"""",HYPERLINK(""https://wa.me/507""&amp;REGEXREPLACE(C190,""[^0-9]"","""")&amp;""?text=""&amp;ENCODEURL(""Ya llegue. Codigo: ""&amp;A190&amp;"". Ubicacion: ""&amp;""https://www.google.com/maps/search/?api=1&amp;query=""&amp;SUBSTITUTE(F190,"" "","""")),""📲 Avisar al cliente"""&amp;"),"""")"),"")</f>
        <v/>
      </c>
      <c r="L190" s="5" t="str">
        <f>IFERROR(__xludf.DUMMYFUNCTION("IF(C190&lt;&gt;"""",""https://api.qrserver.com/v1/create-qr-code/?size=200x200&amp;data=""&amp;ENCODEURL(""https://wa.me/507""&amp;REGEXREPLACE(C190,""[^0-9]"","""")&amp;""?text=""&amp;ENCODEURL(""Ya llegue. Codigo: ""&amp;A190&amp;"". Ubicacion: ""&amp;""https://www.google.com/maps/search/?a"&amp;"pi=1&amp;query=""&amp;SUBSTITUTE(F190,"" "",""""))),"""")"),"")</f>
        <v/>
      </c>
      <c r="M190" s="5" t="str">
        <f t="shared" si="6"/>
        <v/>
      </c>
      <c r="N190" s="5" t="str">
        <f>IFERROR(__xludf.DUMMYFUNCTION("IF(AND(F190&lt;&gt;"""",REGEXMATCH(SUBSTITUTE(F190,"" "",""""),""^-?\d+(\.\d+)?,-?\d+(\.\d+)?$""),VALUE(REGEXEXTRACT(SUBSTITUTE(F190,"" "",""""),""^-?\d+(\.\d+)?""))&gt;=-90,VALUE(REGEXEXTRACT(SUBSTITUTE(F190,"" "",""""),""^-?\d+(\.\d+)?""))&lt;=90,VALUE(REGEXEXTRACT"&amp;"(SUBSTITUTE(F190,"" "",""""),""-?\d+(\.\d+)?$""))&gt;=-180,VALUE(REGEXEXTRACT(SUBSTITUTE(F190,"" "",""""),""-?\d+(\.\d+)?$""))&lt;=180),""OK"",""REVISAR"")"),"#N/A")</f>
        <v>#N/A</v>
      </c>
    </row>
    <row r="191" ht="15.75" customHeight="1">
      <c r="A191" s="5" t="str">
        <f t="shared" si="1"/>
        <v>AD507-0189</v>
      </c>
      <c r="C191" s="5"/>
      <c r="F191" s="5"/>
      <c r="G191" s="5" t="str">
        <f t="shared" si="2"/>
        <v/>
      </c>
      <c r="H191" s="5" t="str">
        <f t="shared" si="3"/>
        <v/>
      </c>
      <c r="I191" s="5" t="str">
        <f t="shared" si="4"/>
        <v/>
      </c>
      <c r="J191" s="5" t="str">
        <f t="shared" si="5"/>
        <v/>
      </c>
      <c r="K191" s="5" t="str">
        <f>IFERROR(__xludf.DUMMYFUNCTION("IF(C191&lt;&gt;"""",HYPERLINK(""https://wa.me/507""&amp;REGEXREPLACE(C191,""[^0-9]"","""")&amp;""?text=""&amp;ENCODEURL(""Ya llegue. Codigo: ""&amp;A191&amp;"". Ubicacion: ""&amp;""https://www.google.com/maps/search/?api=1&amp;query=""&amp;SUBSTITUTE(F191,"" "","""")),""📲 Avisar al cliente"""&amp;"),"""")"),"")</f>
        <v/>
      </c>
      <c r="L191" s="5" t="str">
        <f>IFERROR(__xludf.DUMMYFUNCTION("IF(C191&lt;&gt;"""",""https://api.qrserver.com/v1/create-qr-code/?size=200x200&amp;data=""&amp;ENCODEURL(""https://wa.me/507""&amp;REGEXREPLACE(C191,""[^0-9]"","""")&amp;""?text=""&amp;ENCODEURL(""Ya llegue. Codigo: ""&amp;A191&amp;"". Ubicacion: ""&amp;""https://www.google.com/maps/search/?a"&amp;"pi=1&amp;query=""&amp;SUBSTITUTE(F191,"" "",""""))),"""")"),"")</f>
        <v/>
      </c>
      <c r="M191" s="5" t="str">
        <f t="shared" si="6"/>
        <v/>
      </c>
      <c r="N191" s="5" t="str">
        <f>IFERROR(__xludf.DUMMYFUNCTION("IF(AND(F191&lt;&gt;"""",REGEXMATCH(SUBSTITUTE(F191,"" "",""""),""^-?\d+(\.\d+)?,-?\d+(\.\d+)?$""),VALUE(REGEXEXTRACT(SUBSTITUTE(F191,"" "",""""),""^-?\d+(\.\d+)?""))&gt;=-90,VALUE(REGEXEXTRACT(SUBSTITUTE(F191,"" "",""""),""^-?\d+(\.\d+)?""))&lt;=90,VALUE(REGEXEXTRACT"&amp;"(SUBSTITUTE(F191,"" "",""""),""-?\d+(\.\d+)?$""))&gt;=-180,VALUE(REGEXEXTRACT(SUBSTITUTE(F191,"" "",""""),""-?\d+(\.\d+)?$""))&lt;=180),""OK"",""REVISAR"")"),"#N/A")</f>
        <v>#N/A</v>
      </c>
    </row>
    <row r="192" ht="15.75" customHeight="1">
      <c r="A192" s="5" t="str">
        <f t="shared" si="1"/>
        <v>AD507-0190</v>
      </c>
      <c r="C192" s="5"/>
      <c r="F192" s="5"/>
      <c r="G192" s="5" t="str">
        <f t="shared" si="2"/>
        <v/>
      </c>
      <c r="H192" s="5" t="str">
        <f t="shared" si="3"/>
        <v/>
      </c>
      <c r="I192" s="5" t="str">
        <f t="shared" si="4"/>
        <v/>
      </c>
      <c r="J192" s="5" t="str">
        <f t="shared" si="5"/>
        <v/>
      </c>
      <c r="K192" s="5" t="str">
        <f>IFERROR(__xludf.DUMMYFUNCTION("IF(C192&lt;&gt;"""",HYPERLINK(""https://wa.me/507""&amp;REGEXREPLACE(C192,""[^0-9]"","""")&amp;""?text=""&amp;ENCODEURL(""Ya llegue. Codigo: ""&amp;A192&amp;"". Ubicacion: ""&amp;""https://www.google.com/maps/search/?api=1&amp;query=""&amp;SUBSTITUTE(F192,"" "","""")),""📲 Avisar al cliente"""&amp;"),"""")"),"")</f>
        <v/>
      </c>
      <c r="L192" s="5" t="str">
        <f>IFERROR(__xludf.DUMMYFUNCTION("IF(C192&lt;&gt;"""",""https://api.qrserver.com/v1/create-qr-code/?size=200x200&amp;data=""&amp;ENCODEURL(""https://wa.me/507""&amp;REGEXREPLACE(C192,""[^0-9]"","""")&amp;""?text=""&amp;ENCODEURL(""Ya llegue. Codigo: ""&amp;A192&amp;"". Ubicacion: ""&amp;""https://www.google.com/maps/search/?a"&amp;"pi=1&amp;query=""&amp;SUBSTITUTE(F192,"" "",""""))),"""")"),"")</f>
        <v/>
      </c>
      <c r="M192" s="5" t="str">
        <f t="shared" si="6"/>
        <v/>
      </c>
      <c r="N192" s="5" t="str">
        <f>IFERROR(__xludf.DUMMYFUNCTION("IF(AND(F192&lt;&gt;"""",REGEXMATCH(SUBSTITUTE(F192,"" "",""""),""^-?\d+(\.\d+)?,-?\d+(\.\d+)?$""),VALUE(REGEXEXTRACT(SUBSTITUTE(F192,"" "",""""),""^-?\d+(\.\d+)?""))&gt;=-90,VALUE(REGEXEXTRACT(SUBSTITUTE(F192,"" "",""""),""^-?\d+(\.\d+)?""))&lt;=90,VALUE(REGEXEXTRACT"&amp;"(SUBSTITUTE(F192,"" "",""""),""-?\d+(\.\d+)?$""))&gt;=-180,VALUE(REGEXEXTRACT(SUBSTITUTE(F192,"" "",""""),""-?\d+(\.\d+)?$""))&lt;=180),""OK"",""REVISAR"")"),"#N/A")</f>
        <v>#N/A</v>
      </c>
    </row>
    <row r="193" ht="15.75" customHeight="1">
      <c r="A193" s="5" t="str">
        <f t="shared" si="1"/>
        <v>AD507-0191</v>
      </c>
      <c r="C193" s="5"/>
      <c r="F193" s="5"/>
      <c r="G193" s="5" t="str">
        <f t="shared" si="2"/>
        <v/>
      </c>
      <c r="H193" s="5" t="str">
        <f t="shared" si="3"/>
        <v/>
      </c>
      <c r="I193" s="5" t="str">
        <f t="shared" si="4"/>
        <v/>
      </c>
      <c r="J193" s="5" t="str">
        <f t="shared" si="5"/>
        <v/>
      </c>
      <c r="K193" s="5" t="str">
        <f>IFERROR(__xludf.DUMMYFUNCTION("IF(C193&lt;&gt;"""",HYPERLINK(""https://wa.me/507""&amp;REGEXREPLACE(C193,""[^0-9]"","""")&amp;""?text=""&amp;ENCODEURL(""Ya llegue. Codigo: ""&amp;A193&amp;"". Ubicacion: ""&amp;""https://www.google.com/maps/search/?api=1&amp;query=""&amp;SUBSTITUTE(F193,"" "","""")),""📲 Avisar al cliente"""&amp;"),"""")"),"")</f>
        <v/>
      </c>
      <c r="L193" s="5" t="str">
        <f>IFERROR(__xludf.DUMMYFUNCTION("IF(C193&lt;&gt;"""",""https://api.qrserver.com/v1/create-qr-code/?size=200x200&amp;data=""&amp;ENCODEURL(""https://wa.me/507""&amp;REGEXREPLACE(C193,""[^0-9]"","""")&amp;""?text=""&amp;ENCODEURL(""Ya llegue. Codigo: ""&amp;A193&amp;"". Ubicacion: ""&amp;""https://www.google.com/maps/search/?a"&amp;"pi=1&amp;query=""&amp;SUBSTITUTE(F193,"" "",""""))),"""")"),"")</f>
        <v/>
      </c>
      <c r="M193" s="5" t="str">
        <f t="shared" si="6"/>
        <v/>
      </c>
      <c r="N193" s="5" t="str">
        <f>IFERROR(__xludf.DUMMYFUNCTION("IF(AND(F193&lt;&gt;"""",REGEXMATCH(SUBSTITUTE(F193,"" "",""""),""^-?\d+(\.\d+)?,-?\d+(\.\d+)?$""),VALUE(REGEXEXTRACT(SUBSTITUTE(F193,"" "",""""),""^-?\d+(\.\d+)?""))&gt;=-90,VALUE(REGEXEXTRACT(SUBSTITUTE(F193,"" "",""""),""^-?\d+(\.\d+)?""))&lt;=90,VALUE(REGEXEXTRACT"&amp;"(SUBSTITUTE(F193,"" "",""""),""-?\d+(\.\d+)?$""))&gt;=-180,VALUE(REGEXEXTRACT(SUBSTITUTE(F193,"" "",""""),""-?\d+(\.\d+)?$""))&lt;=180),""OK"",""REVISAR"")"),"#N/A")</f>
        <v>#N/A</v>
      </c>
    </row>
    <row r="194" ht="15.75" customHeight="1">
      <c r="A194" s="5" t="str">
        <f t="shared" si="1"/>
        <v>AD507-0192</v>
      </c>
      <c r="C194" s="5"/>
      <c r="F194" s="5"/>
      <c r="G194" s="5" t="str">
        <f t="shared" si="2"/>
        <v/>
      </c>
      <c r="H194" s="5" t="str">
        <f t="shared" si="3"/>
        <v/>
      </c>
      <c r="I194" s="5" t="str">
        <f t="shared" si="4"/>
        <v/>
      </c>
      <c r="J194" s="5" t="str">
        <f t="shared" si="5"/>
        <v/>
      </c>
      <c r="K194" s="5" t="str">
        <f>IFERROR(__xludf.DUMMYFUNCTION("IF(C194&lt;&gt;"""",HYPERLINK(""https://wa.me/507""&amp;REGEXREPLACE(C194,""[^0-9]"","""")&amp;""?text=""&amp;ENCODEURL(""Ya llegue. Codigo: ""&amp;A194&amp;"". Ubicacion: ""&amp;""https://www.google.com/maps/search/?api=1&amp;query=""&amp;SUBSTITUTE(F194,"" "","""")),""📲 Avisar al cliente"""&amp;"),"""")"),"")</f>
        <v/>
      </c>
      <c r="L194" s="5" t="str">
        <f>IFERROR(__xludf.DUMMYFUNCTION("IF(C194&lt;&gt;"""",""https://api.qrserver.com/v1/create-qr-code/?size=200x200&amp;data=""&amp;ENCODEURL(""https://wa.me/507""&amp;REGEXREPLACE(C194,""[^0-9]"","""")&amp;""?text=""&amp;ENCODEURL(""Ya llegue. Codigo: ""&amp;A194&amp;"". Ubicacion: ""&amp;""https://www.google.com/maps/search/?a"&amp;"pi=1&amp;query=""&amp;SUBSTITUTE(F194,"" "",""""))),"""")"),"")</f>
        <v/>
      </c>
      <c r="M194" s="5" t="str">
        <f t="shared" si="6"/>
        <v/>
      </c>
      <c r="N194" s="5" t="str">
        <f>IFERROR(__xludf.DUMMYFUNCTION("IF(AND(F194&lt;&gt;"""",REGEXMATCH(SUBSTITUTE(F194,"" "",""""),""^-?\d+(\.\d+)?,-?\d+(\.\d+)?$""),VALUE(REGEXEXTRACT(SUBSTITUTE(F194,"" "",""""),""^-?\d+(\.\d+)?""))&gt;=-90,VALUE(REGEXEXTRACT(SUBSTITUTE(F194,"" "",""""),""^-?\d+(\.\d+)?""))&lt;=90,VALUE(REGEXEXTRACT"&amp;"(SUBSTITUTE(F194,"" "",""""),""-?\d+(\.\d+)?$""))&gt;=-180,VALUE(REGEXEXTRACT(SUBSTITUTE(F194,"" "",""""),""-?\d+(\.\d+)?$""))&lt;=180),""OK"",""REVISAR"")"),"#N/A")</f>
        <v>#N/A</v>
      </c>
    </row>
    <row r="195" ht="15.75" customHeight="1">
      <c r="A195" s="5" t="str">
        <f t="shared" si="1"/>
        <v>AD507-0193</v>
      </c>
      <c r="C195" s="5"/>
      <c r="F195" s="5"/>
      <c r="G195" s="5" t="str">
        <f t="shared" si="2"/>
        <v/>
      </c>
      <c r="H195" s="5" t="str">
        <f t="shared" si="3"/>
        <v/>
      </c>
      <c r="I195" s="5" t="str">
        <f t="shared" si="4"/>
        <v/>
      </c>
      <c r="J195" s="5" t="str">
        <f t="shared" si="5"/>
        <v/>
      </c>
      <c r="K195" s="5" t="str">
        <f>IFERROR(__xludf.DUMMYFUNCTION("IF(C195&lt;&gt;"""",HYPERLINK(""https://wa.me/507""&amp;REGEXREPLACE(C195,""[^0-9]"","""")&amp;""?text=""&amp;ENCODEURL(""Ya llegue. Codigo: ""&amp;A195&amp;"". Ubicacion: ""&amp;""https://www.google.com/maps/search/?api=1&amp;query=""&amp;SUBSTITUTE(F195,"" "","""")),""📲 Avisar al cliente"""&amp;"),"""")"),"")</f>
        <v/>
      </c>
      <c r="L195" s="5" t="str">
        <f>IFERROR(__xludf.DUMMYFUNCTION("IF(C195&lt;&gt;"""",""https://api.qrserver.com/v1/create-qr-code/?size=200x200&amp;data=""&amp;ENCODEURL(""https://wa.me/507""&amp;REGEXREPLACE(C195,""[^0-9]"","""")&amp;""?text=""&amp;ENCODEURL(""Ya llegue. Codigo: ""&amp;A195&amp;"". Ubicacion: ""&amp;""https://www.google.com/maps/search/?a"&amp;"pi=1&amp;query=""&amp;SUBSTITUTE(F195,"" "",""""))),"""")"),"")</f>
        <v/>
      </c>
      <c r="M195" s="5" t="str">
        <f t="shared" si="6"/>
        <v/>
      </c>
      <c r="N195" s="5" t="str">
        <f>IFERROR(__xludf.DUMMYFUNCTION("IF(AND(F195&lt;&gt;"""",REGEXMATCH(SUBSTITUTE(F195,"" "",""""),""^-?\d+(\.\d+)?,-?\d+(\.\d+)?$""),VALUE(REGEXEXTRACT(SUBSTITUTE(F195,"" "",""""),""^-?\d+(\.\d+)?""))&gt;=-90,VALUE(REGEXEXTRACT(SUBSTITUTE(F195,"" "",""""),""^-?\d+(\.\d+)?""))&lt;=90,VALUE(REGEXEXTRACT"&amp;"(SUBSTITUTE(F195,"" "",""""),""-?\d+(\.\d+)?$""))&gt;=-180,VALUE(REGEXEXTRACT(SUBSTITUTE(F195,"" "",""""),""-?\d+(\.\d+)?$""))&lt;=180),""OK"",""REVISAR"")"),"#N/A")</f>
        <v>#N/A</v>
      </c>
    </row>
    <row r="196" ht="15.75" customHeight="1">
      <c r="A196" s="5" t="str">
        <f t="shared" si="1"/>
        <v>AD507-0194</v>
      </c>
      <c r="C196" s="5"/>
      <c r="F196" s="5"/>
      <c r="G196" s="5" t="str">
        <f t="shared" si="2"/>
        <v/>
      </c>
      <c r="H196" s="5" t="str">
        <f t="shared" si="3"/>
        <v/>
      </c>
      <c r="I196" s="5" t="str">
        <f t="shared" si="4"/>
        <v/>
      </c>
      <c r="J196" s="5" t="str">
        <f t="shared" si="5"/>
        <v/>
      </c>
      <c r="K196" s="5" t="str">
        <f>IFERROR(__xludf.DUMMYFUNCTION("IF(C196&lt;&gt;"""",HYPERLINK(""https://wa.me/507""&amp;REGEXREPLACE(C196,""[^0-9]"","""")&amp;""?text=""&amp;ENCODEURL(""Ya llegue. Codigo: ""&amp;A196&amp;"". Ubicacion: ""&amp;""https://www.google.com/maps/search/?api=1&amp;query=""&amp;SUBSTITUTE(F196,"" "","""")),""📲 Avisar al cliente"""&amp;"),"""")"),"")</f>
        <v/>
      </c>
      <c r="L196" s="5" t="str">
        <f>IFERROR(__xludf.DUMMYFUNCTION("IF(C196&lt;&gt;"""",""https://api.qrserver.com/v1/create-qr-code/?size=200x200&amp;data=""&amp;ENCODEURL(""https://wa.me/507""&amp;REGEXREPLACE(C196,""[^0-9]"","""")&amp;""?text=""&amp;ENCODEURL(""Ya llegue. Codigo: ""&amp;A196&amp;"". Ubicacion: ""&amp;""https://www.google.com/maps/search/?a"&amp;"pi=1&amp;query=""&amp;SUBSTITUTE(F196,"" "",""""))),"""")"),"")</f>
        <v/>
      </c>
      <c r="M196" s="5" t="str">
        <f t="shared" si="6"/>
        <v/>
      </c>
      <c r="N196" s="5" t="str">
        <f>IFERROR(__xludf.DUMMYFUNCTION("IF(AND(F196&lt;&gt;"""",REGEXMATCH(SUBSTITUTE(F196,"" "",""""),""^-?\d+(\.\d+)?,-?\d+(\.\d+)?$""),VALUE(REGEXEXTRACT(SUBSTITUTE(F196,"" "",""""),""^-?\d+(\.\d+)?""))&gt;=-90,VALUE(REGEXEXTRACT(SUBSTITUTE(F196,"" "",""""),""^-?\d+(\.\d+)?""))&lt;=90,VALUE(REGEXEXTRACT"&amp;"(SUBSTITUTE(F196,"" "",""""),""-?\d+(\.\d+)?$""))&gt;=-180,VALUE(REGEXEXTRACT(SUBSTITUTE(F196,"" "",""""),""-?\d+(\.\d+)?$""))&lt;=180),""OK"",""REVISAR"")"),"#N/A")</f>
        <v>#N/A</v>
      </c>
    </row>
    <row r="197" ht="15.75" customHeight="1">
      <c r="A197" s="5" t="str">
        <f t="shared" si="1"/>
        <v>AD507-0195</v>
      </c>
      <c r="C197" s="5"/>
      <c r="F197" s="5"/>
      <c r="G197" s="5" t="str">
        <f t="shared" si="2"/>
        <v/>
      </c>
      <c r="H197" s="5" t="str">
        <f t="shared" si="3"/>
        <v/>
      </c>
      <c r="I197" s="5" t="str">
        <f t="shared" si="4"/>
        <v/>
      </c>
      <c r="J197" s="5" t="str">
        <f t="shared" si="5"/>
        <v/>
      </c>
      <c r="K197" s="5" t="str">
        <f>IFERROR(__xludf.DUMMYFUNCTION("IF(C197&lt;&gt;"""",HYPERLINK(""https://wa.me/507""&amp;REGEXREPLACE(C197,""[^0-9]"","""")&amp;""?text=""&amp;ENCODEURL(""Ya llegue. Codigo: ""&amp;A197&amp;"". Ubicacion: ""&amp;""https://www.google.com/maps/search/?api=1&amp;query=""&amp;SUBSTITUTE(F197,"" "","""")),""📲 Avisar al cliente"""&amp;"),"""")"),"")</f>
        <v/>
      </c>
      <c r="L197" s="5" t="str">
        <f>IFERROR(__xludf.DUMMYFUNCTION("IF(C197&lt;&gt;"""",""https://api.qrserver.com/v1/create-qr-code/?size=200x200&amp;data=""&amp;ENCODEURL(""https://wa.me/507""&amp;REGEXREPLACE(C197,""[^0-9]"","""")&amp;""?text=""&amp;ENCODEURL(""Ya llegue. Codigo: ""&amp;A197&amp;"". Ubicacion: ""&amp;""https://www.google.com/maps/search/?a"&amp;"pi=1&amp;query=""&amp;SUBSTITUTE(F197,"" "",""""))),"""")"),"")</f>
        <v/>
      </c>
      <c r="M197" s="5" t="str">
        <f t="shared" si="6"/>
        <v/>
      </c>
      <c r="N197" s="5" t="str">
        <f>IFERROR(__xludf.DUMMYFUNCTION("IF(AND(F197&lt;&gt;"""",REGEXMATCH(SUBSTITUTE(F197,"" "",""""),""^-?\d+(\.\d+)?,-?\d+(\.\d+)?$""),VALUE(REGEXEXTRACT(SUBSTITUTE(F197,"" "",""""),""^-?\d+(\.\d+)?""))&gt;=-90,VALUE(REGEXEXTRACT(SUBSTITUTE(F197,"" "",""""),""^-?\d+(\.\d+)?""))&lt;=90,VALUE(REGEXEXTRACT"&amp;"(SUBSTITUTE(F197,"" "",""""),""-?\d+(\.\d+)?$""))&gt;=-180,VALUE(REGEXEXTRACT(SUBSTITUTE(F197,"" "",""""),""-?\d+(\.\d+)?$""))&lt;=180),""OK"",""REVISAR"")"),"#N/A")</f>
        <v>#N/A</v>
      </c>
    </row>
    <row r="198" ht="15.75" customHeight="1">
      <c r="A198" s="5" t="str">
        <f t="shared" si="1"/>
        <v>AD507-0196</v>
      </c>
      <c r="C198" s="5"/>
      <c r="F198" s="5"/>
      <c r="G198" s="5" t="str">
        <f t="shared" si="2"/>
        <v/>
      </c>
      <c r="H198" s="5" t="str">
        <f t="shared" si="3"/>
        <v/>
      </c>
      <c r="I198" s="5" t="str">
        <f t="shared" si="4"/>
        <v/>
      </c>
      <c r="J198" s="5" t="str">
        <f t="shared" si="5"/>
        <v/>
      </c>
      <c r="K198" s="5" t="str">
        <f>IFERROR(__xludf.DUMMYFUNCTION("IF(C198&lt;&gt;"""",HYPERLINK(""https://wa.me/507""&amp;REGEXREPLACE(C198,""[^0-9]"","""")&amp;""?text=""&amp;ENCODEURL(""Ya llegue. Codigo: ""&amp;A198&amp;"". Ubicacion: ""&amp;""https://www.google.com/maps/search/?api=1&amp;query=""&amp;SUBSTITUTE(F198,"" "","""")),""📲 Avisar al cliente"""&amp;"),"""")"),"")</f>
        <v/>
      </c>
      <c r="L198" s="5" t="str">
        <f>IFERROR(__xludf.DUMMYFUNCTION("IF(C198&lt;&gt;"""",""https://api.qrserver.com/v1/create-qr-code/?size=200x200&amp;data=""&amp;ENCODEURL(""https://wa.me/507""&amp;REGEXREPLACE(C198,""[^0-9]"","""")&amp;""?text=""&amp;ENCODEURL(""Ya llegue. Codigo: ""&amp;A198&amp;"". Ubicacion: ""&amp;""https://www.google.com/maps/search/?a"&amp;"pi=1&amp;query=""&amp;SUBSTITUTE(F198,"" "",""""))),"""")"),"")</f>
        <v/>
      </c>
      <c r="M198" s="5" t="str">
        <f t="shared" si="6"/>
        <v/>
      </c>
      <c r="N198" s="5" t="str">
        <f>IFERROR(__xludf.DUMMYFUNCTION("IF(AND(F198&lt;&gt;"""",REGEXMATCH(SUBSTITUTE(F198,"" "",""""),""^-?\d+(\.\d+)?,-?\d+(\.\d+)?$""),VALUE(REGEXEXTRACT(SUBSTITUTE(F198,"" "",""""),""^-?\d+(\.\d+)?""))&gt;=-90,VALUE(REGEXEXTRACT(SUBSTITUTE(F198,"" "",""""),""^-?\d+(\.\d+)?""))&lt;=90,VALUE(REGEXEXTRACT"&amp;"(SUBSTITUTE(F198,"" "",""""),""-?\d+(\.\d+)?$""))&gt;=-180,VALUE(REGEXEXTRACT(SUBSTITUTE(F198,"" "",""""),""-?\d+(\.\d+)?$""))&lt;=180),""OK"",""REVISAR"")"),"#N/A")</f>
        <v>#N/A</v>
      </c>
    </row>
    <row r="199" ht="15.75" customHeight="1">
      <c r="A199" s="5" t="str">
        <f t="shared" si="1"/>
        <v>AD507-0197</v>
      </c>
      <c r="C199" s="5"/>
      <c r="F199" s="5"/>
      <c r="G199" s="5" t="str">
        <f t="shared" si="2"/>
        <v/>
      </c>
      <c r="H199" s="5" t="str">
        <f t="shared" si="3"/>
        <v/>
      </c>
      <c r="I199" s="5" t="str">
        <f t="shared" si="4"/>
        <v/>
      </c>
      <c r="J199" s="5" t="str">
        <f t="shared" si="5"/>
        <v/>
      </c>
      <c r="K199" s="5" t="str">
        <f>IFERROR(__xludf.DUMMYFUNCTION("IF(C199&lt;&gt;"""",HYPERLINK(""https://wa.me/507""&amp;REGEXREPLACE(C199,""[^0-9]"","""")&amp;""?text=""&amp;ENCODEURL(""Ya llegue. Codigo: ""&amp;A199&amp;"". Ubicacion: ""&amp;""https://www.google.com/maps/search/?api=1&amp;query=""&amp;SUBSTITUTE(F199,"" "","""")),""📲 Avisar al cliente"""&amp;"),"""")"),"")</f>
        <v/>
      </c>
      <c r="L199" s="5" t="str">
        <f>IFERROR(__xludf.DUMMYFUNCTION("IF(C199&lt;&gt;"""",""https://api.qrserver.com/v1/create-qr-code/?size=200x200&amp;data=""&amp;ENCODEURL(""https://wa.me/507""&amp;REGEXREPLACE(C199,""[^0-9]"","""")&amp;""?text=""&amp;ENCODEURL(""Ya llegue. Codigo: ""&amp;A199&amp;"". Ubicacion: ""&amp;""https://www.google.com/maps/search/?a"&amp;"pi=1&amp;query=""&amp;SUBSTITUTE(F199,"" "",""""))),"""")"),"")</f>
        <v/>
      </c>
      <c r="M199" s="5" t="str">
        <f t="shared" si="6"/>
        <v/>
      </c>
      <c r="N199" s="5" t="str">
        <f>IFERROR(__xludf.DUMMYFUNCTION("IF(AND(F199&lt;&gt;"""",REGEXMATCH(SUBSTITUTE(F199,"" "",""""),""^-?\d+(\.\d+)?,-?\d+(\.\d+)?$""),VALUE(REGEXEXTRACT(SUBSTITUTE(F199,"" "",""""),""^-?\d+(\.\d+)?""))&gt;=-90,VALUE(REGEXEXTRACT(SUBSTITUTE(F199,"" "",""""),""^-?\d+(\.\d+)?""))&lt;=90,VALUE(REGEXEXTRACT"&amp;"(SUBSTITUTE(F199,"" "",""""),""-?\d+(\.\d+)?$""))&gt;=-180,VALUE(REGEXEXTRACT(SUBSTITUTE(F199,"" "",""""),""-?\d+(\.\d+)?$""))&lt;=180),""OK"",""REVISAR"")"),"#N/A")</f>
        <v>#N/A</v>
      </c>
    </row>
    <row r="200" ht="15.75" customHeight="1">
      <c r="A200" s="5" t="str">
        <f t="shared" si="1"/>
        <v>AD507-0198</v>
      </c>
      <c r="C200" s="5"/>
      <c r="F200" s="5"/>
      <c r="G200" s="5" t="str">
        <f t="shared" si="2"/>
        <v/>
      </c>
      <c r="H200" s="5" t="str">
        <f t="shared" si="3"/>
        <v/>
      </c>
      <c r="I200" s="5" t="str">
        <f t="shared" si="4"/>
        <v/>
      </c>
      <c r="J200" s="5" t="str">
        <f t="shared" si="5"/>
        <v/>
      </c>
      <c r="K200" s="5" t="str">
        <f>IFERROR(__xludf.DUMMYFUNCTION("IF(C200&lt;&gt;"""",HYPERLINK(""https://wa.me/507""&amp;REGEXREPLACE(C200,""[^0-9]"","""")&amp;""?text=""&amp;ENCODEURL(""Ya llegue. Codigo: ""&amp;A200&amp;"". Ubicacion: ""&amp;""https://www.google.com/maps/search/?api=1&amp;query=""&amp;SUBSTITUTE(F200,"" "","""")),""📲 Avisar al cliente"""&amp;"),"""")"),"")</f>
        <v/>
      </c>
      <c r="L200" s="5" t="str">
        <f>IFERROR(__xludf.DUMMYFUNCTION("IF(C200&lt;&gt;"""",""https://api.qrserver.com/v1/create-qr-code/?size=200x200&amp;data=""&amp;ENCODEURL(""https://wa.me/507""&amp;REGEXREPLACE(C200,""[^0-9]"","""")&amp;""?text=""&amp;ENCODEURL(""Ya llegue. Codigo: ""&amp;A200&amp;"". Ubicacion: ""&amp;""https://www.google.com/maps/search/?a"&amp;"pi=1&amp;query=""&amp;SUBSTITUTE(F200,"" "",""""))),"""")"),"")</f>
        <v/>
      </c>
      <c r="M200" s="5" t="str">
        <f t="shared" si="6"/>
        <v/>
      </c>
      <c r="N200" s="5" t="str">
        <f>IFERROR(__xludf.DUMMYFUNCTION("IF(AND(F200&lt;&gt;"""",REGEXMATCH(SUBSTITUTE(F200,"" "",""""),""^-?\d+(\.\d+)?,-?\d+(\.\d+)?$""),VALUE(REGEXEXTRACT(SUBSTITUTE(F200,"" "",""""),""^-?\d+(\.\d+)?""))&gt;=-90,VALUE(REGEXEXTRACT(SUBSTITUTE(F200,"" "",""""),""^-?\d+(\.\d+)?""))&lt;=90,VALUE(REGEXEXTRACT"&amp;"(SUBSTITUTE(F200,"" "",""""),""-?\d+(\.\d+)?$""))&gt;=-180,VALUE(REGEXEXTRACT(SUBSTITUTE(F200,"" "",""""),""-?\d+(\.\d+)?$""))&lt;=180),""OK"",""REVISAR"")"),"#N/A")</f>
        <v>#N/A</v>
      </c>
    </row>
    <row r="201" ht="15.75" customHeight="1">
      <c r="A201" s="5" t="str">
        <f t="shared" si="1"/>
        <v>AD507-0199</v>
      </c>
      <c r="C201" s="5"/>
      <c r="F201" s="5"/>
      <c r="G201" s="5" t="str">
        <f t="shared" si="2"/>
        <v/>
      </c>
      <c r="H201" s="5" t="str">
        <f t="shared" si="3"/>
        <v/>
      </c>
      <c r="I201" s="5" t="str">
        <f t="shared" si="4"/>
        <v/>
      </c>
      <c r="J201" s="5" t="str">
        <f t="shared" si="5"/>
        <v/>
      </c>
      <c r="K201" s="5" t="str">
        <f>IFERROR(__xludf.DUMMYFUNCTION("IF(C201&lt;&gt;"""",HYPERLINK(""https://wa.me/507""&amp;REGEXREPLACE(C201,""[^0-9]"","""")&amp;""?text=""&amp;ENCODEURL(""Ya llegue. Codigo: ""&amp;A201&amp;"". Ubicacion: ""&amp;""https://www.google.com/maps/search/?api=1&amp;query=""&amp;SUBSTITUTE(F201,"" "","""")),""📲 Avisar al cliente"""&amp;"),"""")"),"")</f>
        <v/>
      </c>
      <c r="L201" s="5" t="str">
        <f>IFERROR(__xludf.DUMMYFUNCTION("IF(C201&lt;&gt;"""",""https://api.qrserver.com/v1/create-qr-code/?size=200x200&amp;data=""&amp;ENCODEURL(""https://wa.me/507""&amp;REGEXREPLACE(C201,""[^0-9]"","""")&amp;""?text=""&amp;ENCODEURL(""Ya llegue. Codigo: ""&amp;A201&amp;"". Ubicacion: ""&amp;""https://www.google.com/maps/search/?a"&amp;"pi=1&amp;query=""&amp;SUBSTITUTE(F201,"" "",""""))),"""")"),"")</f>
        <v/>
      </c>
      <c r="M201" s="5" t="str">
        <f t="shared" si="6"/>
        <v/>
      </c>
      <c r="N201" s="5" t="str">
        <f>IFERROR(__xludf.DUMMYFUNCTION("IF(AND(F201&lt;&gt;"""",REGEXMATCH(SUBSTITUTE(F201,"" "",""""),""^-?\d+(\.\d+)?,-?\d+(\.\d+)?$""),VALUE(REGEXEXTRACT(SUBSTITUTE(F201,"" "",""""),""^-?\d+(\.\d+)?""))&gt;=-90,VALUE(REGEXEXTRACT(SUBSTITUTE(F201,"" "",""""),""^-?\d+(\.\d+)?""))&lt;=90,VALUE(REGEXEXTRACT"&amp;"(SUBSTITUTE(F201,"" "",""""),""-?\d+(\.\d+)?$""))&gt;=-180,VALUE(REGEXEXTRACT(SUBSTITUTE(F201,"" "",""""),""-?\d+(\.\d+)?$""))&lt;=180),""OK"",""REVISAR"")"),"#N/A")</f>
        <v>#N/A</v>
      </c>
    </row>
    <row r="202" ht="15.75" customHeight="1">
      <c r="A202" s="5" t="str">
        <f t="shared" si="1"/>
        <v>AD507-0200</v>
      </c>
      <c r="C202" s="5"/>
      <c r="F202" s="5"/>
      <c r="G202" s="5" t="str">
        <f t="shared" si="2"/>
        <v/>
      </c>
      <c r="H202" s="5" t="str">
        <f t="shared" si="3"/>
        <v/>
      </c>
      <c r="I202" s="5" t="str">
        <f t="shared" si="4"/>
        <v/>
      </c>
      <c r="J202" s="5" t="str">
        <f t="shared" si="5"/>
        <v/>
      </c>
      <c r="K202" s="5" t="str">
        <f>IFERROR(__xludf.DUMMYFUNCTION("IF(C202&lt;&gt;"""",HYPERLINK(""https://wa.me/507""&amp;REGEXREPLACE(C202,""[^0-9]"","""")&amp;""?text=""&amp;ENCODEURL(""Ya llegue. Codigo: ""&amp;A202&amp;"". Ubicacion: ""&amp;""https://www.google.com/maps/search/?api=1&amp;query=""&amp;SUBSTITUTE(F202,"" "","""")),""📲 Avisar al cliente"""&amp;"),"""")"),"")</f>
        <v/>
      </c>
      <c r="L202" s="5" t="str">
        <f>IFERROR(__xludf.DUMMYFUNCTION("IF(C202&lt;&gt;"""",""https://api.qrserver.com/v1/create-qr-code/?size=200x200&amp;data=""&amp;ENCODEURL(""https://wa.me/507""&amp;REGEXREPLACE(C202,""[^0-9]"","""")&amp;""?text=""&amp;ENCODEURL(""Ya llegue. Codigo: ""&amp;A202&amp;"". Ubicacion: ""&amp;""https://www.google.com/maps/search/?a"&amp;"pi=1&amp;query=""&amp;SUBSTITUTE(F202,"" "",""""))),"""")"),"")</f>
        <v/>
      </c>
      <c r="M202" s="5" t="str">
        <f t="shared" si="6"/>
        <v/>
      </c>
      <c r="N202" s="5" t="str">
        <f>IFERROR(__xludf.DUMMYFUNCTION("IF(AND(F202&lt;&gt;"""",REGEXMATCH(SUBSTITUTE(F202,"" "",""""),""^-?\d+(\.\d+)?,-?\d+(\.\d+)?$""),VALUE(REGEXEXTRACT(SUBSTITUTE(F202,"" "",""""),""^-?\d+(\.\d+)?""))&gt;=-90,VALUE(REGEXEXTRACT(SUBSTITUTE(F202,"" "",""""),""^-?\d+(\.\d+)?""))&lt;=90,VALUE(REGEXEXTRACT"&amp;"(SUBSTITUTE(F202,"" "",""""),""-?\d+(\.\d+)?$""))&gt;=-180,VALUE(REGEXEXTRACT(SUBSTITUTE(F202,"" "",""""),""-?\d+(\.\d+)?$""))&lt;=180),""OK"",""REVISAR"")"),"#N/A")</f>
        <v>#N/A</v>
      </c>
    </row>
    <row r="203" ht="15.75" customHeight="1">
      <c r="A203" s="5" t="str">
        <f t="shared" si="1"/>
        <v>AD507-0201</v>
      </c>
      <c r="C203" s="5"/>
      <c r="F203" s="5"/>
      <c r="G203" s="5" t="str">
        <f t="shared" si="2"/>
        <v/>
      </c>
      <c r="H203" s="5" t="str">
        <f t="shared" si="3"/>
        <v/>
      </c>
      <c r="I203" s="5" t="str">
        <f t="shared" si="4"/>
        <v/>
      </c>
      <c r="J203" s="5" t="str">
        <f t="shared" si="5"/>
        <v/>
      </c>
      <c r="K203" s="5" t="str">
        <f>IFERROR(__xludf.DUMMYFUNCTION("IF(C203&lt;&gt;"""",HYPERLINK(""https://wa.me/507""&amp;REGEXREPLACE(C203,""[^0-9]"","""")&amp;""?text=""&amp;ENCODEURL(""Ya llegue. Codigo: ""&amp;A203&amp;"". Ubicacion: ""&amp;""https://www.google.com/maps/search/?api=1&amp;query=""&amp;SUBSTITUTE(F203,"" "","""")),""📲 Avisar al cliente"""&amp;"),"""")"),"")</f>
        <v/>
      </c>
      <c r="L203" s="5" t="str">
        <f>IFERROR(__xludf.DUMMYFUNCTION("IF(C203&lt;&gt;"""",""https://api.qrserver.com/v1/create-qr-code/?size=200x200&amp;data=""&amp;ENCODEURL(""https://wa.me/507""&amp;REGEXREPLACE(C203,""[^0-9]"","""")&amp;""?text=""&amp;ENCODEURL(""Ya llegue. Codigo: ""&amp;A203&amp;"". Ubicacion: ""&amp;""https://www.google.com/maps/search/?a"&amp;"pi=1&amp;query=""&amp;SUBSTITUTE(F203,"" "",""""))),"""")"),"")</f>
        <v/>
      </c>
      <c r="M203" s="5" t="str">
        <f t="shared" si="6"/>
        <v/>
      </c>
      <c r="N203" s="5" t="str">
        <f>IFERROR(__xludf.DUMMYFUNCTION("IF(AND(F203&lt;&gt;"""",REGEXMATCH(SUBSTITUTE(F203,"" "",""""),""^-?\d+(\.\d+)?,-?\d+(\.\d+)?$""),VALUE(REGEXEXTRACT(SUBSTITUTE(F203,"" "",""""),""^-?\d+(\.\d+)?""))&gt;=-90,VALUE(REGEXEXTRACT(SUBSTITUTE(F203,"" "",""""),""^-?\d+(\.\d+)?""))&lt;=90,VALUE(REGEXEXTRACT"&amp;"(SUBSTITUTE(F203,"" "",""""),""-?\d+(\.\d+)?$""))&gt;=-180,VALUE(REGEXEXTRACT(SUBSTITUTE(F203,"" "",""""),""-?\d+(\.\d+)?$""))&lt;=180),""OK"",""REVISAR"")"),"#N/A")</f>
        <v>#N/A</v>
      </c>
    </row>
    <row r="204" ht="15.75" customHeight="1">
      <c r="A204" s="5" t="str">
        <f t="shared" si="1"/>
        <v>AD507-0202</v>
      </c>
      <c r="C204" s="5"/>
      <c r="F204" s="5"/>
      <c r="G204" s="5" t="str">
        <f t="shared" si="2"/>
        <v/>
      </c>
      <c r="H204" s="5" t="str">
        <f t="shared" si="3"/>
        <v/>
      </c>
      <c r="I204" s="5" t="str">
        <f t="shared" si="4"/>
        <v/>
      </c>
      <c r="J204" s="5" t="str">
        <f t="shared" si="5"/>
        <v/>
      </c>
      <c r="K204" s="5" t="str">
        <f>IFERROR(__xludf.DUMMYFUNCTION("IF(C204&lt;&gt;"""",HYPERLINK(""https://wa.me/507""&amp;REGEXREPLACE(C204,""[^0-9]"","""")&amp;""?text=""&amp;ENCODEURL(""Ya llegue. Codigo: ""&amp;A204&amp;"". Ubicacion: ""&amp;""https://www.google.com/maps/search/?api=1&amp;query=""&amp;SUBSTITUTE(F204,"" "","""")),""📲 Avisar al cliente"""&amp;"),"""")"),"")</f>
        <v/>
      </c>
      <c r="L204" s="5" t="str">
        <f>IFERROR(__xludf.DUMMYFUNCTION("IF(C204&lt;&gt;"""",""https://api.qrserver.com/v1/create-qr-code/?size=200x200&amp;data=""&amp;ENCODEURL(""https://wa.me/507""&amp;REGEXREPLACE(C204,""[^0-9]"","""")&amp;""?text=""&amp;ENCODEURL(""Ya llegue. Codigo: ""&amp;A204&amp;"". Ubicacion: ""&amp;""https://www.google.com/maps/search/?a"&amp;"pi=1&amp;query=""&amp;SUBSTITUTE(F204,"" "",""""))),"""")"),"")</f>
        <v/>
      </c>
      <c r="M204" s="5" t="str">
        <f t="shared" si="6"/>
        <v/>
      </c>
      <c r="N204" s="5" t="str">
        <f>IFERROR(__xludf.DUMMYFUNCTION("IF(AND(F204&lt;&gt;"""",REGEXMATCH(SUBSTITUTE(F204,"" "",""""),""^-?\d+(\.\d+)?,-?\d+(\.\d+)?$""),VALUE(REGEXEXTRACT(SUBSTITUTE(F204,"" "",""""),""^-?\d+(\.\d+)?""))&gt;=-90,VALUE(REGEXEXTRACT(SUBSTITUTE(F204,"" "",""""),""^-?\d+(\.\d+)?""))&lt;=90,VALUE(REGEXEXTRACT"&amp;"(SUBSTITUTE(F204,"" "",""""),""-?\d+(\.\d+)?$""))&gt;=-180,VALUE(REGEXEXTRACT(SUBSTITUTE(F204,"" "",""""),""-?\d+(\.\d+)?$""))&lt;=180),""OK"",""REVISAR"")"),"#N/A")</f>
        <v>#N/A</v>
      </c>
    </row>
    <row r="205" ht="15.75" customHeight="1">
      <c r="A205" s="5" t="str">
        <f t="shared" si="1"/>
        <v>AD507-0203</v>
      </c>
      <c r="C205" s="5"/>
      <c r="F205" s="5"/>
      <c r="G205" s="5" t="str">
        <f t="shared" si="2"/>
        <v/>
      </c>
      <c r="H205" s="5" t="str">
        <f t="shared" si="3"/>
        <v/>
      </c>
      <c r="I205" s="5" t="str">
        <f t="shared" si="4"/>
        <v/>
      </c>
      <c r="J205" s="5" t="str">
        <f t="shared" si="5"/>
        <v/>
      </c>
      <c r="K205" s="5" t="str">
        <f>IFERROR(__xludf.DUMMYFUNCTION("IF(C205&lt;&gt;"""",HYPERLINK(""https://wa.me/507""&amp;REGEXREPLACE(C205,""[^0-9]"","""")&amp;""?text=""&amp;ENCODEURL(""Ya llegue. Codigo: ""&amp;A205&amp;"". Ubicacion: ""&amp;""https://www.google.com/maps/search/?api=1&amp;query=""&amp;SUBSTITUTE(F205,"" "","""")),""📲 Avisar al cliente"""&amp;"),"""")"),"")</f>
        <v/>
      </c>
      <c r="L205" s="5" t="str">
        <f>IFERROR(__xludf.DUMMYFUNCTION("IF(C205&lt;&gt;"""",""https://api.qrserver.com/v1/create-qr-code/?size=200x200&amp;data=""&amp;ENCODEURL(""https://wa.me/507""&amp;REGEXREPLACE(C205,""[^0-9]"","""")&amp;""?text=""&amp;ENCODEURL(""Ya llegue. Codigo: ""&amp;A205&amp;"". Ubicacion: ""&amp;""https://www.google.com/maps/search/?a"&amp;"pi=1&amp;query=""&amp;SUBSTITUTE(F205,"" "",""""))),"""")"),"")</f>
        <v/>
      </c>
      <c r="M205" s="5" t="str">
        <f t="shared" si="6"/>
        <v/>
      </c>
      <c r="N205" s="5" t="str">
        <f>IFERROR(__xludf.DUMMYFUNCTION("IF(AND(F205&lt;&gt;"""",REGEXMATCH(SUBSTITUTE(F205,"" "",""""),""^-?\d+(\.\d+)?,-?\d+(\.\d+)?$""),VALUE(REGEXEXTRACT(SUBSTITUTE(F205,"" "",""""),""^-?\d+(\.\d+)?""))&gt;=-90,VALUE(REGEXEXTRACT(SUBSTITUTE(F205,"" "",""""),""^-?\d+(\.\d+)?""))&lt;=90,VALUE(REGEXEXTRACT"&amp;"(SUBSTITUTE(F205,"" "",""""),""-?\d+(\.\d+)?$""))&gt;=-180,VALUE(REGEXEXTRACT(SUBSTITUTE(F205,"" "",""""),""-?\d+(\.\d+)?$""))&lt;=180),""OK"",""REVISAR"")"),"#N/A")</f>
        <v>#N/A</v>
      </c>
    </row>
    <row r="206" ht="15.75" customHeight="1">
      <c r="A206" s="5" t="str">
        <f t="shared" si="1"/>
        <v>AD507-0204</v>
      </c>
      <c r="C206" s="5"/>
      <c r="F206" s="5"/>
      <c r="G206" s="5" t="str">
        <f t="shared" si="2"/>
        <v/>
      </c>
      <c r="H206" s="5" t="str">
        <f t="shared" si="3"/>
        <v/>
      </c>
      <c r="I206" s="5" t="str">
        <f t="shared" si="4"/>
        <v/>
      </c>
      <c r="J206" s="5" t="str">
        <f t="shared" si="5"/>
        <v/>
      </c>
      <c r="K206" s="5" t="str">
        <f>IFERROR(__xludf.DUMMYFUNCTION("IF(C206&lt;&gt;"""",HYPERLINK(""https://wa.me/507""&amp;REGEXREPLACE(C206,""[^0-9]"","""")&amp;""?text=""&amp;ENCODEURL(""Ya llegue. Codigo: ""&amp;A206&amp;"". Ubicacion: ""&amp;""https://www.google.com/maps/search/?api=1&amp;query=""&amp;SUBSTITUTE(F206,"" "","""")),""📲 Avisar al cliente"""&amp;"),"""")"),"")</f>
        <v/>
      </c>
      <c r="L206" s="5" t="str">
        <f>IFERROR(__xludf.DUMMYFUNCTION("IF(C206&lt;&gt;"""",""https://api.qrserver.com/v1/create-qr-code/?size=200x200&amp;data=""&amp;ENCODEURL(""https://wa.me/507""&amp;REGEXREPLACE(C206,""[^0-9]"","""")&amp;""?text=""&amp;ENCODEURL(""Ya llegue. Codigo: ""&amp;A206&amp;"". Ubicacion: ""&amp;""https://www.google.com/maps/search/?a"&amp;"pi=1&amp;query=""&amp;SUBSTITUTE(F206,"" "",""""))),"""")"),"")</f>
        <v/>
      </c>
      <c r="M206" s="5" t="str">
        <f t="shared" si="6"/>
        <v/>
      </c>
      <c r="N206" s="5" t="str">
        <f>IFERROR(__xludf.DUMMYFUNCTION("IF(AND(F206&lt;&gt;"""",REGEXMATCH(SUBSTITUTE(F206,"" "",""""),""^-?\d+(\.\d+)?,-?\d+(\.\d+)?$""),VALUE(REGEXEXTRACT(SUBSTITUTE(F206,"" "",""""),""^-?\d+(\.\d+)?""))&gt;=-90,VALUE(REGEXEXTRACT(SUBSTITUTE(F206,"" "",""""),""^-?\d+(\.\d+)?""))&lt;=90,VALUE(REGEXEXTRACT"&amp;"(SUBSTITUTE(F206,"" "",""""),""-?\d+(\.\d+)?$""))&gt;=-180,VALUE(REGEXEXTRACT(SUBSTITUTE(F206,"" "",""""),""-?\d+(\.\d+)?$""))&lt;=180),""OK"",""REVISAR"")"),"#N/A")</f>
        <v>#N/A</v>
      </c>
    </row>
    <row r="207" ht="15.75" customHeight="1">
      <c r="A207" s="5" t="str">
        <f t="shared" si="1"/>
        <v>AD507-0205</v>
      </c>
      <c r="C207" s="5"/>
      <c r="F207" s="5"/>
      <c r="G207" s="5" t="str">
        <f t="shared" si="2"/>
        <v/>
      </c>
      <c r="H207" s="5" t="str">
        <f t="shared" si="3"/>
        <v/>
      </c>
      <c r="I207" s="5" t="str">
        <f t="shared" si="4"/>
        <v/>
      </c>
      <c r="J207" s="5" t="str">
        <f t="shared" si="5"/>
        <v/>
      </c>
      <c r="K207" s="5" t="str">
        <f>IFERROR(__xludf.DUMMYFUNCTION("IF(C207&lt;&gt;"""",HYPERLINK(""https://wa.me/507""&amp;REGEXREPLACE(C207,""[^0-9]"","""")&amp;""?text=""&amp;ENCODEURL(""Ya llegue. Codigo: ""&amp;A207&amp;"". Ubicacion: ""&amp;""https://www.google.com/maps/search/?api=1&amp;query=""&amp;SUBSTITUTE(F207,"" "","""")),""📲 Avisar al cliente"""&amp;"),"""")"),"")</f>
        <v/>
      </c>
      <c r="L207" s="5" t="str">
        <f>IFERROR(__xludf.DUMMYFUNCTION("IF(C207&lt;&gt;"""",""https://api.qrserver.com/v1/create-qr-code/?size=200x200&amp;data=""&amp;ENCODEURL(""https://wa.me/507""&amp;REGEXREPLACE(C207,""[^0-9]"","""")&amp;""?text=""&amp;ENCODEURL(""Ya llegue. Codigo: ""&amp;A207&amp;"". Ubicacion: ""&amp;""https://www.google.com/maps/search/?a"&amp;"pi=1&amp;query=""&amp;SUBSTITUTE(F207,"" "",""""))),"""")"),"")</f>
        <v/>
      </c>
      <c r="M207" s="5" t="str">
        <f t="shared" si="6"/>
        <v/>
      </c>
      <c r="N207" s="5" t="str">
        <f>IFERROR(__xludf.DUMMYFUNCTION("IF(AND(F207&lt;&gt;"""",REGEXMATCH(SUBSTITUTE(F207,"" "",""""),""^-?\d+(\.\d+)?,-?\d+(\.\d+)?$""),VALUE(REGEXEXTRACT(SUBSTITUTE(F207,"" "",""""),""^-?\d+(\.\d+)?""))&gt;=-90,VALUE(REGEXEXTRACT(SUBSTITUTE(F207,"" "",""""),""^-?\d+(\.\d+)?""))&lt;=90,VALUE(REGEXEXTRACT"&amp;"(SUBSTITUTE(F207,"" "",""""),""-?\d+(\.\d+)?$""))&gt;=-180,VALUE(REGEXEXTRACT(SUBSTITUTE(F207,"" "",""""),""-?\d+(\.\d+)?$""))&lt;=180),""OK"",""REVISAR"")"),"#N/A")</f>
        <v>#N/A</v>
      </c>
    </row>
    <row r="208" ht="15.75" customHeight="1">
      <c r="A208" s="5" t="str">
        <f t="shared" si="1"/>
        <v>AD507-0206</v>
      </c>
      <c r="C208" s="5"/>
      <c r="F208" s="5"/>
      <c r="G208" s="5" t="str">
        <f t="shared" si="2"/>
        <v/>
      </c>
      <c r="H208" s="5" t="str">
        <f t="shared" si="3"/>
        <v/>
      </c>
      <c r="I208" s="5" t="str">
        <f t="shared" si="4"/>
        <v/>
      </c>
      <c r="J208" s="5" t="str">
        <f t="shared" si="5"/>
        <v/>
      </c>
      <c r="K208" s="5" t="str">
        <f>IFERROR(__xludf.DUMMYFUNCTION("IF(C208&lt;&gt;"""",HYPERLINK(""https://wa.me/507""&amp;REGEXREPLACE(C208,""[^0-9]"","""")&amp;""?text=""&amp;ENCODEURL(""Ya llegue. Codigo: ""&amp;A208&amp;"". Ubicacion: ""&amp;""https://www.google.com/maps/search/?api=1&amp;query=""&amp;SUBSTITUTE(F208,"" "","""")),""📲 Avisar al cliente"""&amp;"),"""")"),"")</f>
        <v/>
      </c>
      <c r="L208" s="5" t="str">
        <f>IFERROR(__xludf.DUMMYFUNCTION("IF(C208&lt;&gt;"""",""https://api.qrserver.com/v1/create-qr-code/?size=200x200&amp;data=""&amp;ENCODEURL(""https://wa.me/507""&amp;REGEXREPLACE(C208,""[^0-9]"","""")&amp;""?text=""&amp;ENCODEURL(""Ya llegue. Codigo: ""&amp;A208&amp;"". Ubicacion: ""&amp;""https://www.google.com/maps/search/?a"&amp;"pi=1&amp;query=""&amp;SUBSTITUTE(F208,"" "",""""))),"""")"),"")</f>
        <v/>
      </c>
      <c r="M208" s="5" t="str">
        <f t="shared" si="6"/>
        <v/>
      </c>
      <c r="N208" s="5" t="str">
        <f>IFERROR(__xludf.DUMMYFUNCTION("IF(AND(F208&lt;&gt;"""",REGEXMATCH(SUBSTITUTE(F208,"" "",""""),""^-?\d+(\.\d+)?,-?\d+(\.\d+)?$""),VALUE(REGEXEXTRACT(SUBSTITUTE(F208,"" "",""""),""^-?\d+(\.\d+)?""))&gt;=-90,VALUE(REGEXEXTRACT(SUBSTITUTE(F208,"" "",""""),""^-?\d+(\.\d+)?""))&lt;=90,VALUE(REGEXEXTRACT"&amp;"(SUBSTITUTE(F208,"" "",""""),""-?\d+(\.\d+)?$""))&gt;=-180,VALUE(REGEXEXTRACT(SUBSTITUTE(F208,"" "",""""),""-?\d+(\.\d+)?$""))&lt;=180),""OK"",""REVISAR"")"),"#N/A")</f>
        <v>#N/A</v>
      </c>
    </row>
    <row r="209" ht="15.75" customHeight="1">
      <c r="A209" s="5" t="str">
        <f t="shared" si="1"/>
        <v>AD507-0207</v>
      </c>
      <c r="C209" s="5"/>
      <c r="F209" s="5"/>
      <c r="G209" s="5" t="str">
        <f t="shared" si="2"/>
        <v/>
      </c>
      <c r="H209" s="5" t="str">
        <f t="shared" si="3"/>
        <v/>
      </c>
      <c r="I209" s="5" t="str">
        <f t="shared" si="4"/>
        <v/>
      </c>
      <c r="J209" s="5" t="str">
        <f t="shared" si="5"/>
        <v/>
      </c>
      <c r="K209" s="5" t="str">
        <f>IFERROR(__xludf.DUMMYFUNCTION("IF(C209&lt;&gt;"""",HYPERLINK(""https://wa.me/507""&amp;REGEXREPLACE(C209,""[^0-9]"","""")&amp;""?text=""&amp;ENCODEURL(""Ya llegue. Codigo: ""&amp;A209&amp;"". Ubicacion: ""&amp;""https://www.google.com/maps/search/?api=1&amp;query=""&amp;SUBSTITUTE(F209,"" "","""")),""📲 Avisar al cliente"""&amp;"),"""")"),"")</f>
        <v/>
      </c>
      <c r="L209" s="5" t="str">
        <f>IFERROR(__xludf.DUMMYFUNCTION("IF(C209&lt;&gt;"""",""https://api.qrserver.com/v1/create-qr-code/?size=200x200&amp;data=""&amp;ENCODEURL(""https://wa.me/507""&amp;REGEXREPLACE(C209,""[^0-9]"","""")&amp;""?text=""&amp;ENCODEURL(""Ya llegue. Codigo: ""&amp;A209&amp;"". Ubicacion: ""&amp;""https://www.google.com/maps/search/?a"&amp;"pi=1&amp;query=""&amp;SUBSTITUTE(F209,"" "",""""))),"""")"),"")</f>
        <v/>
      </c>
      <c r="M209" s="5" t="str">
        <f t="shared" si="6"/>
        <v/>
      </c>
      <c r="N209" s="5" t="str">
        <f>IFERROR(__xludf.DUMMYFUNCTION("IF(AND(F209&lt;&gt;"""",REGEXMATCH(SUBSTITUTE(F209,"" "",""""),""^-?\d+(\.\d+)?,-?\d+(\.\d+)?$""),VALUE(REGEXEXTRACT(SUBSTITUTE(F209,"" "",""""),""^-?\d+(\.\d+)?""))&gt;=-90,VALUE(REGEXEXTRACT(SUBSTITUTE(F209,"" "",""""),""^-?\d+(\.\d+)?""))&lt;=90,VALUE(REGEXEXTRACT"&amp;"(SUBSTITUTE(F209,"" "",""""),""-?\d+(\.\d+)?$""))&gt;=-180,VALUE(REGEXEXTRACT(SUBSTITUTE(F209,"" "",""""),""-?\d+(\.\d+)?$""))&lt;=180),""OK"",""REVISAR"")"),"#N/A")</f>
        <v>#N/A</v>
      </c>
    </row>
    <row r="210" ht="15.75" customHeight="1">
      <c r="A210" s="5" t="str">
        <f t="shared" si="1"/>
        <v>AD507-0208</v>
      </c>
      <c r="C210" s="5"/>
      <c r="F210" s="5"/>
      <c r="G210" s="5" t="str">
        <f t="shared" si="2"/>
        <v/>
      </c>
      <c r="H210" s="5" t="str">
        <f t="shared" si="3"/>
        <v/>
      </c>
      <c r="I210" s="5" t="str">
        <f t="shared" si="4"/>
        <v/>
      </c>
      <c r="J210" s="5" t="str">
        <f t="shared" si="5"/>
        <v/>
      </c>
      <c r="K210" s="5" t="str">
        <f>IFERROR(__xludf.DUMMYFUNCTION("IF(C210&lt;&gt;"""",HYPERLINK(""https://wa.me/507""&amp;REGEXREPLACE(C210,""[^0-9]"","""")&amp;""?text=""&amp;ENCODEURL(""Ya llegue. Codigo: ""&amp;A210&amp;"". Ubicacion: ""&amp;""https://www.google.com/maps/search/?api=1&amp;query=""&amp;SUBSTITUTE(F210,"" "","""")),""📲 Avisar al cliente"""&amp;"),"""")"),"")</f>
        <v/>
      </c>
      <c r="L210" s="5" t="str">
        <f>IFERROR(__xludf.DUMMYFUNCTION("IF(C210&lt;&gt;"""",""https://api.qrserver.com/v1/create-qr-code/?size=200x200&amp;data=""&amp;ENCODEURL(""https://wa.me/507""&amp;REGEXREPLACE(C210,""[^0-9]"","""")&amp;""?text=""&amp;ENCODEURL(""Ya llegue. Codigo: ""&amp;A210&amp;"". Ubicacion: ""&amp;""https://www.google.com/maps/search/?a"&amp;"pi=1&amp;query=""&amp;SUBSTITUTE(F210,"" "",""""))),"""")"),"")</f>
        <v/>
      </c>
      <c r="M210" s="5" t="str">
        <f t="shared" si="6"/>
        <v/>
      </c>
      <c r="N210" s="5" t="str">
        <f>IFERROR(__xludf.DUMMYFUNCTION("IF(AND(F210&lt;&gt;"""",REGEXMATCH(SUBSTITUTE(F210,"" "",""""),""^-?\d+(\.\d+)?,-?\d+(\.\d+)?$""),VALUE(REGEXEXTRACT(SUBSTITUTE(F210,"" "",""""),""^-?\d+(\.\d+)?""))&gt;=-90,VALUE(REGEXEXTRACT(SUBSTITUTE(F210,"" "",""""),""^-?\d+(\.\d+)?""))&lt;=90,VALUE(REGEXEXTRACT"&amp;"(SUBSTITUTE(F210,"" "",""""),""-?\d+(\.\d+)?$""))&gt;=-180,VALUE(REGEXEXTRACT(SUBSTITUTE(F210,"" "",""""),""-?\d+(\.\d+)?$""))&lt;=180),""OK"",""REVISAR"")"),"#N/A")</f>
        <v>#N/A</v>
      </c>
    </row>
    <row r="211" ht="15.75" customHeight="1">
      <c r="A211" s="5" t="str">
        <f t="shared" si="1"/>
        <v>AD507-0209</v>
      </c>
      <c r="C211" s="5"/>
      <c r="F211" s="5"/>
      <c r="G211" s="5" t="str">
        <f t="shared" si="2"/>
        <v/>
      </c>
      <c r="H211" s="5" t="str">
        <f t="shared" si="3"/>
        <v/>
      </c>
      <c r="I211" s="5" t="str">
        <f t="shared" si="4"/>
        <v/>
      </c>
      <c r="J211" s="5" t="str">
        <f t="shared" si="5"/>
        <v/>
      </c>
      <c r="K211" s="5" t="str">
        <f>IFERROR(__xludf.DUMMYFUNCTION("IF(C211&lt;&gt;"""",HYPERLINK(""https://wa.me/507""&amp;REGEXREPLACE(C211,""[^0-9]"","""")&amp;""?text=""&amp;ENCODEURL(""Ya llegue. Codigo: ""&amp;A211&amp;"". Ubicacion: ""&amp;""https://www.google.com/maps/search/?api=1&amp;query=""&amp;SUBSTITUTE(F211,"" "","""")),""📲 Avisar al cliente"""&amp;"),"""")"),"")</f>
        <v/>
      </c>
      <c r="L211" s="5" t="str">
        <f>IFERROR(__xludf.DUMMYFUNCTION("IF(C211&lt;&gt;"""",""https://api.qrserver.com/v1/create-qr-code/?size=200x200&amp;data=""&amp;ENCODEURL(""https://wa.me/507""&amp;REGEXREPLACE(C211,""[^0-9]"","""")&amp;""?text=""&amp;ENCODEURL(""Ya llegue. Codigo: ""&amp;A211&amp;"". Ubicacion: ""&amp;""https://www.google.com/maps/search/?a"&amp;"pi=1&amp;query=""&amp;SUBSTITUTE(F211,"" "",""""))),"""")"),"")</f>
        <v/>
      </c>
      <c r="M211" s="5" t="str">
        <f t="shared" si="6"/>
        <v/>
      </c>
      <c r="N211" s="5" t="str">
        <f>IFERROR(__xludf.DUMMYFUNCTION("IF(AND(F211&lt;&gt;"""",REGEXMATCH(SUBSTITUTE(F211,"" "",""""),""^-?\d+(\.\d+)?,-?\d+(\.\d+)?$""),VALUE(REGEXEXTRACT(SUBSTITUTE(F211,"" "",""""),""^-?\d+(\.\d+)?""))&gt;=-90,VALUE(REGEXEXTRACT(SUBSTITUTE(F211,"" "",""""),""^-?\d+(\.\d+)?""))&lt;=90,VALUE(REGEXEXTRACT"&amp;"(SUBSTITUTE(F211,"" "",""""),""-?\d+(\.\d+)?$""))&gt;=-180,VALUE(REGEXEXTRACT(SUBSTITUTE(F211,"" "",""""),""-?\d+(\.\d+)?$""))&lt;=180),""OK"",""REVISAR"")"),"#N/A")</f>
        <v>#N/A</v>
      </c>
    </row>
    <row r="212" ht="15.75" customHeight="1">
      <c r="A212" s="5" t="str">
        <f t="shared" si="1"/>
        <v>AD507-0210</v>
      </c>
      <c r="C212" s="5"/>
      <c r="F212" s="5"/>
      <c r="G212" s="5" t="str">
        <f t="shared" si="2"/>
        <v/>
      </c>
      <c r="H212" s="5" t="str">
        <f t="shared" si="3"/>
        <v/>
      </c>
      <c r="I212" s="5" t="str">
        <f t="shared" si="4"/>
        <v/>
      </c>
      <c r="J212" s="5" t="str">
        <f t="shared" si="5"/>
        <v/>
      </c>
      <c r="K212" s="5" t="str">
        <f>IFERROR(__xludf.DUMMYFUNCTION("IF(C212&lt;&gt;"""",HYPERLINK(""https://wa.me/507""&amp;REGEXREPLACE(C212,""[^0-9]"","""")&amp;""?text=""&amp;ENCODEURL(""Ya llegue. Codigo: ""&amp;A212&amp;"". Ubicacion: ""&amp;""https://www.google.com/maps/search/?api=1&amp;query=""&amp;SUBSTITUTE(F212,"" "","""")),""📲 Avisar al cliente"""&amp;"),"""")"),"")</f>
        <v/>
      </c>
      <c r="L212" s="5" t="str">
        <f>IFERROR(__xludf.DUMMYFUNCTION("IF(C212&lt;&gt;"""",""https://api.qrserver.com/v1/create-qr-code/?size=200x200&amp;data=""&amp;ENCODEURL(""https://wa.me/507""&amp;REGEXREPLACE(C212,""[^0-9]"","""")&amp;""?text=""&amp;ENCODEURL(""Ya llegue. Codigo: ""&amp;A212&amp;"". Ubicacion: ""&amp;""https://www.google.com/maps/search/?a"&amp;"pi=1&amp;query=""&amp;SUBSTITUTE(F212,"" "",""""))),"""")"),"")</f>
        <v/>
      </c>
      <c r="M212" s="5" t="str">
        <f t="shared" si="6"/>
        <v/>
      </c>
      <c r="N212" s="5" t="str">
        <f>IFERROR(__xludf.DUMMYFUNCTION("IF(AND(F212&lt;&gt;"""",REGEXMATCH(SUBSTITUTE(F212,"" "",""""),""^-?\d+(\.\d+)?,-?\d+(\.\d+)?$""),VALUE(REGEXEXTRACT(SUBSTITUTE(F212,"" "",""""),""^-?\d+(\.\d+)?""))&gt;=-90,VALUE(REGEXEXTRACT(SUBSTITUTE(F212,"" "",""""),""^-?\d+(\.\d+)?""))&lt;=90,VALUE(REGEXEXTRACT"&amp;"(SUBSTITUTE(F212,"" "",""""),""-?\d+(\.\d+)?$""))&gt;=-180,VALUE(REGEXEXTRACT(SUBSTITUTE(F212,"" "",""""),""-?\d+(\.\d+)?$""))&lt;=180),""OK"",""REVISAR"")"),"#N/A")</f>
        <v>#N/A</v>
      </c>
    </row>
    <row r="213" ht="15.75" customHeight="1">
      <c r="A213" s="5" t="str">
        <f t="shared" si="1"/>
        <v>AD507-0211</v>
      </c>
      <c r="C213" s="5"/>
      <c r="F213" s="5"/>
      <c r="G213" s="5" t="str">
        <f t="shared" si="2"/>
        <v/>
      </c>
      <c r="H213" s="5" t="str">
        <f t="shared" si="3"/>
        <v/>
      </c>
      <c r="I213" s="5" t="str">
        <f t="shared" si="4"/>
        <v/>
      </c>
      <c r="J213" s="5" t="str">
        <f t="shared" si="5"/>
        <v/>
      </c>
      <c r="K213" s="5" t="str">
        <f>IFERROR(__xludf.DUMMYFUNCTION("IF(C213&lt;&gt;"""",HYPERLINK(""https://wa.me/507""&amp;REGEXREPLACE(C213,""[^0-9]"","""")&amp;""?text=""&amp;ENCODEURL(""Ya llegue. Codigo: ""&amp;A213&amp;"". Ubicacion: ""&amp;""https://www.google.com/maps/search/?api=1&amp;query=""&amp;SUBSTITUTE(F213,"" "","""")),""📲 Avisar al cliente"""&amp;"),"""")"),"")</f>
        <v/>
      </c>
      <c r="L213" s="5" t="str">
        <f>IFERROR(__xludf.DUMMYFUNCTION("IF(C213&lt;&gt;"""",""https://api.qrserver.com/v1/create-qr-code/?size=200x200&amp;data=""&amp;ENCODEURL(""https://wa.me/507""&amp;REGEXREPLACE(C213,""[^0-9]"","""")&amp;""?text=""&amp;ENCODEURL(""Ya llegue. Codigo: ""&amp;A213&amp;"". Ubicacion: ""&amp;""https://www.google.com/maps/search/?a"&amp;"pi=1&amp;query=""&amp;SUBSTITUTE(F213,"" "",""""))),"""")"),"")</f>
        <v/>
      </c>
      <c r="M213" s="5" t="str">
        <f t="shared" si="6"/>
        <v/>
      </c>
      <c r="N213" s="5" t="str">
        <f>IFERROR(__xludf.DUMMYFUNCTION("IF(AND(F213&lt;&gt;"""",REGEXMATCH(SUBSTITUTE(F213,"" "",""""),""^-?\d+(\.\d+)?,-?\d+(\.\d+)?$""),VALUE(REGEXEXTRACT(SUBSTITUTE(F213,"" "",""""),""^-?\d+(\.\d+)?""))&gt;=-90,VALUE(REGEXEXTRACT(SUBSTITUTE(F213,"" "",""""),""^-?\d+(\.\d+)?""))&lt;=90,VALUE(REGEXEXTRACT"&amp;"(SUBSTITUTE(F213,"" "",""""),""-?\d+(\.\d+)?$""))&gt;=-180,VALUE(REGEXEXTRACT(SUBSTITUTE(F213,"" "",""""),""-?\d+(\.\d+)?$""))&lt;=180),""OK"",""REVISAR"")"),"#N/A")</f>
        <v>#N/A</v>
      </c>
    </row>
    <row r="214" ht="15.75" customHeight="1">
      <c r="A214" s="5" t="str">
        <f t="shared" si="1"/>
        <v>AD507-0212</v>
      </c>
      <c r="C214" s="5"/>
      <c r="F214" s="5"/>
      <c r="G214" s="5" t="str">
        <f t="shared" si="2"/>
        <v/>
      </c>
      <c r="H214" s="5" t="str">
        <f t="shared" si="3"/>
        <v/>
      </c>
      <c r="I214" s="5" t="str">
        <f t="shared" si="4"/>
        <v/>
      </c>
      <c r="J214" s="5" t="str">
        <f t="shared" si="5"/>
        <v/>
      </c>
      <c r="K214" s="5" t="str">
        <f>IFERROR(__xludf.DUMMYFUNCTION("IF(C214&lt;&gt;"""",HYPERLINK(""https://wa.me/507""&amp;REGEXREPLACE(C214,""[^0-9]"","""")&amp;""?text=""&amp;ENCODEURL(""Ya llegue. Codigo: ""&amp;A214&amp;"". Ubicacion: ""&amp;""https://www.google.com/maps/search/?api=1&amp;query=""&amp;SUBSTITUTE(F214,"" "","""")),""📲 Avisar al cliente"""&amp;"),"""")"),"")</f>
        <v/>
      </c>
      <c r="L214" s="5" t="str">
        <f>IFERROR(__xludf.DUMMYFUNCTION("IF(C214&lt;&gt;"""",""https://api.qrserver.com/v1/create-qr-code/?size=200x200&amp;data=""&amp;ENCODEURL(""https://wa.me/507""&amp;REGEXREPLACE(C214,""[^0-9]"","""")&amp;""?text=""&amp;ENCODEURL(""Ya llegue. Codigo: ""&amp;A214&amp;"". Ubicacion: ""&amp;""https://www.google.com/maps/search/?a"&amp;"pi=1&amp;query=""&amp;SUBSTITUTE(F214,"" "",""""))),"""")"),"")</f>
        <v/>
      </c>
      <c r="M214" s="5" t="str">
        <f t="shared" si="6"/>
        <v/>
      </c>
      <c r="N214" s="5" t="str">
        <f>IFERROR(__xludf.DUMMYFUNCTION("IF(AND(F214&lt;&gt;"""",REGEXMATCH(SUBSTITUTE(F214,"" "",""""),""^-?\d+(\.\d+)?,-?\d+(\.\d+)?$""),VALUE(REGEXEXTRACT(SUBSTITUTE(F214,"" "",""""),""^-?\d+(\.\d+)?""))&gt;=-90,VALUE(REGEXEXTRACT(SUBSTITUTE(F214,"" "",""""),""^-?\d+(\.\d+)?""))&lt;=90,VALUE(REGEXEXTRACT"&amp;"(SUBSTITUTE(F214,"" "",""""),""-?\d+(\.\d+)?$""))&gt;=-180,VALUE(REGEXEXTRACT(SUBSTITUTE(F214,"" "",""""),""-?\d+(\.\d+)?$""))&lt;=180),""OK"",""REVISAR"")"),"#N/A")</f>
        <v>#N/A</v>
      </c>
    </row>
    <row r="215" ht="15.75" customHeight="1">
      <c r="A215" s="5" t="str">
        <f t="shared" si="1"/>
        <v>AD507-0213</v>
      </c>
      <c r="C215" s="5"/>
      <c r="F215" s="5"/>
      <c r="G215" s="5" t="str">
        <f t="shared" si="2"/>
        <v/>
      </c>
      <c r="H215" s="5" t="str">
        <f t="shared" si="3"/>
        <v/>
      </c>
      <c r="I215" s="5" t="str">
        <f t="shared" si="4"/>
        <v/>
      </c>
      <c r="J215" s="5" t="str">
        <f t="shared" si="5"/>
        <v/>
      </c>
      <c r="K215" s="5" t="str">
        <f>IFERROR(__xludf.DUMMYFUNCTION("IF(C215&lt;&gt;"""",HYPERLINK(""https://wa.me/507""&amp;REGEXREPLACE(C215,""[^0-9]"","""")&amp;""?text=""&amp;ENCODEURL(""Ya llegue. Codigo: ""&amp;A215&amp;"". Ubicacion: ""&amp;""https://www.google.com/maps/search/?api=1&amp;query=""&amp;SUBSTITUTE(F215,"" "","""")),""📲 Avisar al cliente"""&amp;"),"""")"),"")</f>
        <v/>
      </c>
      <c r="L215" s="5" t="str">
        <f>IFERROR(__xludf.DUMMYFUNCTION("IF(C215&lt;&gt;"""",""https://api.qrserver.com/v1/create-qr-code/?size=200x200&amp;data=""&amp;ENCODEURL(""https://wa.me/507""&amp;REGEXREPLACE(C215,""[^0-9]"","""")&amp;""?text=""&amp;ENCODEURL(""Ya llegue. Codigo: ""&amp;A215&amp;"". Ubicacion: ""&amp;""https://www.google.com/maps/search/?a"&amp;"pi=1&amp;query=""&amp;SUBSTITUTE(F215,"" "",""""))),"""")"),"")</f>
        <v/>
      </c>
      <c r="M215" s="5" t="str">
        <f t="shared" si="6"/>
        <v/>
      </c>
      <c r="N215" s="5" t="str">
        <f>IFERROR(__xludf.DUMMYFUNCTION("IF(AND(F215&lt;&gt;"""",REGEXMATCH(SUBSTITUTE(F215,"" "",""""),""^-?\d+(\.\d+)?,-?\d+(\.\d+)?$""),VALUE(REGEXEXTRACT(SUBSTITUTE(F215,"" "",""""),""^-?\d+(\.\d+)?""))&gt;=-90,VALUE(REGEXEXTRACT(SUBSTITUTE(F215,"" "",""""),""^-?\d+(\.\d+)?""))&lt;=90,VALUE(REGEXEXTRACT"&amp;"(SUBSTITUTE(F215,"" "",""""),""-?\d+(\.\d+)?$""))&gt;=-180,VALUE(REGEXEXTRACT(SUBSTITUTE(F215,"" "",""""),""-?\d+(\.\d+)?$""))&lt;=180),""OK"",""REVISAR"")"),"#N/A")</f>
        <v>#N/A</v>
      </c>
    </row>
    <row r="216" ht="15.75" customHeight="1">
      <c r="A216" s="5" t="str">
        <f t="shared" si="1"/>
        <v>AD507-0214</v>
      </c>
      <c r="C216" s="5"/>
      <c r="F216" s="5"/>
      <c r="G216" s="5" t="str">
        <f t="shared" si="2"/>
        <v/>
      </c>
      <c r="H216" s="5" t="str">
        <f t="shared" si="3"/>
        <v/>
      </c>
      <c r="I216" s="5" t="str">
        <f t="shared" si="4"/>
        <v/>
      </c>
      <c r="J216" s="5" t="str">
        <f t="shared" si="5"/>
        <v/>
      </c>
      <c r="K216" s="5" t="str">
        <f>IFERROR(__xludf.DUMMYFUNCTION("IF(C216&lt;&gt;"""",HYPERLINK(""https://wa.me/507""&amp;REGEXREPLACE(C216,""[^0-9]"","""")&amp;""?text=""&amp;ENCODEURL(""Ya llegue. Codigo: ""&amp;A216&amp;"". Ubicacion: ""&amp;""https://www.google.com/maps/search/?api=1&amp;query=""&amp;SUBSTITUTE(F216,"" "","""")),""📲 Avisar al cliente"""&amp;"),"""")"),"")</f>
        <v/>
      </c>
      <c r="L216" s="5" t="str">
        <f>IFERROR(__xludf.DUMMYFUNCTION("IF(C216&lt;&gt;"""",""https://api.qrserver.com/v1/create-qr-code/?size=200x200&amp;data=""&amp;ENCODEURL(""https://wa.me/507""&amp;REGEXREPLACE(C216,""[^0-9]"","""")&amp;""?text=""&amp;ENCODEURL(""Ya llegue. Codigo: ""&amp;A216&amp;"". Ubicacion: ""&amp;""https://www.google.com/maps/search/?a"&amp;"pi=1&amp;query=""&amp;SUBSTITUTE(F216,"" "",""""))),"""")"),"")</f>
        <v/>
      </c>
      <c r="M216" s="5" t="str">
        <f t="shared" si="6"/>
        <v/>
      </c>
      <c r="N216" s="5" t="str">
        <f>IFERROR(__xludf.DUMMYFUNCTION("IF(AND(F216&lt;&gt;"""",REGEXMATCH(SUBSTITUTE(F216,"" "",""""),""^-?\d+(\.\d+)?,-?\d+(\.\d+)?$""),VALUE(REGEXEXTRACT(SUBSTITUTE(F216,"" "",""""),""^-?\d+(\.\d+)?""))&gt;=-90,VALUE(REGEXEXTRACT(SUBSTITUTE(F216,"" "",""""),""^-?\d+(\.\d+)?""))&lt;=90,VALUE(REGEXEXTRACT"&amp;"(SUBSTITUTE(F216,"" "",""""),""-?\d+(\.\d+)?$""))&gt;=-180,VALUE(REGEXEXTRACT(SUBSTITUTE(F216,"" "",""""),""-?\d+(\.\d+)?$""))&lt;=180),""OK"",""REVISAR"")"),"#N/A")</f>
        <v>#N/A</v>
      </c>
    </row>
    <row r="217" ht="15.75" customHeight="1">
      <c r="A217" s="5" t="str">
        <f t="shared" si="1"/>
        <v>AD507-0215</v>
      </c>
      <c r="C217" s="5"/>
      <c r="F217" s="5"/>
      <c r="G217" s="5" t="str">
        <f t="shared" si="2"/>
        <v/>
      </c>
      <c r="H217" s="5" t="str">
        <f t="shared" si="3"/>
        <v/>
      </c>
      <c r="I217" s="5" t="str">
        <f t="shared" si="4"/>
        <v/>
      </c>
      <c r="J217" s="5" t="str">
        <f t="shared" si="5"/>
        <v/>
      </c>
      <c r="K217" s="5" t="str">
        <f>IFERROR(__xludf.DUMMYFUNCTION("IF(C217&lt;&gt;"""",HYPERLINK(""https://wa.me/507""&amp;REGEXREPLACE(C217,""[^0-9]"","""")&amp;""?text=""&amp;ENCODEURL(""Ya llegue. Codigo: ""&amp;A217&amp;"". Ubicacion: ""&amp;""https://www.google.com/maps/search/?api=1&amp;query=""&amp;SUBSTITUTE(F217,"" "","""")),""📲 Avisar al cliente"""&amp;"),"""")"),"")</f>
        <v/>
      </c>
      <c r="L217" s="5" t="str">
        <f>IFERROR(__xludf.DUMMYFUNCTION("IF(C217&lt;&gt;"""",""https://api.qrserver.com/v1/create-qr-code/?size=200x200&amp;data=""&amp;ENCODEURL(""https://wa.me/507""&amp;REGEXREPLACE(C217,""[^0-9]"","""")&amp;""?text=""&amp;ENCODEURL(""Ya llegue. Codigo: ""&amp;A217&amp;"". Ubicacion: ""&amp;""https://www.google.com/maps/search/?a"&amp;"pi=1&amp;query=""&amp;SUBSTITUTE(F217,"" "",""""))),"""")"),"")</f>
        <v/>
      </c>
      <c r="M217" s="5" t="str">
        <f t="shared" si="6"/>
        <v/>
      </c>
      <c r="N217" s="5" t="str">
        <f>IFERROR(__xludf.DUMMYFUNCTION("IF(AND(F217&lt;&gt;"""",REGEXMATCH(SUBSTITUTE(F217,"" "",""""),""^-?\d+(\.\d+)?,-?\d+(\.\d+)?$""),VALUE(REGEXEXTRACT(SUBSTITUTE(F217,"" "",""""),""^-?\d+(\.\d+)?""))&gt;=-90,VALUE(REGEXEXTRACT(SUBSTITUTE(F217,"" "",""""),""^-?\d+(\.\d+)?""))&lt;=90,VALUE(REGEXEXTRACT"&amp;"(SUBSTITUTE(F217,"" "",""""),""-?\d+(\.\d+)?$""))&gt;=-180,VALUE(REGEXEXTRACT(SUBSTITUTE(F217,"" "",""""),""-?\d+(\.\d+)?$""))&lt;=180),""OK"",""REVISAR"")"),"#N/A")</f>
        <v>#N/A</v>
      </c>
    </row>
    <row r="218" ht="15.75" customHeight="1">
      <c r="A218" s="5" t="str">
        <f t="shared" si="1"/>
        <v>AD507-0216</v>
      </c>
      <c r="C218" s="5"/>
      <c r="F218" s="5"/>
      <c r="G218" s="5" t="str">
        <f t="shared" si="2"/>
        <v/>
      </c>
      <c r="H218" s="5" t="str">
        <f t="shared" si="3"/>
        <v/>
      </c>
      <c r="I218" s="5" t="str">
        <f t="shared" si="4"/>
        <v/>
      </c>
      <c r="J218" s="5" t="str">
        <f t="shared" si="5"/>
        <v/>
      </c>
      <c r="K218" s="5" t="str">
        <f>IFERROR(__xludf.DUMMYFUNCTION("IF(C218&lt;&gt;"""",HYPERLINK(""https://wa.me/507""&amp;REGEXREPLACE(C218,""[^0-9]"","""")&amp;""?text=""&amp;ENCODEURL(""Ya llegue. Codigo: ""&amp;A218&amp;"". Ubicacion: ""&amp;""https://www.google.com/maps/search/?api=1&amp;query=""&amp;SUBSTITUTE(F218,"" "","""")),""📲 Avisar al cliente"""&amp;"),"""")"),"")</f>
        <v/>
      </c>
      <c r="L218" s="5" t="str">
        <f>IFERROR(__xludf.DUMMYFUNCTION("IF(C218&lt;&gt;"""",""https://api.qrserver.com/v1/create-qr-code/?size=200x200&amp;data=""&amp;ENCODEURL(""https://wa.me/507""&amp;REGEXREPLACE(C218,""[^0-9]"","""")&amp;""?text=""&amp;ENCODEURL(""Ya llegue. Codigo: ""&amp;A218&amp;"". Ubicacion: ""&amp;""https://www.google.com/maps/search/?a"&amp;"pi=1&amp;query=""&amp;SUBSTITUTE(F218,"" "",""""))),"""")"),"")</f>
        <v/>
      </c>
      <c r="M218" s="5" t="str">
        <f t="shared" si="6"/>
        <v/>
      </c>
      <c r="N218" s="5" t="str">
        <f>IFERROR(__xludf.DUMMYFUNCTION("IF(AND(F218&lt;&gt;"""",REGEXMATCH(SUBSTITUTE(F218,"" "",""""),""^-?\d+(\.\d+)?,-?\d+(\.\d+)?$""),VALUE(REGEXEXTRACT(SUBSTITUTE(F218,"" "",""""),""^-?\d+(\.\d+)?""))&gt;=-90,VALUE(REGEXEXTRACT(SUBSTITUTE(F218,"" "",""""),""^-?\d+(\.\d+)?""))&lt;=90,VALUE(REGEXEXTRACT"&amp;"(SUBSTITUTE(F218,"" "",""""),""-?\d+(\.\d+)?$""))&gt;=-180,VALUE(REGEXEXTRACT(SUBSTITUTE(F218,"" "",""""),""-?\d+(\.\d+)?$""))&lt;=180),""OK"",""REVISAR"")"),"#N/A")</f>
        <v>#N/A</v>
      </c>
    </row>
    <row r="219" ht="15.75" customHeight="1">
      <c r="A219" s="5" t="str">
        <f t="shared" si="1"/>
        <v>AD507-0217</v>
      </c>
      <c r="C219" s="5"/>
      <c r="F219" s="5"/>
      <c r="G219" s="5" t="str">
        <f t="shared" si="2"/>
        <v/>
      </c>
      <c r="H219" s="5" t="str">
        <f t="shared" si="3"/>
        <v/>
      </c>
      <c r="I219" s="5" t="str">
        <f t="shared" si="4"/>
        <v/>
      </c>
      <c r="J219" s="5" t="str">
        <f t="shared" si="5"/>
        <v/>
      </c>
      <c r="K219" s="5" t="str">
        <f>IFERROR(__xludf.DUMMYFUNCTION("IF(C219&lt;&gt;"""",HYPERLINK(""https://wa.me/507""&amp;REGEXREPLACE(C219,""[^0-9]"","""")&amp;""?text=""&amp;ENCODEURL(""Ya llegue. Codigo: ""&amp;A219&amp;"". Ubicacion: ""&amp;""https://www.google.com/maps/search/?api=1&amp;query=""&amp;SUBSTITUTE(F219,"" "","""")),""📲 Avisar al cliente"""&amp;"),"""")"),"")</f>
        <v/>
      </c>
      <c r="L219" s="5" t="str">
        <f>IFERROR(__xludf.DUMMYFUNCTION("IF(C219&lt;&gt;"""",""https://api.qrserver.com/v1/create-qr-code/?size=200x200&amp;data=""&amp;ENCODEURL(""https://wa.me/507""&amp;REGEXREPLACE(C219,""[^0-9]"","""")&amp;""?text=""&amp;ENCODEURL(""Ya llegue. Codigo: ""&amp;A219&amp;"". Ubicacion: ""&amp;""https://www.google.com/maps/search/?a"&amp;"pi=1&amp;query=""&amp;SUBSTITUTE(F219,"" "",""""))),"""")"),"")</f>
        <v/>
      </c>
      <c r="M219" s="5" t="str">
        <f t="shared" si="6"/>
        <v/>
      </c>
      <c r="N219" s="5" t="str">
        <f>IFERROR(__xludf.DUMMYFUNCTION("IF(AND(F219&lt;&gt;"""",REGEXMATCH(SUBSTITUTE(F219,"" "",""""),""^-?\d+(\.\d+)?,-?\d+(\.\d+)?$""),VALUE(REGEXEXTRACT(SUBSTITUTE(F219,"" "",""""),""^-?\d+(\.\d+)?""))&gt;=-90,VALUE(REGEXEXTRACT(SUBSTITUTE(F219,"" "",""""),""^-?\d+(\.\d+)?""))&lt;=90,VALUE(REGEXEXTRACT"&amp;"(SUBSTITUTE(F219,"" "",""""),""-?\d+(\.\d+)?$""))&gt;=-180,VALUE(REGEXEXTRACT(SUBSTITUTE(F219,"" "",""""),""-?\d+(\.\d+)?$""))&lt;=180),""OK"",""REVISAR"")"),"#N/A")</f>
        <v>#N/A</v>
      </c>
    </row>
    <row r="220" ht="15.75" customHeight="1">
      <c r="A220" s="5" t="str">
        <f t="shared" si="1"/>
        <v>AD507-0218</v>
      </c>
      <c r="C220" s="5"/>
      <c r="F220" s="5"/>
      <c r="G220" s="5" t="str">
        <f t="shared" si="2"/>
        <v/>
      </c>
      <c r="H220" s="5" t="str">
        <f t="shared" si="3"/>
        <v/>
      </c>
      <c r="I220" s="5" t="str">
        <f t="shared" si="4"/>
        <v/>
      </c>
      <c r="J220" s="5" t="str">
        <f t="shared" si="5"/>
        <v/>
      </c>
      <c r="K220" s="5" t="str">
        <f>IFERROR(__xludf.DUMMYFUNCTION("IF(C220&lt;&gt;"""",HYPERLINK(""https://wa.me/507""&amp;REGEXREPLACE(C220,""[^0-9]"","""")&amp;""?text=""&amp;ENCODEURL(""Ya llegue. Codigo: ""&amp;A220&amp;"". Ubicacion: ""&amp;""https://www.google.com/maps/search/?api=1&amp;query=""&amp;SUBSTITUTE(F220,"" "","""")),""📲 Avisar al cliente"""&amp;"),"""")"),"")</f>
        <v/>
      </c>
      <c r="L220" s="5" t="str">
        <f>IFERROR(__xludf.DUMMYFUNCTION("IF(C220&lt;&gt;"""",""https://api.qrserver.com/v1/create-qr-code/?size=200x200&amp;data=""&amp;ENCODEURL(""https://wa.me/507""&amp;REGEXREPLACE(C220,""[^0-9]"","""")&amp;""?text=""&amp;ENCODEURL(""Ya llegue. Codigo: ""&amp;A220&amp;"". Ubicacion: ""&amp;""https://www.google.com/maps/search/?a"&amp;"pi=1&amp;query=""&amp;SUBSTITUTE(F220,"" "",""""))),"""")"),"")</f>
        <v/>
      </c>
      <c r="M220" s="5" t="str">
        <f t="shared" si="6"/>
        <v/>
      </c>
      <c r="N220" s="5" t="str">
        <f>IFERROR(__xludf.DUMMYFUNCTION("IF(AND(F220&lt;&gt;"""",REGEXMATCH(SUBSTITUTE(F220,"" "",""""),""^-?\d+(\.\d+)?,-?\d+(\.\d+)?$""),VALUE(REGEXEXTRACT(SUBSTITUTE(F220,"" "",""""),""^-?\d+(\.\d+)?""))&gt;=-90,VALUE(REGEXEXTRACT(SUBSTITUTE(F220,"" "",""""),""^-?\d+(\.\d+)?""))&lt;=90,VALUE(REGEXEXTRACT"&amp;"(SUBSTITUTE(F220,"" "",""""),""-?\d+(\.\d+)?$""))&gt;=-180,VALUE(REGEXEXTRACT(SUBSTITUTE(F220,"" "",""""),""-?\d+(\.\d+)?$""))&lt;=180),""OK"",""REVISAR"")"),"#N/A")</f>
        <v>#N/A</v>
      </c>
    </row>
    <row r="221" ht="15.75" customHeight="1">
      <c r="A221" s="5" t="str">
        <f t="shared" si="1"/>
        <v>AD507-0219</v>
      </c>
      <c r="C221" s="5"/>
      <c r="F221" s="5"/>
      <c r="G221" s="5" t="str">
        <f t="shared" si="2"/>
        <v/>
      </c>
      <c r="H221" s="5" t="str">
        <f t="shared" si="3"/>
        <v/>
      </c>
      <c r="I221" s="5" t="str">
        <f t="shared" si="4"/>
        <v/>
      </c>
      <c r="J221" s="5" t="str">
        <f t="shared" si="5"/>
        <v/>
      </c>
      <c r="K221" s="5" t="str">
        <f>IFERROR(__xludf.DUMMYFUNCTION("IF(C221&lt;&gt;"""",HYPERLINK(""https://wa.me/507""&amp;REGEXREPLACE(C221,""[^0-9]"","""")&amp;""?text=""&amp;ENCODEURL(""Ya llegue. Codigo: ""&amp;A221&amp;"". Ubicacion: ""&amp;""https://www.google.com/maps/search/?api=1&amp;query=""&amp;SUBSTITUTE(F221,"" "","""")),""📲 Avisar al cliente"""&amp;"),"""")"),"")</f>
        <v/>
      </c>
      <c r="L221" s="5" t="str">
        <f>IFERROR(__xludf.DUMMYFUNCTION("IF(C221&lt;&gt;"""",""https://api.qrserver.com/v1/create-qr-code/?size=200x200&amp;data=""&amp;ENCODEURL(""https://wa.me/507""&amp;REGEXREPLACE(C221,""[^0-9]"","""")&amp;""?text=""&amp;ENCODEURL(""Ya llegue. Codigo: ""&amp;A221&amp;"". Ubicacion: ""&amp;""https://www.google.com/maps/search/?a"&amp;"pi=1&amp;query=""&amp;SUBSTITUTE(F221,"" "",""""))),"""")"),"")</f>
        <v/>
      </c>
      <c r="M221" s="5" t="str">
        <f t="shared" si="6"/>
        <v/>
      </c>
      <c r="N221" s="5" t="str">
        <f>IFERROR(__xludf.DUMMYFUNCTION("IF(AND(F221&lt;&gt;"""",REGEXMATCH(SUBSTITUTE(F221,"" "",""""),""^-?\d+(\.\d+)?,-?\d+(\.\d+)?$""),VALUE(REGEXEXTRACT(SUBSTITUTE(F221,"" "",""""),""^-?\d+(\.\d+)?""))&gt;=-90,VALUE(REGEXEXTRACT(SUBSTITUTE(F221,"" "",""""),""^-?\d+(\.\d+)?""))&lt;=90,VALUE(REGEXEXTRACT"&amp;"(SUBSTITUTE(F221,"" "",""""),""-?\d+(\.\d+)?$""))&gt;=-180,VALUE(REGEXEXTRACT(SUBSTITUTE(F221,"" "",""""),""-?\d+(\.\d+)?$""))&lt;=180),""OK"",""REVISAR"")"),"#N/A")</f>
        <v>#N/A</v>
      </c>
    </row>
    <row r="222" ht="15.75" customHeight="1">
      <c r="A222" s="5" t="str">
        <f t="shared" si="1"/>
        <v>AD507-0220</v>
      </c>
      <c r="C222" s="5"/>
      <c r="F222" s="5"/>
      <c r="G222" s="5" t="str">
        <f t="shared" si="2"/>
        <v/>
      </c>
      <c r="H222" s="5" t="str">
        <f t="shared" si="3"/>
        <v/>
      </c>
      <c r="I222" s="5" t="str">
        <f t="shared" si="4"/>
        <v/>
      </c>
      <c r="J222" s="5" t="str">
        <f t="shared" si="5"/>
        <v/>
      </c>
      <c r="K222" s="5" t="str">
        <f>IFERROR(__xludf.DUMMYFUNCTION("IF(C222&lt;&gt;"""",HYPERLINK(""https://wa.me/507""&amp;REGEXREPLACE(C222,""[^0-9]"","""")&amp;""?text=""&amp;ENCODEURL(""Ya llegue. Codigo: ""&amp;A222&amp;"". Ubicacion: ""&amp;""https://www.google.com/maps/search/?api=1&amp;query=""&amp;SUBSTITUTE(F222,"" "","""")),""📲 Avisar al cliente"""&amp;"),"""")"),"")</f>
        <v/>
      </c>
      <c r="L222" s="5" t="str">
        <f>IFERROR(__xludf.DUMMYFUNCTION("IF(C222&lt;&gt;"""",""https://api.qrserver.com/v1/create-qr-code/?size=200x200&amp;data=""&amp;ENCODEURL(""https://wa.me/507""&amp;REGEXREPLACE(C222,""[^0-9]"","""")&amp;""?text=""&amp;ENCODEURL(""Ya llegue. Codigo: ""&amp;A222&amp;"". Ubicacion: ""&amp;""https://www.google.com/maps/search/?a"&amp;"pi=1&amp;query=""&amp;SUBSTITUTE(F222,"" "",""""))),"""")"),"")</f>
        <v/>
      </c>
      <c r="M222" s="5" t="str">
        <f t="shared" si="6"/>
        <v/>
      </c>
      <c r="N222" s="5" t="str">
        <f>IFERROR(__xludf.DUMMYFUNCTION("IF(AND(F222&lt;&gt;"""",REGEXMATCH(SUBSTITUTE(F222,"" "",""""),""^-?\d+(\.\d+)?,-?\d+(\.\d+)?$""),VALUE(REGEXEXTRACT(SUBSTITUTE(F222,"" "",""""),""^-?\d+(\.\d+)?""))&gt;=-90,VALUE(REGEXEXTRACT(SUBSTITUTE(F222,"" "",""""),""^-?\d+(\.\d+)?""))&lt;=90,VALUE(REGEXEXTRACT"&amp;"(SUBSTITUTE(F222,"" "",""""),""-?\d+(\.\d+)?$""))&gt;=-180,VALUE(REGEXEXTRACT(SUBSTITUTE(F222,"" "",""""),""-?\d+(\.\d+)?$""))&lt;=180),""OK"",""REVISAR"")"),"#N/A")</f>
        <v>#N/A</v>
      </c>
    </row>
    <row r="223" ht="15.75" customHeight="1">
      <c r="A223" s="5" t="str">
        <f t="shared" si="1"/>
        <v>AD507-0221</v>
      </c>
      <c r="C223" s="5"/>
      <c r="F223" s="5"/>
      <c r="G223" s="5" t="str">
        <f t="shared" si="2"/>
        <v/>
      </c>
      <c r="H223" s="5" t="str">
        <f t="shared" si="3"/>
        <v/>
      </c>
      <c r="I223" s="5" t="str">
        <f t="shared" si="4"/>
        <v/>
      </c>
      <c r="J223" s="5" t="str">
        <f t="shared" si="5"/>
        <v/>
      </c>
      <c r="K223" s="5" t="str">
        <f>IFERROR(__xludf.DUMMYFUNCTION("IF(C223&lt;&gt;"""",HYPERLINK(""https://wa.me/507""&amp;REGEXREPLACE(C223,""[^0-9]"","""")&amp;""?text=""&amp;ENCODEURL(""Ya llegue. Codigo: ""&amp;A223&amp;"". Ubicacion: ""&amp;""https://www.google.com/maps/search/?api=1&amp;query=""&amp;SUBSTITUTE(F223,"" "","""")),""📲 Avisar al cliente"""&amp;"),"""")"),"")</f>
        <v/>
      </c>
      <c r="L223" s="5" t="str">
        <f>IFERROR(__xludf.DUMMYFUNCTION("IF(C223&lt;&gt;"""",""https://api.qrserver.com/v1/create-qr-code/?size=200x200&amp;data=""&amp;ENCODEURL(""https://wa.me/507""&amp;REGEXREPLACE(C223,""[^0-9]"","""")&amp;""?text=""&amp;ENCODEURL(""Ya llegue. Codigo: ""&amp;A223&amp;"". Ubicacion: ""&amp;""https://www.google.com/maps/search/?a"&amp;"pi=1&amp;query=""&amp;SUBSTITUTE(F223,"" "",""""))),"""")"),"")</f>
        <v/>
      </c>
      <c r="M223" s="5" t="str">
        <f t="shared" si="6"/>
        <v/>
      </c>
      <c r="N223" s="5" t="str">
        <f>IFERROR(__xludf.DUMMYFUNCTION("IF(AND(F223&lt;&gt;"""",REGEXMATCH(SUBSTITUTE(F223,"" "",""""),""^-?\d+(\.\d+)?,-?\d+(\.\d+)?$""),VALUE(REGEXEXTRACT(SUBSTITUTE(F223,"" "",""""),""^-?\d+(\.\d+)?""))&gt;=-90,VALUE(REGEXEXTRACT(SUBSTITUTE(F223,"" "",""""),""^-?\d+(\.\d+)?""))&lt;=90,VALUE(REGEXEXTRACT"&amp;"(SUBSTITUTE(F223,"" "",""""),""-?\d+(\.\d+)?$""))&gt;=-180,VALUE(REGEXEXTRACT(SUBSTITUTE(F223,"" "",""""),""-?\d+(\.\d+)?$""))&lt;=180),""OK"",""REVISAR"")"),"#N/A")</f>
        <v>#N/A</v>
      </c>
    </row>
    <row r="224" ht="15.75" customHeight="1">
      <c r="A224" s="5" t="str">
        <f t="shared" si="1"/>
        <v>AD507-0222</v>
      </c>
      <c r="C224" s="5"/>
      <c r="F224" s="5"/>
      <c r="G224" s="5" t="str">
        <f t="shared" si="2"/>
        <v/>
      </c>
      <c r="H224" s="5" t="str">
        <f t="shared" si="3"/>
        <v/>
      </c>
      <c r="I224" s="5" t="str">
        <f t="shared" si="4"/>
        <v/>
      </c>
      <c r="J224" s="5" t="str">
        <f t="shared" si="5"/>
        <v/>
      </c>
      <c r="K224" s="5" t="str">
        <f>IFERROR(__xludf.DUMMYFUNCTION("IF(C224&lt;&gt;"""",HYPERLINK(""https://wa.me/507""&amp;REGEXREPLACE(C224,""[^0-9]"","""")&amp;""?text=""&amp;ENCODEURL(""Ya llegue. Codigo: ""&amp;A224&amp;"". Ubicacion: ""&amp;""https://www.google.com/maps/search/?api=1&amp;query=""&amp;SUBSTITUTE(F224,"" "","""")),""📲 Avisar al cliente"""&amp;"),"""")"),"")</f>
        <v/>
      </c>
      <c r="L224" s="5" t="str">
        <f>IFERROR(__xludf.DUMMYFUNCTION("IF(C224&lt;&gt;"""",""https://api.qrserver.com/v1/create-qr-code/?size=200x200&amp;data=""&amp;ENCODEURL(""https://wa.me/507""&amp;REGEXREPLACE(C224,""[^0-9]"","""")&amp;""?text=""&amp;ENCODEURL(""Ya llegue. Codigo: ""&amp;A224&amp;"". Ubicacion: ""&amp;""https://www.google.com/maps/search/?a"&amp;"pi=1&amp;query=""&amp;SUBSTITUTE(F224,"" "",""""))),"""")"),"")</f>
        <v/>
      </c>
      <c r="M224" s="5" t="str">
        <f t="shared" si="6"/>
        <v/>
      </c>
      <c r="N224" s="5" t="str">
        <f>IFERROR(__xludf.DUMMYFUNCTION("IF(AND(F224&lt;&gt;"""",REGEXMATCH(SUBSTITUTE(F224,"" "",""""),""^-?\d+(\.\d+)?,-?\d+(\.\d+)?$""),VALUE(REGEXEXTRACT(SUBSTITUTE(F224,"" "",""""),""^-?\d+(\.\d+)?""))&gt;=-90,VALUE(REGEXEXTRACT(SUBSTITUTE(F224,"" "",""""),""^-?\d+(\.\d+)?""))&lt;=90,VALUE(REGEXEXTRACT"&amp;"(SUBSTITUTE(F224,"" "",""""),""-?\d+(\.\d+)?$""))&gt;=-180,VALUE(REGEXEXTRACT(SUBSTITUTE(F224,"" "",""""),""-?\d+(\.\d+)?$""))&lt;=180),""OK"",""REVISAR"")"),"#N/A")</f>
        <v>#N/A</v>
      </c>
    </row>
    <row r="225" ht="15.75" customHeight="1">
      <c r="A225" s="5" t="str">
        <f t="shared" si="1"/>
        <v>AD507-0223</v>
      </c>
      <c r="C225" s="5"/>
      <c r="F225" s="5"/>
      <c r="G225" s="5" t="str">
        <f t="shared" si="2"/>
        <v/>
      </c>
      <c r="H225" s="5" t="str">
        <f t="shared" si="3"/>
        <v/>
      </c>
      <c r="I225" s="5" t="str">
        <f t="shared" si="4"/>
        <v/>
      </c>
      <c r="J225" s="5" t="str">
        <f t="shared" si="5"/>
        <v/>
      </c>
      <c r="K225" s="5" t="str">
        <f>IFERROR(__xludf.DUMMYFUNCTION("IF(C225&lt;&gt;"""",HYPERLINK(""https://wa.me/507""&amp;REGEXREPLACE(C225,""[^0-9]"","""")&amp;""?text=""&amp;ENCODEURL(""Ya llegue. Codigo: ""&amp;A225&amp;"". Ubicacion: ""&amp;""https://www.google.com/maps/search/?api=1&amp;query=""&amp;SUBSTITUTE(F225,"" "","""")),""📲 Avisar al cliente"""&amp;"),"""")"),"")</f>
        <v/>
      </c>
      <c r="L225" s="5" t="str">
        <f>IFERROR(__xludf.DUMMYFUNCTION("IF(C225&lt;&gt;"""",""https://api.qrserver.com/v1/create-qr-code/?size=200x200&amp;data=""&amp;ENCODEURL(""https://wa.me/507""&amp;REGEXREPLACE(C225,""[^0-9]"","""")&amp;""?text=""&amp;ENCODEURL(""Ya llegue. Codigo: ""&amp;A225&amp;"". Ubicacion: ""&amp;""https://www.google.com/maps/search/?a"&amp;"pi=1&amp;query=""&amp;SUBSTITUTE(F225,"" "",""""))),"""")"),"")</f>
        <v/>
      </c>
      <c r="M225" s="5" t="str">
        <f t="shared" si="6"/>
        <v/>
      </c>
      <c r="N225" s="5" t="str">
        <f>IFERROR(__xludf.DUMMYFUNCTION("IF(AND(F225&lt;&gt;"""",REGEXMATCH(SUBSTITUTE(F225,"" "",""""),""^-?\d+(\.\d+)?,-?\d+(\.\d+)?$""),VALUE(REGEXEXTRACT(SUBSTITUTE(F225,"" "",""""),""^-?\d+(\.\d+)?""))&gt;=-90,VALUE(REGEXEXTRACT(SUBSTITUTE(F225,"" "",""""),""^-?\d+(\.\d+)?""))&lt;=90,VALUE(REGEXEXTRACT"&amp;"(SUBSTITUTE(F225,"" "",""""),""-?\d+(\.\d+)?$""))&gt;=-180,VALUE(REGEXEXTRACT(SUBSTITUTE(F225,"" "",""""),""-?\d+(\.\d+)?$""))&lt;=180),""OK"",""REVISAR"")"),"#N/A")</f>
        <v>#N/A</v>
      </c>
    </row>
    <row r="226" ht="15.75" customHeight="1">
      <c r="A226" s="5" t="str">
        <f t="shared" si="1"/>
        <v>AD507-0224</v>
      </c>
      <c r="C226" s="5"/>
      <c r="F226" s="5"/>
      <c r="G226" s="5" t="str">
        <f t="shared" si="2"/>
        <v/>
      </c>
      <c r="H226" s="5" t="str">
        <f t="shared" si="3"/>
        <v/>
      </c>
      <c r="I226" s="5" t="str">
        <f t="shared" si="4"/>
        <v/>
      </c>
      <c r="J226" s="5" t="str">
        <f t="shared" si="5"/>
        <v/>
      </c>
      <c r="K226" s="5" t="str">
        <f>IFERROR(__xludf.DUMMYFUNCTION("IF(C226&lt;&gt;"""",HYPERLINK(""https://wa.me/507""&amp;REGEXREPLACE(C226,""[^0-9]"","""")&amp;""?text=""&amp;ENCODEURL(""Ya llegue. Codigo: ""&amp;A226&amp;"". Ubicacion: ""&amp;""https://www.google.com/maps/search/?api=1&amp;query=""&amp;SUBSTITUTE(F226,"" "","""")),""📲 Avisar al cliente"""&amp;"),"""")"),"")</f>
        <v/>
      </c>
      <c r="L226" s="5" t="str">
        <f>IFERROR(__xludf.DUMMYFUNCTION("IF(C226&lt;&gt;"""",""https://api.qrserver.com/v1/create-qr-code/?size=200x200&amp;data=""&amp;ENCODEURL(""https://wa.me/507""&amp;REGEXREPLACE(C226,""[^0-9]"","""")&amp;""?text=""&amp;ENCODEURL(""Ya llegue. Codigo: ""&amp;A226&amp;"". Ubicacion: ""&amp;""https://www.google.com/maps/search/?a"&amp;"pi=1&amp;query=""&amp;SUBSTITUTE(F226,"" "",""""))),"""")"),"")</f>
        <v/>
      </c>
      <c r="M226" s="5" t="str">
        <f t="shared" si="6"/>
        <v/>
      </c>
      <c r="N226" s="5" t="str">
        <f>IFERROR(__xludf.DUMMYFUNCTION("IF(AND(F226&lt;&gt;"""",REGEXMATCH(SUBSTITUTE(F226,"" "",""""),""^-?\d+(\.\d+)?,-?\d+(\.\d+)?$""),VALUE(REGEXEXTRACT(SUBSTITUTE(F226,"" "",""""),""^-?\d+(\.\d+)?""))&gt;=-90,VALUE(REGEXEXTRACT(SUBSTITUTE(F226,"" "",""""),""^-?\d+(\.\d+)?""))&lt;=90,VALUE(REGEXEXTRACT"&amp;"(SUBSTITUTE(F226,"" "",""""),""-?\d+(\.\d+)?$""))&gt;=-180,VALUE(REGEXEXTRACT(SUBSTITUTE(F226,"" "",""""),""-?\d+(\.\d+)?$""))&lt;=180),""OK"",""REVISAR"")"),"#N/A")</f>
        <v>#N/A</v>
      </c>
    </row>
    <row r="227" ht="15.75" customHeight="1">
      <c r="A227" s="5" t="str">
        <f t="shared" si="1"/>
        <v>AD507-0225</v>
      </c>
      <c r="C227" s="5"/>
      <c r="F227" s="5"/>
      <c r="G227" s="5" t="str">
        <f t="shared" si="2"/>
        <v/>
      </c>
      <c r="H227" s="5" t="str">
        <f t="shared" si="3"/>
        <v/>
      </c>
      <c r="I227" s="5" t="str">
        <f t="shared" si="4"/>
        <v/>
      </c>
      <c r="J227" s="5" t="str">
        <f t="shared" si="5"/>
        <v/>
      </c>
      <c r="K227" s="5" t="str">
        <f>IFERROR(__xludf.DUMMYFUNCTION("IF(C227&lt;&gt;"""",HYPERLINK(""https://wa.me/507""&amp;REGEXREPLACE(C227,""[^0-9]"","""")&amp;""?text=""&amp;ENCODEURL(""Ya llegue. Codigo: ""&amp;A227&amp;"". Ubicacion: ""&amp;""https://www.google.com/maps/search/?api=1&amp;query=""&amp;SUBSTITUTE(F227,"" "","""")),""📲 Avisar al cliente"""&amp;"),"""")"),"")</f>
        <v/>
      </c>
      <c r="L227" s="5" t="str">
        <f>IFERROR(__xludf.DUMMYFUNCTION("IF(C227&lt;&gt;"""",""https://api.qrserver.com/v1/create-qr-code/?size=200x200&amp;data=""&amp;ENCODEURL(""https://wa.me/507""&amp;REGEXREPLACE(C227,""[^0-9]"","""")&amp;""?text=""&amp;ENCODEURL(""Ya llegue. Codigo: ""&amp;A227&amp;"". Ubicacion: ""&amp;""https://www.google.com/maps/search/?a"&amp;"pi=1&amp;query=""&amp;SUBSTITUTE(F227,"" "",""""))),"""")"),"")</f>
        <v/>
      </c>
      <c r="M227" s="5" t="str">
        <f t="shared" si="6"/>
        <v/>
      </c>
      <c r="N227" s="5" t="str">
        <f>IFERROR(__xludf.DUMMYFUNCTION("IF(AND(F227&lt;&gt;"""",REGEXMATCH(SUBSTITUTE(F227,"" "",""""),""^-?\d+(\.\d+)?,-?\d+(\.\d+)?$""),VALUE(REGEXEXTRACT(SUBSTITUTE(F227,"" "",""""),""^-?\d+(\.\d+)?""))&gt;=-90,VALUE(REGEXEXTRACT(SUBSTITUTE(F227,"" "",""""),""^-?\d+(\.\d+)?""))&lt;=90,VALUE(REGEXEXTRACT"&amp;"(SUBSTITUTE(F227,"" "",""""),""-?\d+(\.\d+)?$""))&gt;=-180,VALUE(REGEXEXTRACT(SUBSTITUTE(F227,"" "",""""),""-?\d+(\.\d+)?$""))&lt;=180),""OK"",""REVISAR"")"),"#N/A")</f>
        <v>#N/A</v>
      </c>
    </row>
    <row r="228" ht="15.75" customHeight="1">
      <c r="A228" s="5" t="str">
        <f t="shared" si="1"/>
        <v>AD507-0226</v>
      </c>
      <c r="C228" s="5"/>
      <c r="F228" s="5"/>
      <c r="G228" s="5" t="str">
        <f t="shared" si="2"/>
        <v/>
      </c>
      <c r="H228" s="5" t="str">
        <f t="shared" si="3"/>
        <v/>
      </c>
      <c r="I228" s="5" t="str">
        <f t="shared" si="4"/>
        <v/>
      </c>
      <c r="J228" s="5" t="str">
        <f t="shared" si="5"/>
        <v/>
      </c>
      <c r="K228" s="5" t="str">
        <f>IFERROR(__xludf.DUMMYFUNCTION("IF(C228&lt;&gt;"""",HYPERLINK(""https://wa.me/507""&amp;REGEXREPLACE(C228,""[^0-9]"","""")&amp;""?text=""&amp;ENCODEURL(""Ya llegue. Codigo: ""&amp;A228&amp;"". Ubicacion: ""&amp;""https://www.google.com/maps/search/?api=1&amp;query=""&amp;SUBSTITUTE(F228,"" "","""")),""📲 Avisar al cliente"""&amp;"),"""")"),"")</f>
        <v/>
      </c>
      <c r="L228" s="5" t="str">
        <f>IFERROR(__xludf.DUMMYFUNCTION("IF(C228&lt;&gt;"""",""https://api.qrserver.com/v1/create-qr-code/?size=200x200&amp;data=""&amp;ENCODEURL(""https://wa.me/507""&amp;REGEXREPLACE(C228,""[^0-9]"","""")&amp;""?text=""&amp;ENCODEURL(""Ya llegue. Codigo: ""&amp;A228&amp;"". Ubicacion: ""&amp;""https://www.google.com/maps/search/?a"&amp;"pi=1&amp;query=""&amp;SUBSTITUTE(F228,"" "",""""))),"""")"),"")</f>
        <v/>
      </c>
      <c r="M228" s="5" t="str">
        <f t="shared" si="6"/>
        <v/>
      </c>
      <c r="N228" s="5" t="str">
        <f>IFERROR(__xludf.DUMMYFUNCTION("IF(AND(F228&lt;&gt;"""",REGEXMATCH(SUBSTITUTE(F228,"" "",""""),""^-?\d+(\.\d+)?,-?\d+(\.\d+)?$""),VALUE(REGEXEXTRACT(SUBSTITUTE(F228,"" "",""""),""^-?\d+(\.\d+)?""))&gt;=-90,VALUE(REGEXEXTRACT(SUBSTITUTE(F228,"" "",""""),""^-?\d+(\.\d+)?""))&lt;=90,VALUE(REGEXEXTRACT"&amp;"(SUBSTITUTE(F228,"" "",""""),""-?\d+(\.\d+)?$""))&gt;=-180,VALUE(REGEXEXTRACT(SUBSTITUTE(F228,"" "",""""),""-?\d+(\.\d+)?$""))&lt;=180),""OK"",""REVISAR"")"),"#N/A")</f>
        <v>#N/A</v>
      </c>
    </row>
    <row r="229" ht="15.75" customHeight="1">
      <c r="A229" s="5" t="str">
        <f t="shared" si="1"/>
        <v>AD507-0227</v>
      </c>
      <c r="C229" s="5"/>
      <c r="F229" s="5"/>
      <c r="G229" s="5" t="str">
        <f t="shared" si="2"/>
        <v/>
      </c>
      <c r="H229" s="5" t="str">
        <f t="shared" si="3"/>
        <v/>
      </c>
      <c r="I229" s="5" t="str">
        <f t="shared" si="4"/>
        <v/>
      </c>
      <c r="J229" s="5" t="str">
        <f t="shared" si="5"/>
        <v/>
      </c>
      <c r="K229" s="5" t="str">
        <f>IFERROR(__xludf.DUMMYFUNCTION("IF(C229&lt;&gt;"""",HYPERLINK(""https://wa.me/507""&amp;REGEXREPLACE(C229,""[^0-9]"","""")&amp;""?text=""&amp;ENCODEURL(""Ya llegue. Codigo: ""&amp;A229&amp;"". Ubicacion: ""&amp;""https://www.google.com/maps/search/?api=1&amp;query=""&amp;SUBSTITUTE(F229,"" "","""")),""📲 Avisar al cliente"""&amp;"),"""")"),"")</f>
        <v/>
      </c>
      <c r="L229" s="5" t="str">
        <f>IFERROR(__xludf.DUMMYFUNCTION("IF(C229&lt;&gt;"""",""https://api.qrserver.com/v1/create-qr-code/?size=200x200&amp;data=""&amp;ENCODEURL(""https://wa.me/507""&amp;REGEXREPLACE(C229,""[^0-9]"","""")&amp;""?text=""&amp;ENCODEURL(""Ya llegue. Codigo: ""&amp;A229&amp;"". Ubicacion: ""&amp;""https://www.google.com/maps/search/?a"&amp;"pi=1&amp;query=""&amp;SUBSTITUTE(F229,"" "",""""))),"""")"),"")</f>
        <v/>
      </c>
      <c r="M229" s="5" t="str">
        <f t="shared" si="6"/>
        <v/>
      </c>
      <c r="N229" s="5" t="str">
        <f>IFERROR(__xludf.DUMMYFUNCTION("IF(AND(F229&lt;&gt;"""",REGEXMATCH(SUBSTITUTE(F229,"" "",""""),""^-?\d+(\.\d+)?,-?\d+(\.\d+)?$""),VALUE(REGEXEXTRACT(SUBSTITUTE(F229,"" "",""""),""^-?\d+(\.\d+)?""))&gt;=-90,VALUE(REGEXEXTRACT(SUBSTITUTE(F229,"" "",""""),""^-?\d+(\.\d+)?""))&lt;=90,VALUE(REGEXEXTRACT"&amp;"(SUBSTITUTE(F229,"" "",""""),""-?\d+(\.\d+)?$""))&gt;=-180,VALUE(REGEXEXTRACT(SUBSTITUTE(F229,"" "",""""),""-?\d+(\.\d+)?$""))&lt;=180),""OK"",""REVISAR"")"),"#N/A")</f>
        <v>#N/A</v>
      </c>
    </row>
    <row r="230" ht="15.75" customHeight="1">
      <c r="A230" s="5" t="str">
        <f t="shared" si="1"/>
        <v>AD507-0228</v>
      </c>
      <c r="C230" s="5"/>
      <c r="F230" s="5"/>
      <c r="G230" s="5" t="str">
        <f t="shared" si="2"/>
        <v/>
      </c>
      <c r="H230" s="5" t="str">
        <f t="shared" si="3"/>
        <v/>
      </c>
      <c r="I230" s="5" t="str">
        <f t="shared" si="4"/>
        <v/>
      </c>
      <c r="J230" s="5" t="str">
        <f t="shared" si="5"/>
        <v/>
      </c>
      <c r="K230" s="5" t="str">
        <f>IFERROR(__xludf.DUMMYFUNCTION("IF(C230&lt;&gt;"""",HYPERLINK(""https://wa.me/507""&amp;REGEXREPLACE(C230,""[^0-9]"","""")&amp;""?text=""&amp;ENCODEURL(""Ya llegue. Codigo: ""&amp;A230&amp;"". Ubicacion: ""&amp;""https://www.google.com/maps/search/?api=1&amp;query=""&amp;SUBSTITUTE(F230,"" "","""")),""📲 Avisar al cliente"""&amp;"),"""")"),"")</f>
        <v/>
      </c>
      <c r="L230" s="5" t="str">
        <f>IFERROR(__xludf.DUMMYFUNCTION("IF(C230&lt;&gt;"""",""https://api.qrserver.com/v1/create-qr-code/?size=200x200&amp;data=""&amp;ENCODEURL(""https://wa.me/507""&amp;REGEXREPLACE(C230,""[^0-9]"","""")&amp;""?text=""&amp;ENCODEURL(""Ya llegue. Codigo: ""&amp;A230&amp;"". Ubicacion: ""&amp;""https://www.google.com/maps/search/?a"&amp;"pi=1&amp;query=""&amp;SUBSTITUTE(F230,"" "",""""))),"""")"),"")</f>
        <v/>
      </c>
      <c r="M230" s="5" t="str">
        <f t="shared" si="6"/>
        <v/>
      </c>
      <c r="N230" s="5" t="str">
        <f>IFERROR(__xludf.DUMMYFUNCTION("IF(AND(F230&lt;&gt;"""",REGEXMATCH(SUBSTITUTE(F230,"" "",""""),""^-?\d+(\.\d+)?,-?\d+(\.\d+)?$""),VALUE(REGEXEXTRACT(SUBSTITUTE(F230,"" "",""""),""^-?\d+(\.\d+)?""))&gt;=-90,VALUE(REGEXEXTRACT(SUBSTITUTE(F230,"" "",""""),""^-?\d+(\.\d+)?""))&lt;=90,VALUE(REGEXEXTRACT"&amp;"(SUBSTITUTE(F230,"" "",""""),""-?\d+(\.\d+)?$""))&gt;=-180,VALUE(REGEXEXTRACT(SUBSTITUTE(F230,"" "",""""),""-?\d+(\.\d+)?$""))&lt;=180),""OK"",""REVISAR"")"),"#N/A")</f>
        <v>#N/A</v>
      </c>
    </row>
    <row r="231" ht="15.75" customHeight="1">
      <c r="A231" s="5" t="str">
        <f t="shared" si="1"/>
        <v>AD507-0229</v>
      </c>
      <c r="C231" s="5"/>
      <c r="F231" s="5"/>
      <c r="G231" s="5" t="str">
        <f t="shared" si="2"/>
        <v/>
      </c>
      <c r="H231" s="5" t="str">
        <f t="shared" si="3"/>
        <v/>
      </c>
      <c r="I231" s="5" t="str">
        <f t="shared" si="4"/>
        <v/>
      </c>
      <c r="J231" s="5" t="str">
        <f t="shared" si="5"/>
        <v/>
      </c>
      <c r="K231" s="5" t="str">
        <f>IFERROR(__xludf.DUMMYFUNCTION("IF(C231&lt;&gt;"""",HYPERLINK(""https://wa.me/507""&amp;REGEXREPLACE(C231,""[^0-9]"","""")&amp;""?text=""&amp;ENCODEURL(""Ya llegue. Codigo: ""&amp;A231&amp;"". Ubicacion: ""&amp;""https://www.google.com/maps/search/?api=1&amp;query=""&amp;SUBSTITUTE(F231,"" "","""")),""📲 Avisar al cliente"""&amp;"),"""")"),"")</f>
        <v/>
      </c>
      <c r="L231" s="5" t="str">
        <f>IFERROR(__xludf.DUMMYFUNCTION("IF(C231&lt;&gt;"""",""https://api.qrserver.com/v1/create-qr-code/?size=200x200&amp;data=""&amp;ENCODEURL(""https://wa.me/507""&amp;REGEXREPLACE(C231,""[^0-9]"","""")&amp;""?text=""&amp;ENCODEURL(""Ya llegue. Codigo: ""&amp;A231&amp;"". Ubicacion: ""&amp;""https://www.google.com/maps/search/?a"&amp;"pi=1&amp;query=""&amp;SUBSTITUTE(F231,"" "",""""))),"""")"),"")</f>
        <v/>
      </c>
      <c r="M231" s="5" t="str">
        <f t="shared" si="6"/>
        <v/>
      </c>
      <c r="N231" s="5" t="str">
        <f>IFERROR(__xludf.DUMMYFUNCTION("IF(AND(F231&lt;&gt;"""",REGEXMATCH(SUBSTITUTE(F231,"" "",""""),""^-?\d+(\.\d+)?,-?\d+(\.\d+)?$""),VALUE(REGEXEXTRACT(SUBSTITUTE(F231,"" "",""""),""^-?\d+(\.\d+)?""))&gt;=-90,VALUE(REGEXEXTRACT(SUBSTITUTE(F231,"" "",""""),""^-?\d+(\.\d+)?""))&lt;=90,VALUE(REGEXEXTRACT"&amp;"(SUBSTITUTE(F231,"" "",""""),""-?\d+(\.\d+)?$""))&gt;=-180,VALUE(REGEXEXTRACT(SUBSTITUTE(F231,"" "",""""),""-?\d+(\.\d+)?$""))&lt;=180),""OK"",""REVISAR"")"),"#N/A")</f>
        <v>#N/A</v>
      </c>
    </row>
    <row r="232" ht="15.75" customHeight="1">
      <c r="A232" s="5" t="str">
        <f t="shared" si="1"/>
        <v>AD507-0230</v>
      </c>
      <c r="C232" s="5"/>
      <c r="F232" s="5"/>
      <c r="G232" s="5" t="str">
        <f t="shared" si="2"/>
        <v/>
      </c>
      <c r="H232" s="5" t="str">
        <f t="shared" si="3"/>
        <v/>
      </c>
      <c r="I232" s="5" t="str">
        <f t="shared" si="4"/>
        <v/>
      </c>
      <c r="J232" s="5" t="str">
        <f t="shared" si="5"/>
        <v/>
      </c>
      <c r="K232" s="5" t="str">
        <f>IFERROR(__xludf.DUMMYFUNCTION("IF(C232&lt;&gt;"""",HYPERLINK(""https://wa.me/507""&amp;REGEXREPLACE(C232,""[^0-9]"","""")&amp;""?text=""&amp;ENCODEURL(""Ya llegue. Codigo: ""&amp;A232&amp;"". Ubicacion: ""&amp;""https://www.google.com/maps/search/?api=1&amp;query=""&amp;SUBSTITUTE(F232,"" "","""")),""📲 Avisar al cliente"""&amp;"),"""")"),"")</f>
        <v/>
      </c>
      <c r="L232" s="5" t="str">
        <f>IFERROR(__xludf.DUMMYFUNCTION("IF(C232&lt;&gt;"""",""https://api.qrserver.com/v1/create-qr-code/?size=200x200&amp;data=""&amp;ENCODEURL(""https://wa.me/507""&amp;REGEXREPLACE(C232,""[^0-9]"","""")&amp;""?text=""&amp;ENCODEURL(""Ya llegue. Codigo: ""&amp;A232&amp;"". Ubicacion: ""&amp;""https://www.google.com/maps/search/?a"&amp;"pi=1&amp;query=""&amp;SUBSTITUTE(F232,"" "",""""))),"""")"),"")</f>
        <v/>
      </c>
      <c r="M232" s="5" t="str">
        <f t="shared" si="6"/>
        <v/>
      </c>
      <c r="N232" s="5" t="str">
        <f>IFERROR(__xludf.DUMMYFUNCTION("IF(AND(F232&lt;&gt;"""",REGEXMATCH(SUBSTITUTE(F232,"" "",""""),""^-?\d+(\.\d+)?,-?\d+(\.\d+)?$""),VALUE(REGEXEXTRACT(SUBSTITUTE(F232,"" "",""""),""^-?\d+(\.\d+)?""))&gt;=-90,VALUE(REGEXEXTRACT(SUBSTITUTE(F232,"" "",""""),""^-?\d+(\.\d+)?""))&lt;=90,VALUE(REGEXEXTRACT"&amp;"(SUBSTITUTE(F232,"" "",""""),""-?\d+(\.\d+)?$""))&gt;=-180,VALUE(REGEXEXTRACT(SUBSTITUTE(F232,"" "",""""),""-?\d+(\.\d+)?$""))&lt;=180),""OK"",""REVISAR"")"),"#N/A")</f>
        <v>#N/A</v>
      </c>
    </row>
    <row r="233" ht="15.75" customHeight="1">
      <c r="A233" s="5" t="str">
        <f t="shared" si="1"/>
        <v>AD507-0231</v>
      </c>
      <c r="C233" s="5"/>
      <c r="F233" s="5"/>
      <c r="G233" s="5" t="str">
        <f t="shared" si="2"/>
        <v/>
      </c>
      <c r="H233" s="5" t="str">
        <f t="shared" si="3"/>
        <v/>
      </c>
      <c r="I233" s="5" t="str">
        <f t="shared" si="4"/>
        <v/>
      </c>
      <c r="J233" s="5" t="str">
        <f t="shared" si="5"/>
        <v/>
      </c>
      <c r="K233" s="5" t="str">
        <f>IFERROR(__xludf.DUMMYFUNCTION("IF(C233&lt;&gt;"""",HYPERLINK(""https://wa.me/507""&amp;REGEXREPLACE(C233,""[^0-9]"","""")&amp;""?text=""&amp;ENCODEURL(""Ya llegue. Codigo: ""&amp;A233&amp;"". Ubicacion: ""&amp;""https://www.google.com/maps/search/?api=1&amp;query=""&amp;SUBSTITUTE(F233,"" "","""")),""📲 Avisar al cliente"""&amp;"),"""")"),"")</f>
        <v/>
      </c>
      <c r="L233" s="5" t="str">
        <f>IFERROR(__xludf.DUMMYFUNCTION("IF(C233&lt;&gt;"""",""https://api.qrserver.com/v1/create-qr-code/?size=200x200&amp;data=""&amp;ENCODEURL(""https://wa.me/507""&amp;REGEXREPLACE(C233,""[^0-9]"","""")&amp;""?text=""&amp;ENCODEURL(""Ya llegue. Codigo: ""&amp;A233&amp;"". Ubicacion: ""&amp;""https://www.google.com/maps/search/?a"&amp;"pi=1&amp;query=""&amp;SUBSTITUTE(F233,"" "",""""))),"""")"),"")</f>
        <v/>
      </c>
      <c r="M233" s="5" t="str">
        <f t="shared" si="6"/>
        <v/>
      </c>
      <c r="N233" s="5" t="str">
        <f>IFERROR(__xludf.DUMMYFUNCTION("IF(AND(F233&lt;&gt;"""",REGEXMATCH(SUBSTITUTE(F233,"" "",""""),""^-?\d+(\.\d+)?,-?\d+(\.\d+)?$""),VALUE(REGEXEXTRACT(SUBSTITUTE(F233,"" "",""""),""^-?\d+(\.\d+)?""))&gt;=-90,VALUE(REGEXEXTRACT(SUBSTITUTE(F233,"" "",""""),""^-?\d+(\.\d+)?""))&lt;=90,VALUE(REGEXEXTRACT"&amp;"(SUBSTITUTE(F233,"" "",""""),""-?\d+(\.\d+)?$""))&gt;=-180,VALUE(REGEXEXTRACT(SUBSTITUTE(F233,"" "",""""),""-?\d+(\.\d+)?$""))&lt;=180),""OK"",""REVISAR"")"),"#N/A")</f>
        <v>#N/A</v>
      </c>
    </row>
    <row r="234" ht="15.75" customHeight="1">
      <c r="A234" s="5" t="str">
        <f t="shared" si="1"/>
        <v>AD507-0232</v>
      </c>
      <c r="C234" s="5"/>
      <c r="F234" s="5"/>
      <c r="G234" s="5" t="str">
        <f t="shared" si="2"/>
        <v/>
      </c>
      <c r="H234" s="5" t="str">
        <f t="shared" si="3"/>
        <v/>
      </c>
      <c r="I234" s="5" t="str">
        <f t="shared" si="4"/>
        <v/>
      </c>
      <c r="J234" s="5" t="str">
        <f t="shared" si="5"/>
        <v/>
      </c>
      <c r="K234" s="5" t="str">
        <f>IFERROR(__xludf.DUMMYFUNCTION("IF(C234&lt;&gt;"""",HYPERLINK(""https://wa.me/507""&amp;REGEXREPLACE(C234,""[^0-9]"","""")&amp;""?text=""&amp;ENCODEURL(""Ya llegue. Codigo: ""&amp;A234&amp;"". Ubicacion: ""&amp;""https://www.google.com/maps/search/?api=1&amp;query=""&amp;SUBSTITUTE(F234,"" "","""")),""📲 Avisar al cliente"""&amp;"),"""")"),"")</f>
        <v/>
      </c>
      <c r="L234" s="5" t="str">
        <f>IFERROR(__xludf.DUMMYFUNCTION("IF(C234&lt;&gt;"""",""https://api.qrserver.com/v1/create-qr-code/?size=200x200&amp;data=""&amp;ENCODEURL(""https://wa.me/507""&amp;REGEXREPLACE(C234,""[^0-9]"","""")&amp;""?text=""&amp;ENCODEURL(""Ya llegue. Codigo: ""&amp;A234&amp;"". Ubicacion: ""&amp;""https://www.google.com/maps/search/?a"&amp;"pi=1&amp;query=""&amp;SUBSTITUTE(F234,"" "",""""))),"""")"),"")</f>
        <v/>
      </c>
      <c r="M234" s="5" t="str">
        <f t="shared" si="6"/>
        <v/>
      </c>
      <c r="N234" s="5" t="str">
        <f>IFERROR(__xludf.DUMMYFUNCTION("IF(AND(F234&lt;&gt;"""",REGEXMATCH(SUBSTITUTE(F234,"" "",""""),""^-?\d+(\.\d+)?,-?\d+(\.\d+)?$""),VALUE(REGEXEXTRACT(SUBSTITUTE(F234,"" "",""""),""^-?\d+(\.\d+)?""))&gt;=-90,VALUE(REGEXEXTRACT(SUBSTITUTE(F234,"" "",""""),""^-?\d+(\.\d+)?""))&lt;=90,VALUE(REGEXEXTRACT"&amp;"(SUBSTITUTE(F234,"" "",""""),""-?\d+(\.\d+)?$""))&gt;=-180,VALUE(REGEXEXTRACT(SUBSTITUTE(F234,"" "",""""),""-?\d+(\.\d+)?$""))&lt;=180),""OK"",""REVISAR"")"),"#N/A")</f>
        <v>#N/A</v>
      </c>
    </row>
    <row r="235" ht="15.75" customHeight="1">
      <c r="A235" s="5" t="str">
        <f t="shared" si="1"/>
        <v>AD507-0233</v>
      </c>
      <c r="C235" s="5"/>
      <c r="F235" s="5"/>
      <c r="G235" s="5" t="str">
        <f t="shared" si="2"/>
        <v/>
      </c>
      <c r="H235" s="5" t="str">
        <f t="shared" si="3"/>
        <v/>
      </c>
      <c r="I235" s="5" t="str">
        <f t="shared" si="4"/>
        <v/>
      </c>
      <c r="J235" s="5" t="str">
        <f t="shared" si="5"/>
        <v/>
      </c>
      <c r="K235" s="5" t="str">
        <f>IFERROR(__xludf.DUMMYFUNCTION("IF(C235&lt;&gt;"""",HYPERLINK(""https://wa.me/507""&amp;REGEXREPLACE(C235,""[^0-9]"","""")&amp;""?text=""&amp;ENCODEURL(""Ya llegue. Codigo: ""&amp;A235&amp;"". Ubicacion: ""&amp;""https://www.google.com/maps/search/?api=1&amp;query=""&amp;SUBSTITUTE(F235,"" "","""")),""📲 Avisar al cliente"""&amp;"),"""")"),"")</f>
        <v/>
      </c>
      <c r="L235" s="5" t="str">
        <f>IFERROR(__xludf.DUMMYFUNCTION("IF(C235&lt;&gt;"""",""https://api.qrserver.com/v1/create-qr-code/?size=200x200&amp;data=""&amp;ENCODEURL(""https://wa.me/507""&amp;REGEXREPLACE(C235,""[^0-9]"","""")&amp;""?text=""&amp;ENCODEURL(""Ya llegue. Codigo: ""&amp;A235&amp;"". Ubicacion: ""&amp;""https://www.google.com/maps/search/?a"&amp;"pi=1&amp;query=""&amp;SUBSTITUTE(F235,"" "",""""))),"""")"),"")</f>
        <v/>
      </c>
      <c r="M235" s="5" t="str">
        <f t="shared" si="6"/>
        <v/>
      </c>
      <c r="N235" s="5" t="str">
        <f>IFERROR(__xludf.DUMMYFUNCTION("IF(AND(F235&lt;&gt;"""",REGEXMATCH(SUBSTITUTE(F235,"" "",""""),""^-?\d+(\.\d+)?,-?\d+(\.\d+)?$""),VALUE(REGEXEXTRACT(SUBSTITUTE(F235,"" "",""""),""^-?\d+(\.\d+)?""))&gt;=-90,VALUE(REGEXEXTRACT(SUBSTITUTE(F235,"" "",""""),""^-?\d+(\.\d+)?""))&lt;=90,VALUE(REGEXEXTRACT"&amp;"(SUBSTITUTE(F235,"" "",""""),""-?\d+(\.\d+)?$""))&gt;=-180,VALUE(REGEXEXTRACT(SUBSTITUTE(F235,"" "",""""),""-?\d+(\.\d+)?$""))&lt;=180),""OK"",""REVISAR"")"),"#N/A")</f>
        <v>#N/A</v>
      </c>
    </row>
    <row r="236" ht="15.75" customHeight="1">
      <c r="A236" s="5" t="str">
        <f t="shared" si="1"/>
        <v>AD507-0234</v>
      </c>
      <c r="C236" s="5"/>
      <c r="F236" s="5"/>
      <c r="G236" s="5" t="str">
        <f t="shared" si="2"/>
        <v/>
      </c>
      <c r="H236" s="5" t="str">
        <f t="shared" si="3"/>
        <v/>
      </c>
      <c r="I236" s="5" t="str">
        <f t="shared" si="4"/>
        <v/>
      </c>
      <c r="J236" s="5" t="str">
        <f t="shared" si="5"/>
        <v/>
      </c>
      <c r="K236" s="5" t="str">
        <f>IFERROR(__xludf.DUMMYFUNCTION("IF(C236&lt;&gt;"""",HYPERLINK(""https://wa.me/507""&amp;REGEXREPLACE(C236,""[^0-9]"","""")&amp;""?text=""&amp;ENCODEURL(""Ya llegue. Codigo: ""&amp;A236&amp;"". Ubicacion: ""&amp;""https://www.google.com/maps/search/?api=1&amp;query=""&amp;SUBSTITUTE(F236,"" "","""")),""📲 Avisar al cliente"""&amp;"),"""")"),"")</f>
        <v/>
      </c>
      <c r="L236" s="5" t="str">
        <f>IFERROR(__xludf.DUMMYFUNCTION("IF(C236&lt;&gt;"""",""https://api.qrserver.com/v1/create-qr-code/?size=200x200&amp;data=""&amp;ENCODEURL(""https://wa.me/507""&amp;REGEXREPLACE(C236,""[^0-9]"","""")&amp;""?text=""&amp;ENCODEURL(""Ya llegue. Codigo: ""&amp;A236&amp;"". Ubicacion: ""&amp;""https://www.google.com/maps/search/?a"&amp;"pi=1&amp;query=""&amp;SUBSTITUTE(F236,"" "",""""))),"""")"),"")</f>
        <v/>
      </c>
      <c r="M236" s="5" t="str">
        <f t="shared" si="6"/>
        <v/>
      </c>
      <c r="N236" s="5" t="str">
        <f>IFERROR(__xludf.DUMMYFUNCTION("IF(AND(F236&lt;&gt;"""",REGEXMATCH(SUBSTITUTE(F236,"" "",""""),""^-?\d+(\.\d+)?,-?\d+(\.\d+)?$""),VALUE(REGEXEXTRACT(SUBSTITUTE(F236,"" "",""""),""^-?\d+(\.\d+)?""))&gt;=-90,VALUE(REGEXEXTRACT(SUBSTITUTE(F236,"" "",""""),""^-?\d+(\.\d+)?""))&lt;=90,VALUE(REGEXEXTRACT"&amp;"(SUBSTITUTE(F236,"" "",""""),""-?\d+(\.\d+)?$""))&gt;=-180,VALUE(REGEXEXTRACT(SUBSTITUTE(F236,"" "",""""),""-?\d+(\.\d+)?$""))&lt;=180),""OK"",""REVISAR"")"),"#N/A")</f>
        <v>#N/A</v>
      </c>
    </row>
    <row r="237" ht="15.75" customHeight="1">
      <c r="A237" s="5" t="str">
        <f t="shared" si="1"/>
        <v>AD507-0235</v>
      </c>
      <c r="C237" s="5"/>
      <c r="F237" s="5"/>
      <c r="G237" s="5" t="str">
        <f t="shared" si="2"/>
        <v/>
      </c>
      <c r="H237" s="5" t="str">
        <f t="shared" si="3"/>
        <v/>
      </c>
      <c r="I237" s="5" t="str">
        <f t="shared" si="4"/>
        <v/>
      </c>
      <c r="J237" s="5" t="str">
        <f t="shared" si="5"/>
        <v/>
      </c>
      <c r="K237" s="5" t="str">
        <f>IFERROR(__xludf.DUMMYFUNCTION("IF(C237&lt;&gt;"""",HYPERLINK(""https://wa.me/507""&amp;REGEXREPLACE(C237,""[^0-9]"","""")&amp;""?text=""&amp;ENCODEURL(""Ya llegue. Codigo: ""&amp;A237&amp;"". Ubicacion: ""&amp;""https://www.google.com/maps/search/?api=1&amp;query=""&amp;SUBSTITUTE(F237,"" "","""")),""📲 Avisar al cliente"""&amp;"),"""")"),"")</f>
        <v/>
      </c>
      <c r="L237" s="5" t="str">
        <f>IFERROR(__xludf.DUMMYFUNCTION("IF(C237&lt;&gt;"""",""https://api.qrserver.com/v1/create-qr-code/?size=200x200&amp;data=""&amp;ENCODEURL(""https://wa.me/507""&amp;REGEXREPLACE(C237,""[^0-9]"","""")&amp;""?text=""&amp;ENCODEURL(""Ya llegue. Codigo: ""&amp;A237&amp;"". Ubicacion: ""&amp;""https://www.google.com/maps/search/?a"&amp;"pi=1&amp;query=""&amp;SUBSTITUTE(F237,"" "",""""))),"""")"),"")</f>
        <v/>
      </c>
      <c r="M237" s="5" t="str">
        <f t="shared" si="6"/>
        <v/>
      </c>
      <c r="N237" s="5" t="str">
        <f>IFERROR(__xludf.DUMMYFUNCTION("IF(AND(F237&lt;&gt;"""",REGEXMATCH(SUBSTITUTE(F237,"" "",""""),""^-?\d+(\.\d+)?,-?\d+(\.\d+)?$""),VALUE(REGEXEXTRACT(SUBSTITUTE(F237,"" "",""""),""^-?\d+(\.\d+)?""))&gt;=-90,VALUE(REGEXEXTRACT(SUBSTITUTE(F237,"" "",""""),""^-?\d+(\.\d+)?""))&lt;=90,VALUE(REGEXEXTRACT"&amp;"(SUBSTITUTE(F237,"" "",""""),""-?\d+(\.\d+)?$""))&gt;=-180,VALUE(REGEXEXTRACT(SUBSTITUTE(F237,"" "",""""),""-?\d+(\.\d+)?$""))&lt;=180),""OK"",""REVISAR"")"),"#N/A")</f>
        <v>#N/A</v>
      </c>
    </row>
    <row r="238" ht="15.75" customHeight="1">
      <c r="A238" s="5" t="str">
        <f t="shared" si="1"/>
        <v>AD507-0236</v>
      </c>
      <c r="C238" s="5"/>
      <c r="F238" s="5"/>
      <c r="G238" s="5" t="str">
        <f t="shared" si="2"/>
        <v/>
      </c>
      <c r="H238" s="5" t="str">
        <f t="shared" si="3"/>
        <v/>
      </c>
      <c r="I238" s="5" t="str">
        <f t="shared" si="4"/>
        <v/>
      </c>
      <c r="J238" s="5" t="str">
        <f t="shared" si="5"/>
        <v/>
      </c>
      <c r="K238" s="5" t="str">
        <f>IFERROR(__xludf.DUMMYFUNCTION("IF(C238&lt;&gt;"""",HYPERLINK(""https://wa.me/507""&amp;REGEXREPLACE(C238,""[^0-9]"","""")&amp;""?text=""&amp;ENCODEURL(""Ya llegue. Codigo: ""&amp;A238&amp;"". Ubicacion: ""&amp;""https://www.google.com/maps/search/?api=1&amp;query=""&amp;SUBSTITUTE(F238,"" "","""")),""📲 Avisar al cliente"""&amp;"),"""")"),"")</f>
        <v/>
      </c>
      <c r="L238" s="5" t="str">
        <f>IFERROR(__xludf.DUMMYFUNCTION("IF(C238&lt;&gt;"""",""https://api.qrserver.com/v1/create-qr-code/?size=200x200&amp;data=""&amp;ENCODEURL(""https://wa.me/507""&amp;REGEXREPLACE(C238,""[^0-9]"","""")&amp;""?text=""&amp;ENCODEURL(""Ya llegue. Codigo: ""&amp;A238&amp;"". Ubicacion: ""&amp;""https://www.google.com/maps/search/?a"&amp;"pi=1&amp;query=""&amp;SUBSTITUTE(F238,"" "",""""))),"""")"),"")</f>
        <v/>
      </c>
      <c r="M238" s="5" t="str">
        <f t="shared" si="6"/>
        <v/>
      </c>
      <c r="N238" s="5" t="str">
        <f>IFERROR(__xludf.DUMMYFUNCTION("IF(AND(F238&lt;&gt;"""",REGEXMATCH(SUBSTITUTE(F238,"" "",""""),""^-?\d+(\.\d+)?,-?\d+(\.\d+)?$""),VALUE(REGEXEXTRACT(SUBSTITUTE(F238,"" "",""""),""^-?\d+(\.\d+)?""))&gt;=-90,VALUE(REGEXEXTRACT(SUBSTITUTE(F238,"" "",""""),""^-?\d+(\.\d+)?""))&lt;=90,VALUE(REGEXEXTRACT"&amp;"(SUBSTITUTE(F238,"" "",""""),""-?\d+(\.\d+)?$""))&gt;=-180,VALUE(REGEXEXTRACT(SUBSTITUTE(F238,"" "",""""),""-?\d+(\.\d+)?$""))&lt;=180),""OK"",""REVISAR"")"),"#N/A")</f>
        <v>#N/A</v>
      </c>
    </row>
    <row r="239" ht="15.75" customHeight="1">
      <c r="A239" s="5" t="str">
        <f t="shared" si="1"/>
        <v>AD507-0237</v>
      </c>
      <c r="C239" s="5"/>
      <c r="F239" s="5"/>
      <c r="G239" s="5" t="str">
        <f t="shared" si="2"/>
        <v/>
      </c>
      <c r="H239" s="5" t="str">
        <f t="shared" si="3"/>
        <v/>
      </c>
      <c r="I239" s="5" t="str">
        <f t="shared" si="4"/>
        <v/>
      </c>
      <c r="J239" s="5" t="str">
        <f t="shared" si="5"/>
        <v/>
      </c>
      <c r="K239" s="5" t="str">
        <f>IFERROR(__xludf.DUMMYFUNCTION("IF(C239&lt;&gt;"""",HYPERLINK(""https://wa.me/507""&amp;REGEXREPLACE(C239,""[^0-9]"","""")&amp;""?text=""&amp;ENCODEURL(""Ya llegue. Codigo: ""&amp;A239&amp;"". Ubicacion: ""&amp;""https://www.google.com/maps/search/?api=1&amp;query=""&amp;SUBSTITUTE(F239,"" "","""")),""📲 Avisar al cliente"""&amp;"),"""")"),"")</f>
        <v/>
      </c>
      <c r="L239" s="5" t="str">
        <f>IFERROR(__xludf.DUMMYFUNCTION("IF(C239&lt;&gt;"""",""https://api.qrserver.com/v1/create-qr-code/?size=200x200&amp;data=""&amp;ENCODEURL(""https://wa.me/507""&amp;REGEXREPLACE(C239,""[^0-9]"","""")&amp;""?text=""&amp;ENCODEURL(""Ya llegue. Codigo: ""&amp;A239&amp;"". Ubicacion: ""&amp;""https://www.google.com/maps/search/?a"&amp;"pi=1&amp;query=""&amp;SUBSTITUTE(F239,"" "",""""))),"""")"),"")</f>
        <v/>
      </c>
      <c r="M239" s="5" t="str">
        <f t="shared" si="6"/>
        <v/>
      </c>
      <c r="N239" s="5" t="str">
        <f>IFERROR(__xludf.DUMMYFUNCTION("IF(AND(F239&lt;&gt;"""",REGEXMATCH(SUBSTITUTE(F239,"" "",""""),""^-?\d+(\.\d+)?,-?\d+(\.\d+)?$""),VALUE(REGEXEXTRACT(SUBSTITUTE(F239,"" "",""""),""^-?\d+(\.\d+)?""))&gt;=-90,VALUE(REGEXEXTRACT(SUBSTITUTE(F239,"" "",""""),""^-?\d+(\.\d+)?""))&lt;=90,VALUE(REGEXEXTRACT"&amp;"(SUBSTITUTE(F239,"" "",""""),""-?\d+(\.\d+)?$""))&gt;=-180,VALUE(REGEXEXTRACT(SUBSTITUTE(F239,"" "",""""),""-?\d+(\.\d+)?$""))&lt;=180),""OK"",""REVISAR"")"),"#N/A")</f>
        <v>#N/A</v>
      </c>
    </row>
    <row r="240" ht="15.75" customHeight="1">
      <c r="A240" s="5" t="str">
        <f t="shared" si="1"/>
        <v>AD507-0238</v>
      </c>
      <c r="C240" s="5"/>
      <c r="F240" s="5"/>
      <c r="G240" s="5" t="str">
        <f t="shared" si="2"/>
        <v/>
      </c>
      <c r="H240" s="5" t="str">
        <f t="shared" si="3"/>
        <v/>
      </c>
      <c r="I240" s="5" t="str">
        <f t="shared" si="4"/>
        <v/>
      </c>
      <c r="J240" s="5" t="str">
        <f t="shared" si="5"/>
        <v/>
      </c>
      <c r="K240" s="5" t="str">
        <f>IFERROR(__xludf.DUMMYFUNCTION("IF(C240&lt;&gt;"""",HYPERLINK(""https://wa.me/507""&amp;REGEXREPLACE(C240,""[^0-9]"","""")&amp;""?text=""&amp;ENCODEURL(""Ya llegue. Codigo: ""&amp;A240&amp;"". Ubicacion: ""&amp;""https://www.google.com/maps/search/?api=1&amp;query=""&amp;SUBSTITUTE(F240,"" "","""")),""📲 Avisar al cliente"""&amp;"),"""")"),"")</f>
        <v/>
      </c>
      <c r="L240" s="5" t="str">
        <f>IFERROR(__xludf.DUMMYFUNCTION("IF(C240&lt;&gt;"""",""https://api.qrserver.com/v1/create-qr-code/?size=200x200&amp;data=""&amp;ENCODEURL(""https://wa.me/507""&amp;REGEXREPLACE(C240,""[^0-9]"","""")&amp;""?text=""&amp;ENCODEURL(""Ya llegue. Codigo: ""&amp;A240&amp;"". Ubicacion: ""&amp;""https://www.google.com/maps/search/?a"&amp;"pi=1&amp;query=""&amp;SUBSTITUTE(F240,"" "",""""))),"""")"),"")</f>
        <v/>
      </c>
      <c r="M240" s="5" t="str">
        <f t="shared" si="6"/>
        <v/>
      </c>
      <c r="N240" s="5" t="str">
        <f>IFERROR(__xludf.DUMMYFUNCTION("IF(AND(F240&lt;&gt;"""",REGEXMATCH(SUBSTITUTE(F240,"" "",""""),""^-?\d+(\.\d+)?,-?\d+(\.\d+)?$""),VALUE(REGEXEXTRACT(SUBSTITUTE(F240,"" "",""""),""^-?\d+(\.\d+)?""))&gt;=-90,VALUE(REGEXEXTRACT(SUBSTITUTE(F240,"" "",""""),""^-?\d+(\.\d+)?""))&lt;=90,VALUE(REGEXEXTRACT"&amp;"(SUBSTITUTE(F240,"" "",""""),""-?\d+(\.\d+)?$""))&gt;=-180,VALUE(REGEXEXTRACT(SUBSTITUTE(F240,"" "",""""),""-?\d+(\.\d+)?$""))&lt;=180),""OK"",""REVISAR"")"),"#N/A")</f>
        <v>#N/A</v>
      </c>
    </row>
    <row r="241" ht="15.75" customHeight="1">
      <c r="A241" s="5" t="str">
        <f t="shared" si="1"/>
        <v>AD507-0239</v>
      </c>
      <c r="C241" s="5"/>
      <c r="F241" s="5"/>
      <c r="G241" s="5" t="str">
        <f t="shared" si="2"/>
        <v/>
      </c>
      <c r="H241" s="5" t="str">
        <f t="shared" si="3"/>
        <v/>
      </c>
      <c r="I241" s="5" t="str">
        <f t="shared" si="4"/>
        <v/>
      </c>
      <c r="J241" s="5" t="str">
        <f t="shared" si="5"/>
        <v/>
      </c>
      <c r="K241" s="5" t="str">
        <f>IFERROR(__xludf.DUMMYFUNCTION("IF(C241&lt;&gt;"""",HYPERLINK(""https://wa.me/507""&amp;REGEXREPLACE(C241,""[^0-9]"","""")&amp;""?text=""&amp;ENCODEURL(""Ya llegue. Codigo: ""&amp;A241&amp;"". Ubicacion: ""&amp;""https://www.google.com/maps/search/?api=1&amp;query=""&amp;SUBSTITUTE(F241,"" "","""")),""📲 Avisar al cliente"""&amp;"),"""")"),"")</f>
        <v/>
      </c>
      <c r="L241" s="5" t="str">
        <f>IFERROR(__xludf.DUMMYFUNCTION("IF(C241&lt;&gt;"""",""https://api.qrserver.com/v1/create-qr-code/?size=200x200&amp;data=""&amp;ENCODEURL(""https://wa.me/507""&amp;REGEXREPLACE(C241,""[^0-9]"","""")&amp;""?text=""&amp;ENCODEURL(""Ya llegue. Codigo: ""&amp;A241&amp;"". Ubicacion: ""&amp;""https://www.google.com/maps/search/?a"&amp;"pi=1&amp;query=""&amp;SUBSTITUTE(F241,"" "",""""))),"""")"),"")</f>
        <v/>
      </c>
      <c r="M241" s="5" t="str">
        <f t="shared" si="6"/>
        <v/>
      </c>
      <c r="N241" s="5" t="str">
        <f>IFERROR(__xludf.DUMMYFUNCTION("IF(AND(F241&lt;&gt;"""",REGEXMATCH(SUBSTITUTE(F241,"" "",""""),""^-?\d+(\.\d+)?,-?\d+(\.\d+)?$""),VALUE(REGEXEXTRACT(SUBSTITUTE(F241,"" "",""""),""^-?\d+(\.\d+)?""))&gt;=-90,VALUE(REGEXEXTRACT(SUBSTITUTE(F241,"" "",""""),""^-?\d+(\.\d+)?""))&lt;=90,VALUE(REGEXEXTRACT"&amp;"(SUBSTITUTE(F241,"" "",""""),""-?\d+(\.\d+)?$""))&gt;=-180,VALUE(REGEXEXTRACT(SUBSTITUTE(F241,"" "",""""),""-?\d+(\.\d+)?$""))&lt;=180),""OK"",""REVISAR"")"),"#N/A")</f>
        <v>#N/A</v>
      </c>
    </row>
    <row r="242" ht="15.75" customHeight="1">
      <c r="A242" s="5" t="str">
        <f t="shared" si="1"/>
        <v>AD507-0240</v>
      </c>
      <c r="C242" s="5"/>
      <c r="F242" s="5"/>
      <c r="G242" s="5" t="str">
        <f t="shared" si="2"/>
        <v/>
      </c>
      <c r="H242" s="5" t="str">
        <f t="shared" si="3"/>
        <v/>
      </c>
      <c r="I242" s="5" t="str">
        <f t="shared" si="4"/>
        <v/>
      </c>
      <c r="J242" s="5" t="str">
        <f t="shared" si="5"/>
        <v/>
      </c>
      <c r="K242" s="5" t="str">
        <f>IFERROR(__xludf.DUMMYFUNCTION("IF(C242&lt;&gt;"""",HYPERLINK(""https://wa.me/507""&amp;REGEXREPLACE(C242,""[^0-9]"","""")&amp;""?text=""&amp;ENCODEURL(""Ya llegue. Codigo: ""&amp;A242&amp;"". Ubicacion: ""&amp;""https://www.google.com/maps/search/?api=1&amp;query=""&amp;SUBSTITUTE(F242,"" "","""")),""📲 Avisar al cliente"""&amp;"),"""")"),"")</f>
        <v/>
      </c>
      <c r="L242" s="5" t="str">
        <f>IFERROR(__xludf.DUMMYFUNCTION("IF(C242&lt;&gt;"""",""https://api.qrserver.com/v1/create-qr-code/?size=200x200&amp;data=""&amp;ENCODEURL(""https://wa.me/507""&amp;REGEXREPLACE(C242,""[^0-9]"","""")&amp;""?text=""&amp;ENCODEURL(""Ya llegue. Codigo: ""&amp;A242&amp;"". Ubicacion: ""&amp;""https://www.google.com/maps/search/?a"&amp;"pi=1&amp;query=""&amp;SUBSTITUTE(F242,"" "",""""))),"""")"),"")</f>
        <v/>
      </c>
      <c r="M242" s="5" t="str">
        <f t="shared" si="6"/>
        <v/>
      </c>
      <c r="N242" s="5" t="str">
        <f>IFERROR(__xludf.DUMMYFUNCTION("IF(AND(F242&lt;&gt;"""",REGEXMATCH(SUBSTITUTE(F242,"" "",""""),""^-?\d+(\.\d+)?,-?\d+(\.\d+)?$""),VALUE(REGEXEXTRACT(SUBSTITUTE(F242,"" "",""""),""^-?\d+(\.\d+)?""))&gt;=-90,VALUE(REGEXEXTRACT(SUBSTITUTE(F242,"" "",""""),""^-?\d+(\.\d+)?""))&lt;=90,VALUE(REGEXEXTRACT"&amp;"(SUBSTITUTE(F242,"" "",""""),""-?\d+(\.\d+)?$""))&gt;=-180,VALUE(REGEXEXTRACT(SUBSTITUTE(F242,"" "",""""),""-?\d+(\.\d+)?$""))&lt;=180),""OK"",""REVISAR"")"),"#N/A")</f>
        <v>#N/A</v>
      </c>
    </row>
    <row r="243" ht="15.75" customHeight="1">
      <c r="A243" s="5" t="str">
        <f t="shared" si="1"/>
        <v>AD507-0241</v>
      </c>
      <c r="C243" s="5"/>
      <c r="F243" s="5"/>
      <c r="G243" s="5" t="str">
        <f t="shared" si="2"/>
        <v/>
      </c>
      <c r="H243" s="5" t="str">
        <f t="shared" si="3"/>
        <v/>
      </c>
      <c r="I243" s="5" t="str">
        <f t="shared" si="4"/>
        <v/>
      </c>
      <c r="J243" s="5" t="str">
        <f t="shared" si="5"/>
        <v/>
      </c>
      <c r="K243" s="5" t="str">
        <f>IFERROR(__xludf.DUMMYFUNCTION("IF(C243&lt;&gt;"""",HYPERLINK(""https://wa.me/507""&amp;REGEXREPLACE(C243,""[^0-9]"","""")&amp;""?text=""&amp;ENCODEURL(""Ya llegue. Codigo: ""&amp;A243&amp;"". Ubicacion: ""&amp;""https://www.google.com/maps/search/?api=1&amp;query=""&amp;SUBSTITUTE(F243,"" "","""")),""📲 Avisar al cliente"""&amp;"),"""")"),"")</f>
        <v/>
      </c>
      <c r="L243" s="5" t="str">
        <f>IFERROR(__xludf.DUMMYFUNCTION("IF(C243&lt;&gt;"""",""https://api.qrserver.com/v1/create-qr-code/?size=200x200&amp;data=""&amp;ENCODEURL(""https://wa.me/507""&amp;REGEXREPLACE(C243,""[^0-9]"","""")&amp;""?text=""&amp;ENCODEURL(""Ya llegue. Codigo: ""&amp;A243&amp;"". Ubicacion: ""&amp;""https://www.google.com/maps/search/?a"&amp;"pi=1&amp;query=""&amp;SUBSTITUTE(F243,"" "",""""))),"""")"),"")</f>
        <v/>
      </c>
      <c r="M243" s="5" t="str">
        <f t="shared" si="6"/>
        <v/>
      </c>
      <c r="N243" s="5" t="str">
        <f>IFERROR(__xludf.DUMMYFUNCTION("IF(AND(F243&lt;&gt;"""",REGEXMATCH(SUBSTITUTE(F243,"" "",""""),""^-?\d+(\.\d+)?,-?\d+(\.\d+)?$""),VALUE(REGEXEXTRACT(SUBSTITUTE(F243,"" "",""""),""^-?\d+(\.\d+)?""))&gt;=-90,VALUE(REGEXEXTRACT(SUBSTITUTE(F243,"" "",""""),""^-?\d+(\.\d+)?""))&lt;=90,VALUE(REGEXEXTRACT"&amp;"(SUBSTITUTE(F243,"" "",""""),""-?\d+(\.\d+)?$""))&gt;=-180,VALUE(REGEXEXTRACT(SUBSTITUTE(F243,"" "",""""),""-?\d+(\.\d+)?$""))&lt;=180),""OK"",""REVISAR"")"),"#N/A")</f>
        <v>#N/A</v>
      </c>
    </row>
    <row r="244" ht="15.75" customHeight="1">
      <c r="A244" s="5" t="str">
        <f t="shared" si="1"/>
        <v>AD507-0242</v>
      </c>
      <c r="C244" s="5"/>
      <c r="F244" s="5"/>
      <c r="G244" s="5" t="str">
        <f t="shared" si="2"/>
        <v/>
      </c>
      <c r="H244" s="5" t="str">
        <f t="shared" si="3"/>
        <v/>
      </c>
      <c r="I244" s="5" t="str">
        <f t="shared" si="4"/>
        <v/>
      </c>
      <c r="J244" s="5" t="str">
        <f t="shared" si="5"/>
        <v/>
      </c>
      <c r="K244" s="5" t="str">
        <f>IFERROR(__xludf.DUMMYFUNCTION("IF(C244&lt;&gt;"""",HYPERLINK(""https://wa.me/507""&amp;REGEXREPLACE(C244,""[^0-9]"","""")&amp;""?text=""&amp;ENCODEURL(""Ya llegue. Codigo: ""&amp;A244&amp;"". Ubicacion: ""&amp;""https://www.google.com/maps/search/?api=1&amp;query=""&amp;SUBSTITUTE(F244,"" "","""")),""📲 Avisar al cliente"""&amp;"),"""")"),"")</f>
        <v/>
      </c>
      <c r="L244" s="5" t="str">
        <f>IFERROR(__xludf.DUMMYFUNCTION("IF(C244&lt;&gt;"""",""https://api.qrserver.com/v1/create-qr-code/?size=200x200&amp;data=""&amp;ENCODEURL(""https://wa.me/507""&amp;REGEXREPLACE(C244,""[^0-9]"","""")&amp;""?text=""&amp;ENCODEURL(""Ya llegue. Codigo: ""&amp;A244&amp;"". Ubicacion: ""&amp;""https://www.google.com/maps/search/?a"&amp;"pi=1&amp;query=""&amp;SUBSTITUTE(F244,"" "",""""))),"""")"),"")</f>
        <v/>
      </c>
      <c r="M244" s="5" t="str">
        <f t="shared" si="6"/>
        <v/>
      </c>
      <c r="N244" s="5" t="str">
        <f>IFERROR(__xludf.DUMMYFUNCTION("IF(AND(F244&lt;&gt;"""",REGEXMATCH(SUBSTITUTE(F244,"" "",""""),""^-?\d+(\.\d+)?,-?\d+(\.\d+)?$""),VALUE(REGEXEXTRACT(SUBSTITUTE(F244,"" "",""""),""^-?\d+(\.\d+)?""))&gt;=-90,VALUE(REGEXEXTRACT(SUBSTITUTE(F244,"" "",""""),""^-?\d+(\.\d+)?""))&lt;=90,VALUE(REGEXEXTRACT"&amp;"(SUBSTITUTE(F244,"" "",""""),""-?\d+(\.\d+)?$""))&gt;=-180,VALUE(REGEXEXTRACT(SUBSTITUTE(F244,"" "",""""),""-?\d+(\.\d+)?$""))&lt;=180),""OK"",""REVISAR"")"),"#N/A")</f>
        <v>#N/A</v>
      </c>
    </row>
    <row r="245" ht="15.75" customHeight="1">
      <c r="A245" s="5" t="str">
        <f t="shared" si="1"/>
        <v>AD507-0243</v>
      </c>
      <c r="C245" s="5"/>
      <c r="F245" s="5"/>
      <c r="G245" s="5" t="str">
        <f t="shared" si="2"/>
        <v/>
      </c>
      <c r="H245" s="5" t="str">
        <f t="shared" si="3"/>
        <v/>
      </c>
      <c r="I245" s="5" t="str">
        <f t="shared" si="4"/>
        <v/>
      </c>
      <c r="J245" s="5" t="str">
        <f t="shared" si="5"/>
        <v/>
      </c>
      <c r="K245" s="5" t="str">
        <f>IFERROR(__xludf.DUMMYFUNCTION("IF(C245&lt;&gt;"""",HYPERLINK(""https://wa.me/507""&amp;REGEXREPLACE(C245,""[^0-9]"","""")&amp;""?text=""&amp;ENCODEURL(""Ya llegue. Codigo: ""&amp;A245&amp;"". Ubicacion: ""&amp;""https://www.google.com/maps/search/?api=1&amp;query=""&amp;SUBSTITUTE(F245,"" "","""")),""📲 Avisar al cliente"""&amp;"),"""")"),"")</f>
        <v/>
      </c>
      <c r="L245" s="5" t="str">
        <f>IFERROR(__xludf.DUMMYFUNCTION("IF(C245&lt;&gt;"""",""https://api.qrserver.com/v1/create-qr-code/?size=200x200&amp;data=""&amp;ENCODEURL(""https://wa.me/507""&amp;REGEXREPLACE(C245,""[^0-9]"","""")&amp;""?text=""&amp;ENCODEURL(""Ya llegue. Codigo: ""&amp;A245&amp;"". Ubicacion: ""&amp;""https://www.google.com/maps/search/?a"&amp;"pi=1&amp;query=""&amp;SUBSTITUTE(F245,"" "",""""))),"""")"),"")</f>
        <v/>
      </c>
      <c r="M245" s="5" t="str">
        <f t="shared" si="6"/>
        <v/>
      </c>
      <c r="N245" s="5" t="str">
        <f>IFERROR(__xludf.DUMMYFUNCTION("IF(AND(F245&lt;&gt;"""",REGEXMATCH(SUBSTITUTE(F245,"" "",""""),""^-?\d+(\.\d+)?,-?\d+(\.\d+)?$""),VALUE(REGEXEXTRACT(SUBSTITUTE(F245,"" "",""""),""^-?\d+(\.\d+)?""))&gt;=-90,VALUE(REGEXEXTRACT(SUBSTITUTE(F245,"" "",""""),""^-?\d+(\.\d+)?""))&lt;=90,VALUE(REGEXEXTRACT"&amp;"(SUBSTITUTE(F245,"" "",""""),""-?\d+(\.\d+)?$""))&gt;=-180,VALUE(REGEXEXTRACT(SUBSTITUTE(F245,"" "",""""),""-?\d+(\.\d+)?$""))&lt;=180),""OK"",""REVISAR"")"),"#N/A")</f>
        <v>#N/A</v>
      </c>
    </row>
    <row r="246" ht="15.75" customHeight="1">
      <c r="A246" s="5" t="str">
        <f t="shared" si="1"/>
        <v>AD507-0244</v>
      </c>
      <c r="C246" s="5"/>
      <c r="F246" s="5"/>
      <c r="G246" s="5" t="str">
        <f t="shared" si="2"/>
        <v/>
      </c>
      <c r="H246" s="5" t="str">
        <f t="shared" si="3"/>
        <v/>
      </c>
      <c r="I246" s="5" t="str">
        <f t="shared" si="4"/>
        <v/>
      </c>
      <c r="J246" s="5" t="str">
        <f t="shared" si="5"/>
        <v/>
      </c>
      <c r="K246" s="5" t="str">
        <f>IFERROR(__xludf.DUMMYFUNCTION("IF(C246&lt;&gt;"""",HYPERLINK(""https://wa.me/507""&amp;REGEXREPLACE(C246,""[^0-9]"","""")&amp;""?text=""&amp;ENCODEURL(""Ya llegue. Codigo: ""&amp;A246&amp;"". Ubicacion: ""&amp;""https://www.google.com/maps/search/?api=1&amp;query=""&amp;SUBSTITUTE(F246,"" "","""")),""📲 Avisar al cliente"""&amp;"),"""")"),"")</f>
        <v/>
      </c>
      <c r="L246" s="5" t="str">
        <f>IFERROR(__xludf.DUMMYFUNCTION("IF(C246&lt;&gt;"""",""https://api.qrserver.com/v1/create-qr-code/?size=200x200&amp;data=""&amp;ENCODEURL(""https://wa.me/507""&amp;REGEXREPLACE(C246,""[^0-9]"","""")&amp;""?text=""&amp;ENCODEURL(""Ya llegue. Codigo: ""&amp;A246&amp;"". Ubicacion: ""&amp;""https://www.google.com/maps/search/?a"&amp;"pi=1&amp;query=""&amp;SUBSTITUTE(F246,"" "",""""))),"""")"),"")</f>
        <v/>
      </c>
      <c r="M246" s="5" t="str">
        <f t="shared" si="6"/>
        <v/>
      </c>
      <c r="N246" s="5" t="str">
        <f>IFERROR(__xludf.DUMMYFUNCTION("IF(AND(F246&lt;&gt;"""",REGEXMATCH(SUBSTITUTE(F246,"" "",""""),""^-?\d+(\.\d+)?,-?\d+(\.\d+)?$""),VALUE(REGEXEXTRACT(SUBSTITUTE(F246,"" "",""""),""^-?\d+(\.\d+)?""))&gt;=-90,VALUE(REGEXEXTRACT(SUBSTITUTE(F246,"" "",""""),""^-?\d+(\.\d+)?""))&lt;=90,VALUE(REGEXEXTRACT"&amp;"(SUBSTITUTE(F246,"" "",""""),""-?\d+(\.\d+)?$""))&gt;=-180,VALUE(REGEXEXTRACT(SUBSTITUTE(F246,"" "",""""),""-?\d+(\.\d+)?$""))&lt;=180),""OK"",""REVISAR"")"),"#N/A")</f>
        <v>#N/A</v>
      </c>
    </row>
    <row r="247" ht="15.75" customHeight="1">
      <c r="A247" s="5" t="str">
        <f t="shared" si="1"/>
        <v>AD507-0245</v>
      </c>
      <c r="C247" s="5"/>
      <c r="F247" s="5"/>
      <c r="G247" s="5" t="str">
        <f t="shared" si="2"/>
        <v/>
      </c>
      <c r="H247" s="5" t="str">
        <f t="shared" si="3"/>
        <v/>
      </c>
      <c r="I247" s="5" t="str">
        <f t="shared" si="4"/>
        <v/>
      </c>
      <c r="J247" s="5" t="str">
        <f t="shared" si="5"/>
        <v/>
      </c>
      <c r="K247" s="5" t="str">
        <f>IFERROR(__xludf.DUMMYFUNCTION("IF(C247&lt;&gt;"""",HYPERLINK(""https://wa.me/507""&amp;REGEXREPLACE(C247,""[^0-9]"","""")&amp;""?text=""&amp;ENCODEURL(""Ya llegue. Codigo: ""&amp;A247&amp;"". Ubicacion: ""&amp;""https://www.google.com/maps/search/?api=1&amp;query=""&amp;SUBSTITUTE(F247,"" "","""")),""📲 Avisar al cliente"""&amp;"),"""")"),"")</f>
        <v/>
      </c>
      <c r="L247" s="5" t="str">
        <f>IFERROR(__xludf.DUMMYFUNCTION("IF(C247&lt;&gt;"""",""https://api.qrserver.com/v1/create-qr-code/?size=200x200&amp;data=""&amp;ENCODEURL(""https://wa.me/507""&amp;REGEXREPLACE(C247,""[^0-9]"","""")&amp;""?text=""&amp;ENCODEURL(""Ya llegue. Codigo: ""&amp;A247&amp;"". Ubicacion: ""&amp;""https://www.google.com/maps/search/?a"&amp;"pi=1&amp;query=""&amp;SUBSTITUTE(F247,"" "",""""))),"""")"),"")</f>
        <v/>
      </c>
      <c r="M247" s="5" t="str">
        <f t="shared" si="6"/>
        <v/>
      </c>
      <c r="N247" s="5" t="str">
        <f>IFERROR(__xludf.DUMMYFUNCTION("IF(AND(F247&lt;&gt;"""",REGEXMATCH(SUBSTITUTE(F247,"" "",""""),""^-?\d+(\.\d+)?,-?\d+(\.\d+)?$""),VALUE(REGEXEXTRACT(SUBSTITUTE(F247,"" "",""""),""^-?\d+(\.\d+)?""))&gt;=-90,VALUE(REGEXEXTRACT(SUBSTITUTE(F247,"" "",""""),""^-?\d+(\.\d+)?""))&lt;=90,VALUE(REGEXEXTRACT"&amp;"(SUBSTITUTE(F247,"" "",""""),""-?\d+(\.\d+)?$""))&gt;=-180,VALUE(REGEXEXTRACT(SUBSTITUTE(F247,"" "",""""),""-?\d+(\.\d+)?$""))&lt;=180),""OK"",""REVISAR"")"),"#N/A")</f>
        <v>#N/A</v>
      </c>
    </row>
    <row r="248" ht="15.75" customHeight="1">
      <c r="A248" s="5" t="str">
        <f t="shared" si="1"/>
        <v>AD507-0246</v>
      </c>
      <c r="C248" s="5"/>
      <c r="F248" s="5"/>
      <c r="G248" s="5" t="str">
        <f t="shared" si="2"/>
        <v/>
      </c>
      <c r="H248" s="5" t="str">
        <f t="shared" si="3"/>
        <v/>
      </c>
      <c r="I248" s="5" t="str">
        <f t="shared" si="4"/>
        <v/>
      </c>
      <c r="J248" s="5" t="str">
        <f t="shared" si="5"/>
        <v/>
      </c>
      <c r="K248" s="5" t="str">
        <f>IFERROR(__xludf.DUMMYFUNCTION("IF(C248&lt;&gt;"""",HYPERLINK(""https://wa.me/507""&amp;REGEXREPLACE(C248,""[^0-9]"","""")&amp;""?text=""&amp;ENCODEURL(""Ya llegue. Codigo: ""&amp;A248&amp;"". Ubicacion: ""&amp;""https://www.google.com/maps/search/?api=1&amp;query=""&amp;SUBSTITUTE(F248,"" "","""")),""📲 Avisar al cliente"""&amp;"),"""")"),"")</f>
        <v/>
      </c>
      <c r="L248" s="5" t="str">
        <f>IFERROR(__xludf.DUMMYFUNCTION("IF(C248&lt;&gt;"""",""https://api.qrserver.com/v1/create-qr-code/?size=200x200&amp;data=""&amp;ENCODEURL(""https://wa.me/507""&amp;REGEXREPLACE(C248,""[^0-9]"","""")&amp;""?text=""&amp;ENCODEURL(""Ya llegue. Codigo: ""&amp;A248&amp;"". Ubicacion: ""&amp;""https://www.google.com/maps/search/?a"&amp;"pi=1&amp;query=""&amp;SUBSTITUTE(F248,"" "",""""))),"""")"),"")</f>
        <v/>
      </c>
      <c r="M248" s="5" t="str">
        <f t="shared" si="6"/>
        <v/>
      </c>
      <c r="N248" s="5" t="str">
        <f>IFERROR(__xludf.DUMMYFUNCTION("IF(AND(F248&lt;&gt;"""",REGEXMATCH(SUBSTITUTE(F248,"" "",""""),""^-?\d+(\.\d+)?,-?\d+(\.\d+)?$""),VALUE(REGEXEXTRACT(SUBSTITUTE(F248,"" "",""""),""^-?\d+(\.\d+)?""))&gt;=-90,VALUE(REGEXEXTRACT(SUBSTITUTE(F248,"" "",""""),""^-?\d+(\.\d+)?""))&lt;=90,VALUE(REGEXEXTRACT"&amp;"(SUBSTITUTE(F248,"" "",""""),""-?\d+(\.\d+)?$""))&gt;=-180,VALUE(REGEXEXTRACT(SUBSTITUTE(F248,"" "",""""),""-?\d+(\.\d+)?$""))&lt;=180),""OK"",""REVISAR"")"),"#N/A")</f>
        <v>#N/A</v>
      </c>
    </row>
    <row r="249" ht="15.75" customHeight="1">
      <c r="A249" s="5" t="str">
        <f t="shared" si="1"/>
        <v>AD507-0247</v>
      </c>
      <c r="C249" s="5"/>
      <c r="F249" s="5"/>
      <c r="G249" s="5" t="str">
        <f t="shared" si="2"/>
        <v/>
      </c>
      <c r="H249" s="5" t="str">
        <f t="shared" si="3"/>
        <v/>
      </c>
      <c r="I249" s="5" t="str">
        <f t="shared" si="4"/>
        <v/>
      </c>
      <c r="J249" s="5" t="str">
        <f t="shared" si="5"/>
        <v/>
      </c>
      <c r="K249" s="5" t="str">
        <f>IFERROR(__xludf.DUMMYFUNCTION("IF(C249&lt;&gt;"""",HYPERLINK(""https://wa.me/507""&amp;REGEXREPLACE(C249,""[^0-9]"","""")&amp;""?text=""&amp;ENCODEURL(""Ya llegue. Codigo: ""&amp;A249&amp;"". Ubicacion: ""&amp;""https://www.google.com/maps/search/?api=1&amp;query=""&amp;SUBSTITUTE(F249,"" "","""")),""📲 Avisar al cliente"""&amp;"),"""")"),"")</f>
        <v/>
      </c>
      <c r="L249" s="5" t="str">
        <f>IFERROR(__xludf.DUMMYFUNCTION("IF(C249&lt;&gt;"""",""https://api.qrserver.com/v1/create-qr-code/?size=200x200&amp;data=""&amp;ENCODEURL(""https://wa.me/507""&amp;REGEXREPLACE(C249,""[^0-9]"","""")&amp;""?text=""&amp;ENCODEURL(""Ya llegue. Codigo: ""&amp;A249&amp;"". Ubicacion: ""&amp;""https://www.google.com/maps/search/?a"&amp;"pi=1&amp;query=""&amp;SUBSTITUTE(F249,"" "",""""))),"""")"),"")</f>
        <v/>
      </c>
      <c r="M249" s="5" t="str">
        <f t="shared" si="6"/>
        <v/>
      </c>
      <c r="N249" s="5" t="str">
        <f>IFERROR(__xludf.DUMMYFUNCTION("IF(AND(F249&lt;&gt;"""",REGEXMATCH(SUBSTITUTE(F249,"" "",""""),""^-?\d+(\.\d+)?,-?\d+(\.\d+)?$""),VALUE(REGEXEXTRACT(SUBSTITUTE(F249,"" "",""""),""^-?\d+(\.\d+)?""))&gt;=-90,VALUE(REGEXEXTRACT(SUBSTITUTE(F249,"" "",""""),""^-?\d+(\.\d+)?""))&lt;=90,VALUE(REGEXEXTRACT"&amp;"(SUBSTITUTE(F249,"" "",""""),""-?\d+(\.\d+)?$""))&gt;=-180,VALUE(REGEXEXTRACT(SUBSTITUTE(F249,"" "",""""),""-?\d+(\.\d+)?$""))&lt;=180),""OK"",""REVISAR"")"),"#N/A")</f>
        <v>#N/A</v>
      </c>
    </row>
    <row r="250" ht="15.75" customHeight="1">
      <c r="A250" s="5" t="str">
        <f t="shared" si="1"/>
        <v>AD507-0248</v>
      </c>
      <c r="C250" s="5"/>
      <c r="F250" s="5"/>
      <c r="G250" s="5" t="str">
        <f t="shared" si="2"/>
        <v/>
      </c>
      <c r="H250" s="5" t="str">
        <f t="shared" si="3"/>
        <v/>
      </c>
      <c r="I250" s="5" t="str">
        <f t="shared" si="4"/>
        <v/>
      </c>
      <c r="J250" s="5" t="str">
        <f t="shared" si="5"/>
        <v/>
      </c>
      <c r="K250" s="5" t="str">
        <f>IFERROR(__xludf.DUMMYFUNCTION("IF(C250&lt;&gt;"""",HYPERLINK(""https://wa.me/507""&amp;REGEXREPLACE(C250,""[^0-9]"","""")&amp;""?text=""&amp;ENCODEURL(""Ya llegue. Codigo: ""&amp;A250&amp;"". Ubicacion: ""&amp;""https://www.google.com/maps/search/?api=1&amp;query=""&amp;SUBSTITUTE(F250,"" "","""")),""📲 Avisar al cliente"""&amp;"),"""")"),"")</f>
        <v/>
      </c>
      <c r="L250" s="5" t="str">
        <f>IFERROR(__xludf.DUMMYFUNCTION("IF(C250&lt;&gt;"""",""https://api.qrserver.com/v1/create-qr-code/?size=200x200&amp;data=""&amp;ENCODEURL(""https://wa.me/507""&amp;REGEXREPLACE(C250,""[^0-9]"","""")&amp;""?text=""&amp;ENCODEURL(""Ya llegue. Codigo: ""&amp;A250&amp;"". Ubicacion: ""&amp;""https://www.google.com/maps/search/?a"&amp;"pi=1&amp;query=""&amp;SUBSTITUTE(F250,"" "",""""))),"""")"),"")</f>
        <v/>
      </c>
      <c r="M250" s="5" t="str">
        <f t="shared" si="6"/>
        <v/>
      </c>
      <c r="N250" s="5" t="str">
        <f>IFERROR(__xludf.DUMMYFUNCTION("IF(AND(F250&lt;&gt;"""",REGEXMATCH(SUBSTITUTE(F250,"" "",""""),""^-?\d+(\.\d+)?,-?\d+(\.\d+)?$""),VALUE(REGEXEXTRACT(SUBSTITUTE(F250,"" "",""""),""^-?\d+(\.\d+)?""))&gt;=-90,VALUE(REGEXEXTRACT(SUBSTITUTE(F250,"" "",""""),""^-?\d+(\.\d+)?""))&lt;=90,VALUE(REGEXEXTRACT"&amp;"(SUBSTITUTE(F250,"" "",""""),""-?\d+(\.\d+)?$""))&gt;=-180,VALUE(REGEXEXTRACT(SUBSTITUTE(F250,"" "",""""),""-?\d+(\.\d+)?$""))&lt;=180),""OK"",""REVISAR"")"),"#N/A")</f>
        <v>#N/A</v>
      </c>
    </row>
    <row r="251" ht="15.75" customHeight="1">
      <c r="A251" s="5" t="str">
        <f t="shared" si="1"/>
        <v>AD507-0249</v>
      </c>
      <c r="C251" s="5"/>
      <c r="F251" s="5"/>
      <c r="G251" s="5" t="str">
        <f t="shared" si="2"/>
        <v/>
      </c>
      <c r="H251" s="5" t="str">
        <f t="shared" si="3"/>
        <v/>
      </c>
      <c r="I251" s="5" t="str">
        <f t="shared" si="4"/>
        <v/>
      </c>
      <c r="J251" s="5" t="str">
        <f t="shared" si="5"/>
        <v/>
      </c>
      <c r="K251" s="5" t="str">
        <f>IFERROR(__xludf.DUMMYFUNCTION("IF(C251&lt;&gt;"""",HYPERLINK(""https://wa.me/507""&amp;REGEXREPLACE(C251,""[^0-9]"","""")&amp;""?text=""&amp;ENCODEURL(""Ya llegue. Codigo: ""&amp;A251&amp;"". Ubicacion: ""&amp;""https://www.google.com/maps/search/?api=1&amp;query=""&amp;SUBSTITUTE(F251,"" "","""")),""📲 Avisar al cliente"""&amp;"),"""")"),"")</f>
        <v/>
      </c>
      <c r="L251" s="5" t="str">
        <f>IFERROR(__xludf.DUMMYFUNCTION("IF(C251&lt;&gt;"""",""https://api.qrserver.com/v1/create-qr-code/?size=200x200&amp;data=""&amp;ENCODEURL(""https://wa.me/507""&amp;REGEXREPLACE(C251,""[^0-9]"","""")&amp;""?text=""&amp;ENCODEURL(""Ya llegue. Codigo: ""&amp;A251&amp;"". Ubicacion: ""&amp;""https://www.google.com/maps/search/?a"&amp;"pi=1&amp;query=""&amp;SUBSTITUTE(F251,"" "",""""))),"""")"),"")</f>
        <v/>
      </c>
      <c r="M251" s="5" t="str">
        <f t="shared" si="6"/>
        <v/>
      </c>
      <c r="N251" s="5" t="str">
        <f>IFERROR(__xludf.DUMMYFUNCTION("IF(AND(F251&lt;&gt;"""",REGEXMATCH(SUBSTITUTE(F251,"" "",""""),""^-?\d+(\.\d+)?,-?\d+(\.\d+)?$""),VALUE(REGEXEXTRACT(SUBSTITUTE(F251,"" "",""""),""^-?\d+(\.\d+)?""))&gt;=-90,VALUE(REGEXEXTRACT(SUBSTITUTE(F251,"" "",""""),""^-?\d+(\.\d+)?""))&lt;=90,VALUE(REGEXEXTRACT"&amp;"(SUBSTITUTE(F251,"" "",""""),""-?\d+(\.\d+)?$""))&gt;=-180,VALUE(REGEXEXTRACT(SUBSTITUTE(F251,"" "",""""),""-?\d+(\.\d+)?$""))&lt;=180),""OK"",""REVISAR"")"),"#N/A")</f>
        <v>#N/A</v>
      </c>
    </row>
    <row r="252" ht="15.75" customHeight="1">
      <c r="A252" s="5" t="str">
        <f t="shared" si="1"/>
        <v>AD507-0250</v>
      </c>
      <c r="C252" s="5"/>
      <c r="F252" s="5"/>
      <c r="G252" s="5" t="str">
        <f t="shared" si="2"/>
        <v/>
      </c>
      <c r="H252" s="5" t="str">
        <f t="shared" si="3"/>
        <v/>
      </c>
      <c r="I252" s="5" t="str">
        <f t="shared" si="4"/>
        <v/>
      </c>
      <c r="J252" s="5" t="str">
        <f t="shared" si="5"/>
        <v/>
      </c>
      <c r="K252" s="5" t="str">
        <f>IFERROR(__xludf.DUMMYFUNCTION("IF(C252&lt;&gt;"""",HYPERLINK(""https://wa.me/507""&amp;REGEXREPLACE(C252,""[^0-9]"","""")&amp;""?text=""&amp;ENCODEURL(""Ya llegue. Codigo: ""&amp;A252&amp;"". Ubicacion: ""&amp;""https://www.google.com/maps/search/?api=1&amp;query=""&amp;SUBSTITUTE(F252,"" "","""")),""📲 Avisar al cliente"""&amp;"),"""")"),"")</f>
        <v/>
      </c>
      <c r="L252" s="5" t="str">
        <f>IFERROR(__xludf.DUMMYFUNCTION("IF(C252&lt;&gt;"""",""https://api.qrserver.com/v1/create-qr-code/?size=200x200&amp;data=""&amp;ENCODEURL(""https://wa.me/507""&amp;REGEXREPLACE(C252,""[^0-9]"","""")&amp;""?text=""&amp;ENCODEURL(""Ya llegue. Codigo: ""&amp;A252&amp;"". Ubicacion: ""&amp;""https://www.google.com/maps/search/?a"&amp;"pi=1&amp;query=""&amp;SUBSTITUTE(F252,"" "",""""))),"""")"),"")</f>
        <v/>
      </c>
      <c r="M252" s="5" t="str">
        <f t="shared" si="6"/>
        <v/>
      </c>
      <c r="N252" s="5" t="str">
        <f>IFERROR(__xludf.DUMMYFUNCTION("IF(AND(F252&lt;&gt;"""",REGEXMATCH(SUBSTITUTE(F252,"" "",""""),""^-?\d+(\.\d+)?,-?\d+(\.\d+)?$""),VALUE(REGEXEXTRACT(SUBSTITUTE(F252,"" "",""""),""^-?\d+(\.\d+)?""))&gt;=-90,VALUE(REGEXEXTRACT(SUBSTITUTE(F252,"" "",""""),""^-?\d+(\.\d+)?""))&lt;=90,VALUE(REGEXEXTRACT"&amp;"(SUBSTITUTE(F252,"" "",""""),""-?\d+(\.\d+)?$""))&gt;=-180,VALUE(REGEXEXTRACT(SUBSTITUTE(F252,"" "",""""),""-?\d+(\.\d+)?$""))&lt;=180),""OK"",""REVISAR"")"),"#N/A")</f>
        <v>#N/A</v>
      </c>
    </row>
    <row r="253" ht="15.75" customHeight="1">
      <c r="A253" s="5" t="str">
        <f t="shared" si="1"/>
        <v>AD507-0251</v>
      </c>
      <c r="C253" s="5"/>
      <c r="F253" s="5"/>
      <c r="G253" s="5" t="str">
        <f t="shared" si="2"/>
        <v/>
      </c>
      <c r="H253" s="5" t="str">
        <f t="shared" si="3"/>
        <v/>
      </c>
      <c r="I253" s="5" t="str">
        <f t="shared" si="4"/>
        <v/>
      </c>
      <c r="J253" s="5" t="str">
        <f t="shared" si="5"/>
        <v/>
      </c>
      <c r="K253" s="5" t="str">
        <f>IFERROR(__xludf.DUMMYFUNCTION("IF(C253&lt;&gt;"""",HYPERLINK(""https://wa.me/507""&amp;REGEXREPLACE(C253,""[^0-9]"","""")&amp;""?text=""&amp;ENCODEURL(""Ya llegue. Codigo: ""&amp;A253&amp;"". Ubicacion: ""&amp;""https://www.google.com/maps/search/?api=1&amp;query=""&amp;SUBSTITUTE(F253,"" "","""")),""📲 Avisar al cliente"""&amp;"),"""")"),"")</f>
        <v/>
      </c>
      <c r="L253" s="5" t="str">
        <f>IFERROR(__xludf.DUMMYFUNCTION("IF(C253&lt;&gt;"""",""https://api.qrserver.com/v1/create-qr-code/?size=200x200&amp;data=""&amp;ENCODEURL(""https://wa.me/507""&amp;REGEXREPLACE(C253,""[^0-9]"","""")&amp;""?text=""&amp;ENCODEURL(""Ya llegue. Codigo: ""&amp;A253&amp;"". Ubicacion: ""&amp;""https://www.google.com/maps/search/?a"&amp;"pi=1&amp;query=""&amp;SUBSTITUTE(F253,"" "",""""))),"""")"),"")</f>
        <v/>
      </c>
      <c r="M253" s="5" t="str">
        <f t="shared" si="6"/>
        <v/>
      </c>
      <c r="N253" s="5" t="str">
        <f>IFERROR(__xludf.DUMMYFUNCTION("IF(AND(F253&lt;&gt;"""",REGEXMATCH(SUBSTITUTE(F253,"" "",""""),""^-?\d+(\.\d+)?,-?\d+(\.\d+)?$""),VALUE(REGEXEXTRACT(SUBSTITUTE(F253,"" "",""""),""^-?\d+(\.\d+)?""))&gt;=-90,VALUE(REGEXEXTRACT(SUBSTITUTE(F253,"" "",""""),""^-?\d+(\.\d+)?""))&lt;=90,VALUE(REGEXEXTRACT"&amp;"(SUBSTITUTE(F253,"" "",""""),""-?\d+(\.\d+)?$""))&gt;=-180,VALUE(REGEXEXTRACT(SUBSTITUTE(F253,"" "",""""),""-?\d+(\.\d+)?$""))&lt;=180),""OK"",""REVISAR"")"),"#N/A")</f>
        <v>#N/A</v>
      </c>
    </row>
    <row r="254" ht="15.75" customHeight="1">
      <c r="A254" s="5" t="str">
        <f t="shared" si="1"/>
        <v>AD507-0252</v>
      </c>
      <c r="C254" s="5"/>
      <c r="F254" s="5"/>
      <c r="G254" s="5" t="str">
        <f t="shared" si="2"/>
        <v/>
      </c>
      <c r="H254" s="5" t="str">
        <f t="shared" si="3"/>
        <v/>
      </c>
      <c r="I254" s="5" t="str">
        <f t="shared" si="4"/>
        <v/>
      </c>
      <c r="J254" s="5" t="str">
        <f t="shared" si="5"/>
        <v/>
      </c>
      <c r="K254" s="5" t="str">
        <f>IFERROR(__xludf.DUMMYFUNCTION("IF(C254&lt;&gt;"""",HYPERLINK(""https://wa.me/507""&amp;REGEXREPLACE(C254,""[^0-9]"","""")&amp;""?text=""&amp;ENCODEURL(""Ya llegue. Codigo: ""&amp;A254&amp;"". Ubicacion: ""&amp;""https://www.google.com/maps/search/?api=1&amp;query=""&amp;SUBSTITUTE(F254,"" "","""")),""📲 Avisar al cliente"""&amp;"),"""")"),"")</f>
        <v/>
      </c>
      <c r="L254" s="5" t="str">
        <f>IFERROR(__xludf.DUMMYFUNCTION("IF(C254&lt;&gt;"""",""https://api.qrserver.com/v1/create-qr-code/?size=200x200&amp;data=""&amp;ENCODEURL(""https://wa.me/507""&amp;REGEXREPLACE(C254,""[^0-9]"","""")&amp;""?text=""&amp;ENCODEURL(""Ya llegue. Codigo: ""&amp;A254&amp;"". Ubicacion: ""&amp;""https://www.google.com/maps/search/?a"&amp;"pi=1&amp;query=""&amp;SUBSTITUTE(F254,"" "",""""))),"""")"),"")</f>
        <v/>
      </c>
      <c r="M254" s="5" t="str">
        <f t="shared" si="6"/>
        <v/>
      </c>
      <c r="N254" s="5" t="str">
        <f>IFERROR(__xludf.DUMMYFUNCTION("IF(AND(F254&lt;&gt;"""",REGEXMATCH(SUBSTITUTE(F254,"" "",""""),""^-?\d+(\.\d+)?,-?\d+(\.\d+)?$""),VALUE(REGEXEXTRACT(SUBSTITUTE(F254,"" "",""""),""^-?\d+(\.\d+)?""))&gt;=-90,VALUE(REGEXEXTRACT(SUBSTITUTE(F254,"" "",""""),""^-?\d+(\.\d+)?""))&lt;=90,VALUE(REGEXEXTRACT"&amp;"(SUBSTITUTE(F254,"" "",""""),""-?\d+(\.\d+)?$""))&gt;=-180,VALUE(REGEXEXTRACT(SUBSTITUTE(F254,"" "",""""),""-?\d+(\.\d+)?$""))&lt;=180),""OK"",""REVISAR"")"),"#N/A")</f>
        <v>#N/A</v>
      </c>
    </row>
    <row r="255" ht="15.75" customHeight="1">
      <c r="A255" s="5" t="str">
        <f t="shared" si="1"/>
        <v>AD507-0253</v>
      </c>
      <c r="C255" s="5"/>
      <c r="F255" s="5"/>
      <c r="G255" s="5" t="str">
        <f t="shared" si="2"/>
        <v/>
      </c>
      <c r="H255" s="5" t="str">
        <f t="shared" si="3"/>
        <v/>
      </c>
      <c r="I255" s="5" t="str">
        <f t="shared" si="4"/>
        <v/>
      </c>
      <c r="J255" s="5" t="str">
        <f t="shared" si="5"/>
        <v/>
      </c>
      <c r="K255" s="5" t="str">
        <f>IFERROR(__xludf.DUMMYFUNCTION("IF(C255&lt;&gt;"""",HYPERLINK(""https://wa.me/507""&amp;REGEXREPLACE(C255,""[^0-9]"","""")&amp;""?text=""&amp;ENCODEURL(""Ya llegue. Codigo: ""&amp;A255&amp;"". Ubicacion: ""&amp;""https://www.google.com/maps/search/?api=1&amp;query=""&amp;SUBSTITUTE(F255,"" "","""")),""📲 Avisar al cliente"""&amp;"),"""")"),"")</f>
        <v/>
      </c>
      <c r="L255" s="5" t="str">
        <f>IFERROR(__xludf.DUMMYFUNCTION("IF(C255&lt;&gt;"""",""https://api.qrserver.com/v1/create-qr-code/?size=200x200&amp;data=""&amp;ENCODEURL(""https://wa.me/507""&amp;REGEXREPLACE(C255,""[^0-9]"","""")&amp;""?text=""&amp;ENCODEURL(""Ya llegue. Codigo: ""&amp;A255&amp;"". Ubicacion: ""&amp;""https://www.google.com/maps/search/?a"&amp;"pi=1&amp;query=""&amp;SUBSTITUTE(F255,"" "",""""))),"""")"),"")</f>
        <v/>
      </c>
      <c r="M255" s="5" t="str">
        <f t="shared" si="6"/>
        <v/>
      </c>
      <c r="N255" s="5" t="str">
        <f>IFERROR(__xludf.DUMMYFUNCTION("IF(AND(F255&lt;&gt;"""",REGEXMATCH(SUBSTITUTE(F255,"" "",""""),""^-?\d+(\.\d+)?,-?\d+(\.\d+)?$""),VALUE(REGEXEXTRACT(SUBSTITUTE(F255,"" "",""""),""^-?\d+(\.\d+)?""))&gt;=-90,VALUE(REGEXEXTRACT(SUBSTITUTE(F255,"" "",""""),""^-?\d+(\.\d+)?""))&lt;=90,VALUE(REGEXEXTRACT"&amp;"(SUBSTITUTE(F255,"" "",""""),""-?\d+(\.\d+)?$""))&gt;=-180,VALUE(REGEXEXTRACT(SUBSTITUTE(F255,"" "",""""),""-?\d+(\.\d+)?$""))&lt;=180),""OK"",""REVISAR"")"),"#N/A")</f>
        <v>#N/A</v>
      </c>
    </row>
    <row r="256" ht="15.75" customHeight="1">
      <c r="A256" s="5" t="str">
        <f t="shared" si="1"/>
        <v>AD507-0254</v>
      </c>
      <c r="C256" s="5"/>
      <c r="F256" s="5"/>
      <c r="G256" s="5" t="str">
        <f t="shared" si="2"/>
        <v/>
      </c>
      <c r="H256" s="5" t="str">
        <f t="shared" si="3"/>
        <v/>
      </c>
      <c r="I256" s="5" t="str">
        <f t="shared" si="4"/>
        <v/>
      </c>
      <c r="J256" s="5" t="str">
        <f t="shared" si="5"/>
        <v/>
      </c>
      <c r="K256" s="5" t="str">
        <f>IFERROR(__xludf.DUMMYFUNCTION("IF(C256&lt;&gt;"""",HYPERLINK(""https://wa.me/507""&amp;REGEXREPLACE(C256,""[^0-9]"","""")&amp;""?text=""&amp;ENCODEURL(""Ya llegue. Codigo: ""&amp;A256&amp;"". Ubicacion: ""&amp;""https://www.google.com/maps/search/?api=1&amp;query=""&amp;SUBSTITUTE(F256,"" "","""")),""📲 Avisar al cliente"""&amp;"),"""")"),"")</f>
        <v/>
      </c>
      <c r="L256" s="5" t="str">
        <f>IFERROR(__xludf.DUMMYFUNCTION("IF(C256&lt;&gt;"""",""https://api.qrserver.com/v1/create-qr-code/?size=200x200&amp;data=""&amp;ENCODEURL(""https://wa.me/507""&amp;REGEXREPLACE(C256,""[^0-9]"","""")&amp;""?text=""&amp;ENCODEURL(""Ya llegue. Codigo: ""&amp;A256&amp;"". Ubicacion: ""&amp;""https://www.google.com/maps/search/?a"&amp;"pi=1&amp;query=""&amp;SUBSTITUTE(F256,"" "",""""))),"""")"),"")</f>
        <v/>
      </c>
      <c r="M256" s="5" t="str">
        <f t="shared" si="6"/>
        <v/>
      </c>
      <c r="N256" s="5" t="str">
        <f>IFERROR(__xludf.DUMMYFUNCTION("IF(AND(F256&lt;&gt;"""",REGEXMATCH(SUBSTITUTE(F256,"" "",""""),""^-?\d+(\.\d+)?,-?\d+(\.\d+)?$""),VALUE(REGEXEXTRACT(SUBSTITUTE(F256,"" "",""""),""^-?\d+(\.\d+)?""))&gt;=-90,VALUE(REGEXEXTRACT(SUBSTITUTE(F256,"" "",""""),""^-?\d+(\.\d+)?""))&lt;=90,VALUE(REGEXEXTRACT"&amp;"(SUBSTITUTE(F256,"" "",""""),""-?\d+(\.\d+)?$""))&gt;=-180,VALUE(REGEXEXTRACT(SUBSTITUTE(F256,"" "",""""),""-?\d+(\.\d+)?$""))&lt;=180),""OK"",""REVISAR"")"),"#N/A")</f>
        <v>#N/A</v>
      </c>
    </row>
    <row r="257" ht="15.75" customHeight="1">
      <c r="A257" s="5" t="str">
        <f t="shared" si="1"/>
        <v>AD507-0255</v>
      </c>
      <c r="C257" s="5"/>
      <c r="F257" s="5"/>
      <c r="G257" s="5" t="str">
        <f t="shared" si="2"/>
        <v/>
      </c>
      <c r="H257" s="5" t="str">
        <f t="shared" si="3"/>
        <v/>
      </c>
      <c r="I257" s="5" t="str">
        <f t="shared" si="4"/>
        <v/>
      </c>
      <c r="J257" s="5" t="str">
        <f t="shared" si="5"/>
        <v/>
      </c>
      <c r="K257" s="5" t="str">
        <f>IFERROR(__xludf.DUMMYFUNCTION("IF(C257&lt;&gt;"""",HYPERLINK(""https://wa.me/507""&amp;REGEXREPLACE(C257,""[^0-9]"","""")&amp;""?text=""&amp;ENCODEURL(""Ya llegue. Codigo: ""&amp;A257&amp;"". Ubicacion: ""&amp;""https://www.google.com/maps/search/?api=1&amp;query=""&amp;SUBSTITUTE(F257,"" "","""")),""📲 Avisar al cliente"""&amp;"),"""")"),"")</f>
        <v/>
      </c>
      <c r="L257" s="5" t="str">
        <f>IFERROR(__xludf.DUMMYFUNCTION("IF(C257&lt;&gt;"""",""https://api.qrserver.com/v1/create-qr-code/?size=200x200&amp;data=""&amp;ENCODEURL(""https://wa.me/507""&amp;REGEXREPLACE(C257,""[^0-9]"","""")&amp;""?text=""&amp;ENCODEURL(""Ya llegue. Codigo: ""&amp;A257&amp;"". Ubicacion: ""&amp;""https://www.google.com/maps/search/?a"&amp;"pi=1&amp;query=""&amp;SUBSTITUTE(F257,"" "",""""))),"""")"),"")</f>
        <v/>
      </c>
      <c r="M257" s="5" t="str">
        <f t="shared" si="6"/>
        <v/>
      </c>
      <c r="N257" s="5" t="str">
        <f>IFERROR(__xludf.DUMMYFUNCTION("IF(AND(F257&lt;&gt;"""",REGEXMATCH(SUBSTITUTE(F257,"" "",""""),""^-?\d+(\.\d+)?,-?\d+(\.\d+)?$""),VALUE(REGEXEXTRACT(SUBSTITUTE(F257,"" "",""""),""^-?\d+(\.\d+)?""))&gt;=-90,VALUE(REGEXEXTRACT(SUBSTITUTE(F257,"" "",""""),""^-?\d+(\.\d+)?""))&lt;=90,VALUE(REGEXEXTRACT"&amp;"(SUBSTITUTE(F257,"" "",""""),""-?\d+(\.\d+)?$""))&gt;=-180,VALUE(REGEXEXTRACT(SUBSTITUTE(F257,"" "",""""),""-?\d+(\.\d+)?$""))&lt;=180),""OK"",""REVISAR"")"),"#N/A")</f>
        <v>#N/A</v>
      </c>
    </row>
    <row r="258" ht="15.75" customHeight="1">
      <c r="A258" s="5" t="str">
        <f t="shared" si="1"/>
        <v>AD507-0256</v>
      </c>
      <c r="C258" s="5"/>
      <c r="F258" s="5"/>
      <c r="G258" s="5" t="str">
        <f t="shared" si="2"/>
        <v/>
      </c>
      <c r="H258" s="5" t="str">
        <f t="shared" si="3"/>
        <v/>
      </c>
      <c r="I258" s="5" t="str">
        <f t="shared" si="4"/>
        <v/>
      </c>
      <c r="J258" s="5" t="str">
        <f t="shared" si="5"/>
        <v/>
      </c>
      <c r="K258" s="5" t="str">
        <f>IFERROR(__xludf.DUMMYFUNCTION("IF(C258&lt;&gt;"""",HYPERLINK(""https://wa.me/507""&amp;REGEXREPLACE(C258,""[^0-9]"","""")&amp;""?text=""&amp;ENCODEURL(""Ya llegue. Codigo: ""&amp;A258&amp;"". Ubicacion: ""&amp;""https://www.google.com/maps/search/?api=1&amp;query=""&amp;SUBSTITUTE(F258,"" "","""")),""📲 Avisar al cliente"""&amp;"),"""")"),"")</f>
        <v/>
      </c>
      <c r="L258" s="5" t="str">
        <f>IFERROR(__xludf.DUMMYFUNCTION("IF(C258&lt;&gt;"""",""https://api.qrserver.com/v1/create-qr-code/?size=200x200&amp;data=""&amp;ENCODEURL(""https://wa.me/507""&amp;REGEXREPLACE(C258,""[^0-9]"","""")&amp;""?text=""&amp;ENCODEURL(""Ya llegue. Codigo: ""&amp;A258&amp;"". Ubicacion: ""&amp;""https://www.google.com/maps/search/?a"&amp;"pi=1&amp;query=""&amp;SUBSTITUTE(F258,"" "",""""))),"""")"),"")</f>
        <v/>
      </c>
      <c r="M258" s="5" t="str">
        <f t="shared" si="6"/>
        <v/>
      </c>
      <c r="N258" s="5" t="str">
        <f>IFERROR(__xludf.DUMMYFUNCTION("IF(AND(F258&lt;&gt;"""",REGEXMATCH(SUBSTITUTE(F258,"" "",""""),""^-?\d+(\.\d+)?,-?\d+(\.\d+)?$""),VALUE(REGEXEXTRACT(SUBSTITUTE(F258,"" "",""""),""^-?\d+(\.\d+)?""))&gt;=-90,VALUE(REGEXEXTRACT(SUBSTITUTE(F258,"" "",""""),""^-?\d+(\.\d+)?""))&lt;=90,VALUE(REGEXEXTRACT"&amp;"(SUBSTITUTE(F258,"" "",""""),""-?\d+(\.\d+)?$""))&gt;=-180,VALUE(REGEXEXTRACT(SUBSTITUTE(F258,"" "",""""),""-?\d+(\.\d+)?$""))&lt;=180),""OK"",""REVISAR"")"),"#N/A")</f>
        <v>#N/A</v>
      </c>
    </row>
    <row r="259" ht="15.75" customHeight="1">
      <c r="A259" s="5" t="str">
        <f t="shared" si="1"/>
        <v>AD507-0257</v>
      </c>
      <c r="C259" s="5"/>
      <c r="F259" s="5"/>
      <c r="G259" s="5" t="str">
        <f t="shared" si="2"/>
        <v/>
      </c>
      <c r="H259" s="5" t="str">
        <f t="shared" si="3"/>
        <v/>
      </c>
      <c r="I259" s="5" t="str">
        <f t="shared" si="4"/>
        <v/>
      </c>
      <c r="J259" s="5" t="str">
        <f t="shared" si="5"/>
        <v/>
      </c>
      <c r="K259" s="5" t="str">
        <f>IFERROR(__xludf.DUMMYFUNCTION("IF(C259&lt;&gt;"""",HYPERLINK(""https://wa.me/507""&amp;REGEXREPLACE(C259,""[^0-9]"","""")&amp;""?text=""&amp;ENCODEURL(""Ya llegue. Codigo: ""&amp;A259&amp;"". Ubicacion: ""&amp;""https://www.google.com/maps/search/?api=1&amp;query=""&amp;SUBSTITUTE(F259,"" "","""")),""📲 Avisar al cliente"""&amp;"),"""")"),"")</f>
        <v/>
      </c>
      <c r="L259" s="5" t="str">
        <f>IFERROR(__xludf.DUMMYFUNCTION("IF(C259&lt;&gt;"""",""https://api.qrserver.com/v1/create-qr-code/?size=200x200&amp;data=""&amp;ENCODEURL(""https://wa.me/507""&amp;REGEXREPLACE(C259,""[^0-9]"","""")&amp;""?text=""&amp;ENCODEURL(""Ya llegue. Codigo: ""&amp;A259&amp;"". Ubicacion: ""&amp;""https://www.google.com/maps/search/?a"&amp;"pi=1&amp;query=""&amp;SUBSTITUTE(F259,"" "",""""))),"""")"),"")</f>
        <v/>
      </c>
      <c r="M259" s="5" t="str">
        <f t="shared" si="6"/>
        <v/>
      </c>
      <c r="N259" s="5" t="str">
        <f>IFERROR(__xludf.DUMMYFUNCTION("IF(AND(F259&lt;&gt;"""",REGEXMATCH(SUBSTITUTE(F259,"" "",""""),""^-?\d+(\.\d+)?,-?\d+(\.\d+)?$""),VALUE(REGEXEXTRACT(SUBSTITUTE(F259,"" "",""""),""^-?\d+(\.\d+)?""))&gt;=-90,VALUE(REGEXEXTRACT(SUBSTITUTE(F259,"" "",""""),""^-?\d+(\.\d+)?""))&lt;=90,VALUE(REGEXEXTRACT"&amp;"(SUBSTITUTE(F259,"" "",""""),""-?\d+(\.\d+)?$""))&gt;=-180,VALUE(REGEXEXTRACT(SUBSTITUTE(F259,"" "",""""),""-?\d+(\.\d+)?$""))&lt;=180),""OK"",""REVISAR"")"),"#N/A")</f>
        <v>#N/A</v>
      </c>
    </row>
    <row r="260" ht="15.75" customHeight="1">
      <c r="A260" s="5" t="str">
        <f t="shared" si="1"/>
        <v>AD507-0258</v>
      </c>
      <c r="C260" s="5"/>
      <c r="F260" s="5"/>
      <c r="G260" s="5" t="str">
        <f t="shared" si="2"/>
        <v/>
      </c>
      <c r="H260" s="5" t="str">
        <f t="shared" si="3"/>
        <v/>
      </c>
      <c r="I260" s="5" t="str">
        <f t="shared" si="4"/>
        <v/>
      </c>
      <c r="J260" s="5" t="str">
        <f t="shared" si="5"/>
        <v/>
      </c>
      <c r="K260" s="5" t="str">
        <f>IFERROR(__xludf.DUMMYFUNCTION("IF(C260&lt;&gt;"""",HYPERLINK(""https://wa.me/507""&amp;REGEXREPLACE(C260,""[^0-9]"","""")&amp;""?text=""&amp;ENCODEURL(""Ya llegue. Codigo: ""&amp;A260&amp;"". Ubicacion: ""&amp;""https://www.google.com/maps/search/?api=1&amp;query=""&amp;SUBSTITUTE(F260,"" "","""")),""📲 Avisar al cliente"""&amp;"),"""")"),"")</f>
        <v/>
      </c>
      <c r="L260" s="5" t="str">
        <f>IFERROR(__xludf.DUMMYFUNCTION("IF(C260&lt;&gt;"""",""https://api.qrserver.com/v1/create-qr-code/?size=200x200&amp;data=""&amp;ENCODEURL(""https://wa.me/507""&amp;REGEXREPLACE(C260,""[^0-9]"","""")&amp;""?text=""&amp;ENCODEURL(""Ya llegue. Codigo: ""&amp;A260&amp;"". Ubicacion: ""&amp;""https://www.google.com/maps/search/?a"&amp;"pi=1&amp;query=""&amp;SUBSTITUTE(F260,"" "",""""))),"""")"),"")</f>
        <v/>
      </c>
      <c r="M260" s="5" t="str">
        <f t="shared" si="6"/>
        <v/>
      </c>
      <c r="N260" s="5" t="str">
        <f>IFERROR(__xludf.DUMMYFUNCTION("IF(AND(F260&lt;&gt;"""",REGEXMATCH(SUBSTITUTE(F260,"" "",""""),""^-?\d+(\.\d+)?,-?\d+(\.\d+)?$""),VALUE(REGEXEXTRACT(SUBSTITUTE(F260,"" "",""""),""^-?\d+(\.\d+)?""))&gt;=-90,VALUE(REGEXEXTRACT(SUBSTITUTE(F260,"" "",""""),""^-?\d+(\.\d+)?""))&lt;=90,VALUE(REGEXEXTRACT"&amp;"(SUBSTITUTE(F260,"" "",""""),""-?\d+(\.\d+)?$""))&gt;=-180,VALUE(REGEXEXTRACT(SUBSTITUTE(F260,"" "",""""),""-?\d+(\.\d+)?$""))&lt;=180),""OK"",""REVISAR"")"),"#N/A")</f>
        <v>#N/A</v>
      </c>
    </row>
    <row r="261" ht="15.75" customHeight="1">
      <c r="A261" s="5" t="str">
        <f t="shared" si="1"/>
        <v>AD507-0259</v>
      </c>
      <c r="C261" s="5"/>
      <c r="F261" s="5"/>
      <c r="G261" s="5" t="str">
        <f t="shared" si="2"/>
        <v/>
      </c>
      <c r="H261" s="5" t="str">
        <f t="shared" si="3"/>
        <v/>
      </c>
      <c r="I261" s="5" t="str">
        <f t="shared" si="4"/>
        <v/>
      </c>
      <c r="J261" s="5" t="str">
        <f t="shared" si="5"/>
        <v/>
      </c>
      <c r="K261" s="5" t="str">
        <f>IFERROR(__xludf.DUMMYFUNCTION("IF(C261&lt;&gt;"""",HYPERLINK(""https://wa.me/507""&amp;REGEXREPLACE(C261,""[^0-9]"","""")&amp;""?text=""&amp;ENCODEURL(""Ya llegue. Codigo: ""&amp;A261&amp;"". Ubicacion: ""&amp;""https://www.google.com/maps/search/?api=1&amp;query=""&amp;SUBSTITUTE(F261,"" "","""")),""📲 Avisar al cliente"""&amp;"),"""")"),"")</f>
        <v/>
      </c>
      <c r="L261" s="5" t="str">
        <f>IFERROR(__xludf.DUMMYFUNCTION("IF(C261&lt;&gt;"""",""https://api.qrserver.com/v1/create-qr-code/?size=200x200&amp;data=""&amp;ENCODEURL(""https://wa.me/507""&amp;REGEXREPLACE(C261,""[^0-9]"","""")&amp;""?text=""&amp;ENCODEURL(""Ya llegue. Codigo: ""&amp;A261&amp;"". Ubicacion: ""&amp;""https://www.google.com/maps/search/?a"&amp;"pi=1&amp;query=""&amp;SUBSTITUTE(F261,"" "",""""))),"""")"),"")</f>
        <v/>
      </c>
      <c r="M261" s="5" t="str">
        <f t="shared" si="6"/>
        <v/>
      </c>
      <c r="N261" s="5" t="str">
        <f>IFERROR(__xludf.DUMMYFUNCTION("IF(AND(F261&lt;&gt;"""",REGEXMATCH(SUBSTITUTE(F261,"" "",""""),""^-?\d+(\.\d+)?,-?\d+(\.\d+)?$""),VALUE(REGEXEXTRACT(SUBSTITUTE(F261,"" "",""""),""^-?\d+(\.\d+)?""))&gt;=-90,VALUE(REGEXEXTRACT(SUBSTITUTE(F261,"" "",""""),""^-?\d+(\.\d+)?""))&lt;=90,VALUE(REGEXEXTRACT"&amp;"(SUBSTITUTE(F261,"" "",""""),""-?\d+(\.\d+)?$""))&gt;=-180,VALUE(REGEXEXTRACT(SUBSTITUTE(F261,"" "",""""),""-?\d+(\.\d+)?$""))&lt;=180),""OK"",""REVISAR"")"),"#N/A")</f>
        <v>#N/A</v>
      </c>
    </row>
    <row r="262" ht="15.75" customHeight="1">
      <c r="A262" s="5" t="str">
        <f t="shared" si="1"/>
        <v>AD507-0260</v>
      </c>
      <c r="C262" s="5"/>
      <c r="F262" s="5"/>
      <c r="G262" s="5" t="str">
        <f t="shared" si="2"/>
        <v/>
      </c>
      <c r="H262" s="5" t="str">
        <f t="shared" si="3"/>
        <v/>
      </c>
      <c r="I262" s="5" t="str">
        <f t="shared" si="4"/>
        <v/>
      </c>
      <c r="J262" s="5" t="str">
        <f t="shared" si="5"/>
        <v/>
      </c>
      <c r="K262" s="5" t="str">
        <f>IFERROR(__xludf.DUMMYFUNCTION("IF(C262&lt;&gt;"""",HYPERLINK(""https://wa.me/507""&amp;REGEXREPLACE(C262,""[^0-9]"","""")&amp;""?text=""&amp;ENCODEURL(""Ya llegue. Codigo: ""&amp;A262&amp;"". Ubicacion: ""&amp;""https://www.google.com/maps/search/?api=1&amp;query=""&amp;SUBSTITUTE(F262,"" "","""")),""📲 Avisar al cliente"""&amp;"),"""")"),"")</f>
        <v/>
      </c>
      <c r="L262" s="5" t="str">
        <f>IFERROR(__xludf.DUMMYFUNCTION("IF(C262&lt;&gt;"""",""https://api.qrserver.com/v1/create-qr-code/?size=200x200&amp;data=""&amp;ENCODEURL(""https://wa.me/507""&amp;REGEXREPLACE(C262,""[^0-9]"","""")&amp;""?text=""&amp;ENCODEURL(""Ya llegue. Codigo: ""&amp;A262&amp;"". Ubicacion: ""&amp;""https://www.google.com/maps/search/?a"&amp;"pi=1&amp;query=""&amp;SUBSTITUTE(F262,"" "",""""))),"""")"),"")</f>
        <v/>
      </c>
      <c r="M262" s="5" t="str">
        <f t="shared" si="6"/>
        <v/>
      </c>
      <c r="N262" s="5" t="str">
        <f>IFERROR(__xludf.DUMMYFUNCTION("IF(AND(F262&lt;&gt;"""",REGEXMATCH(SUBSTITUTE(F262,"" "",""""),""^-?\d+(\.\d+)?,-?\d+(\.\d+)?$""),VALUE(REGEXEXTRACT(SUBSTITUTE(F262,"" "",""""),""^-?\d+(\.\d+)?""))&gt;=-90,VALUE(REGEXEXTRACT(SUBSTITUTE(F262,"" "",""""),""^-?\d+(\.\d+)?""))&lt;=90,VALUE(REGEXEXTRACT"&amp;"(SUBSTITUTE(F262,"" "",""""),""-?\d+(\.\d+)?$""))&gt;=-180,VALUE(REGEXEXTRACT(SUBSTITUTE(F262,"" "",""""),""-?\d+(\.\d+)?$""))&lt;=180),""OK"",""REVISAR"")"),"#N/A")</f>
        <v>#N/A</v>
      </c>
    </row>
    <row r="263" ht="15.75" customHeight="1">
      <c r="A263" s="5" t="str">
        <f t="shared" si="1"/>
        <v>AD507-0261</v>
      </c>
      <c r="C263" s="5"/>
      <c r="F263" s="5"/>
      <c r="G263" s="5" t="str">
        <f t="shared" si="2"/>
        <v/>
      </c>
      <c r="H263" s="5" t="str">
        <f t="shared" si="3"/>
        <v/>
      </c>
      <c r="I263" s="5" t="str">
        <f t="shared" si="4"/>
        <v/>
      </c>
      <c r="J263" s="5" t="str">
        <f t="shared" si="5"/>
        <v/>
      </c>
      <c r="K263" s="5" t="str">
        <f>IFERROR(__xludf.DUMMYFUNCTION("IF(C263&lt;&gt;"""",HYPERLINK(""https://wa.me/507""&amp;REGEXREPLACE(C263,""[^0-9]"","""")&amp;""?text=""&amp;ENCODEURL(""Ya llegue. Codigo: ""&amp;A263&amp;"". Ubicacion: ""&amp;""https://www.google.com/maps/search/?api=1&amp;query=""&amp;SUBSTITUTE(F263,"" "","""")),""📲 Avisar al cliente"""&amp;"),"""")"),"")</f>
        <v/>
      </c>
      <c r="L263" s="5" t="str">
        <f>IFERROR(__xludf.DUMMYFUNCTION("IF(C263&lt;&gt;"""",""https://api.qrserver.com/v1/create-qr-code/?size=200x200&amp;data=""&amp;ENCODEURL(""https://wa.me/507""&amp;REGEXREPLACE(C263,""[^0-9]"","""")&amp;""?text=""&amp;ENCODEURL(""Ya llegue. Codigo: ""&amp;A263&amp;"". Ubicacion: ""&amp;""https://www.google.com/maps/search/?a"&amp;"pi=1&amp;query=""&amp;SUBSTITUTE(F263,"" "",""""))),"""")"),"")</f>
        <v/>
      </c>
      <c r="M263" s="5" t="str">
        <f t="shared" si="6"/>
        <v/>
      </c>
      <c r="N263" s="5" t="str">
        <f>IFERROR(__xludf.DUMMYFUNCTION("IF(AND(F263&lt;&gt;"""",REGEXMATCH(SUBSTITUTE(F263,"" "",""""),""^-?\d+(\.\d+)?,-?\d+(\.\d+)?$""),VALUE(REGEXEXTRACT(SUBSTITUTE(F263,"" "",""""),""^-?\d+(\.\d+)?""))&gt;=-90,VALUE(REGEXEXTRACT(SUBSTITUTE(F263,"" "",""""),""^-?\d+(\.\d+)?""))&lt;=90,VALUE(REGEXEXTRACT"&amp;"(SUBSTITUTE(F263,"" "",""""),""-?\d+(\.\d+)?$""))&gt;=-180,VALUE(REGEXEXTRACT(SUBSTITUTE(F263,"" "",""""),""-?\d+(\.\d+)?$""))&lt;=180),""OK"",""REVISAR"")"),"#N/A")</f>
        <v>#N/A</v>
      </c>
    </row>
    <row r="264" ht="15.75" customHeight="1">
      <c r="A264" s="5" t="str">
        <f t="shared" si="1"/>
        <v>AD507-0262</v>
      </c>
      <c r="C264" s="5"/>
      <c r="F264" s="5"/>
      <c r="G264" s="5" t="str">
        <f t="shared" si="2"/>
        <v/>
      </c>
      <c r="H264" s="5" t="str">
        <f t="shared" si="3"/>
        <v/>
      </c>
      <c r="I264" s="5" t="str">
        <f t="shared" si="4"/>
        <v/>
      </c>
      <c r="J264" s="5" t="str">
        <f t="shared" si="5"/>
        <v/>
      </c>
      <c r="K264" s="5" t="str">
        <f>IFERROR(__xludf.DUMMYFUNCTION("IF(C264&lt;&gt;"""",HYPERLINK(""https://wa.me/507""&amp;REGEXREPLACE(C264,""[^0-9]"","""")&amp;""?text=""&amp;ENCODEURL(""Ya llegue. Codigo: ""&amp;A264&amp;"". Ubicacion: ""&amp;""https://www.google.com/maps/search/?api=1&amp;query=""&amp;SUBSTITUTE(F264,"" "","""")),""📲 Avisar al cliente"""&amp;"),"""")"),"")</f>
        <v/>
      </c>
      <c r="L264" s="5" t="str">
        <f>IFERROR(__xludf.DUMMYFUNCTION("IF(C264&lt;&gt;"""",""https://api.qrserver.com/v1/create-qr-code/?size=200x200&amp;data=""&amp;ENCODEURL(""https://wa.me/507""&amp;REGEXREPLACE(C264,""[^0-9]"","""")&amp;""?text=""&amp;ENCODEURL(""Ya llegue. Codigo: ""&amp;A264&amp;"". Ubicacion: ""&amp;""https://www.google.com/maps/search/?a"&amp;"pi=1&amp;query=""&amp;SUBSTITUTE(F264,"" "",""""))),"""")"),"")</f>
        <v/>
      </c>
      <c r="M264" s="5" t="str">
        <f t="shared" si="6"/>
        <v/>
      </c>
      <c r="N264" s="5" t="str">
        <f>IFERROR(__xludf.DUMMYFUNCTION("IF(AND(F264&lt;&gt;"""",REGEXMATCH(SUBSTITUTE(F264,"" "",""""),""^-?\d+(\.\d+)?,-?\d+(\.\d+)?$""),VALUE(REGEXEXTRACT(SUBSTITUTE(F264,"" "",""""),""^-?\d+(\.\d+)?""))&gt;=-90,VALUE(REGEXEXTRACT(SUBSTITUTE(F264,"" "",""""),""^-?\d+(\.\d+)?""))&lt;=90,VALUE(REGEXEXTRACT"&amp;"(SUBSTITUTE(F264,"" "",""""),""-?\d+(\.\d+)?$""))&gt;=-180,VALUE(REGEXEXTRACT(SUBSTITUTE(F264,"" "",""""),""-?\d+(\.\d+)?$""))&lt;=180),""OK"",""REVISAR"")"),"#N/A")</f>
        <v>#N/A</v>
      </c>
    </row>
    <row r="265" ht="15.75" customHeight="1">
      <c r="A265" s="5" t="str">
        <f t="shared" si="1"/>
        <v>AD507-0263</v>
      </c>
      <c r="C265" s="5"/>
      <c r="F265" s="5"/>
      <c r="G265" s="5" t="str">
        <f t="shared" si="2"/>
        <v/>
      </c>
      <c r="H265" s="5" t="str">
        <f t="shared" si="3"/>
        <v/>
      </c>
      <c r="I265" s="5" t="str">
        <f t="shared" si="4"/>
        <v/>
      </c>
      <c r="J265" s="5" t="str">
        <f t="shared" si="5"/>
        <v/>
      </c>
      <c r="K265" s="5" t="str">
        <f>IFERROR(__xludf.DUMMYFUNCTION("IF(C265&lt;&gt;"""",HYPERLINK(""https://wa.me/507""&amp;REGEXREPLACE(C265,""[^0-9]"","""")&amp;""?text=""&amp;ENCODEURL(""Ya llegue. Codigo: ""&amp;A265&amp;"". Ubicacion: ""&amp;""https://www.google.com/maps/search/?api=1&amp;query=""&amp;SUBSTITUTE(F265,"" "","""")),""📲 Avisar al cliente"""&amp;"),"""")"),"")</f>
        <v/>
      </c>
      <c r="L265" s="5" t="str">
        <f>IFERROR(__xludf.DUMMYFUNCTION("IF(C265&lt;&gt;"""",""https://api.qrserver.com/v1/create-qr-code/?size=200x200&amp;data=""&amp;ENCODEURL(""https://wa.me/507""&amp;REGEXREPLACE(C265,""[^0-9]"","""")&amp;""?text=""&amp;ENCODEURL(""Ya llegue. Codigo: ""&amp;A265&amp;"". Ubicacion: ""&amp;""https://www.google.com/maps/search/?a"&amp;"pi=1&amp;query=""&amp;SUBSTITUTE(F265,"" "",""""))),"""")"),"")</f>
        <v/>
      </c>
      <c r="M265" s="5" t="str">
        <f t="shared" si="6"/>
        <v/>
      </c>
      <c r="N265" s="5" t="str">
        <f>IFERROR(__xludf.DUMMYFUNCTION("IF(AND(F265&lt;&gt;"""",REGEXMATCH(SUBSTITUTE(F265,"" "",""""),""^-?\d+(\.\d+)?,-?\d+(\.\d+)?$""),VALUE(REGEXEXTRACT(SUBSTITUTE(F265,"" "",""""),""^-?\d+(\.\d+)?""))&gt;=-90,VALUE(REGEXEXTRACT(SUBSTITUTE(F265,"" "",""""),""^-?\d+(\.\d+)?""))&lt;=90,VALUE(REGEXEXTRACT"&amp;"(SUBSTITUTE(F265,"" "",""""),""-?\d+(\.\d+)?$""))&gt;=-180,VALUE(REGEXEXTRACT(SUBSTITUTE(F265,"" "",""""),""-?\d+(\.\d+)?$""))&lt;=180),""OK"",""REVISAR"")"),"#N/A")</f>
        <v>#N/A</v>
      </c>
    </row>
    <row r="266" ht="15.75" customHeight="1">
      <c r="A266" s="5" t="str">
        <f t="shared" si="1"/>
        <v>AD507-0264</v>
      </c>
      <c r="C266" s="5"/>
      <c r="F266" s="5"/>
      <c r="G266" s="5" t="str">
        <f t="shared" si="2"/>
        <v/>
      </c>
      <c r="H266" s="5" t="str">
        <f t="shared" si="3"/>
        <v/>
      </c>
      <c r="I266" s="5" t="str">
        <f t="shared" si="4"/>
        <v/>
      </c>
      <c r="J266" s="5" t="str">
        <f t="shared" si="5"/>
        <v/>
      </c>
      <c r="K266" s="5" t="str">
        <f>IFERROR(__xludf.DUMMYFUNCTION("IF(C266&lt;&gt;"""",HYPERLINK(""https://wa.me/507""&amp;REGEXREPLACE(C266,""[^0-9]"","""")&amp;""?text=""&amp;ENCODEURL(""Ya llegue. Codigo: ""&amp;A266&amp;"". Ubicacion: ""&amp;""https://www.google.com/maps/search/?api=1&amp;query=""&amp;SUBSTITUTE(F266,"" "","""")),""📲 Avisar al cliente"""&amp;"),"""")"),"")</f>
        <v/>
      </c>
      <c r="L266" s="5" t="str">
        <f>IFERROR(__xludf.DUMMYFUNCTION("IF(C266&lt;&gt;"""",""https://api.qrserver.com/v1/create-qr-code/?size=200x200&amp;data=""&amp;ENCODEURL(""https://wa.me/507""&amp;REGEXREPLACE(C266,""[^0-9]"","""")&amp;""?text=""&amp;ENCODEURL(""Ya llegue. Codigo: ""&amp;A266&amp;"". Ubicacion: ""&amp;""https://www.google.com/maps/search/?a"&amp;"pi=1&amp;query=""&amp;SUBSTITUTE(F266,"" "",""""))),"""")"),"")</f>
        <v/>
      </c>
      <c r="M266" s="5" t="str">
        <f t="shared" si="6"/>
        <v/>
      </c>
      <c r="N266" s="5" t="str">
        <f>IFERROR(__xludf.DUMMYFUNCTION("IF(AND(F266&lt;&gt;"""",REGEXMATCH(SUBSTITUTE(F266,"" "",""""),""^-?\d+(\.\d+)?,-?\d+(\.\d+)?$""),VALUE(REGEXEXTRACT(SUBSTITUTE(F266,"" "",""""),""^-?\d+(\.\d+)?""))&gt;=-90,VALUE(REGEXEXTRACT(SUBSTITUTE(F266,"" "",""""),""^-?\d+(\.\d+)?""))&lt;=90,VALUE(REGEXEXTRACT"&amp;"(SUBSTITUTE(F266,"" "",""""),""-?\d+(\.\d+)?$""))&gt;=-180,VALUE(REGEXEXTRACT(SUBSTITUTE(F266,"" "",""""),""-?\d+(\.\d+)?$""))&lt;=180),""OK"",""REVISAR"")"),"#N/A")</f>
        <v>#N/A</v>
      </c>
    </row>
    <row r="267" ht="15.75" customHeight="1">
      <c r="A267" s="5" t="str">
        <f t="shared" si="1"/>
        <v>AD507-0265</v>
      </c>
      <c r="C267" s="5"/>
      <c r="F267" s="5"/>
      <c r="G267" s="5" t="str">
        <f t="shared" si="2"/>
        <v/>
      </c>
      <c r="H267" s="5" t="str">
        <f t="shared" si="3"/>
        <v/>
      </c>
      <c r="I267" s="5" t="str">
        <f t="shared" si="4"/>
        <v/>
      </c>
      <c r="J267" s="5" t="str">
        <f t="shared" si="5"/>
        <v/>
      </c>
      <c r="K267" s="5" t="str">
        <f>IFERROR(__xludf.DUMMYFUNCTION("IF(C267&lt;&gt;"""",HYPERLINK(""https://wa.me/507""&amp;REGEXREPLACE(C267,""[^0-9]"","""")&amp;""?text=""&amp;ENCODEURL(""Ya llegue. Codigo: ""&amp;A267&amp;"". Ubicacion: ""&amp;""https://www.google.com/maps/search/?api=1&amp;query=""&amp;SUBSTITUTE(F267,"" "","""")),""📲 Avisar al cliente"""&amp;"),"""")"),"")</f>
        <v/>
      </c>
      <c r="L267" s="5" t="str">
        <f>IFERROR(__xludf.DUMMYFUNCTION("IF(C267&lt;&gt;"""",""https://api.qrserver.com/v1/create-qr-code/?size=200x200&amp;data=""&amp;ENCODEURL(""https://wa.me/507""&amp;REGEXREPLACE(C267,""[^0-9]"","""")&amp;""?text=""&amp;ENCODEURL(""Ya llegue. Codigo: ""&amp;A267&amp;"". Ubicacion: ""&amp;""https://www.google.com/maps/search/?a"&amp;"pi=1&amp;query=""&amp;SUBSTITUTE(F267,"" "",""""))),"""")"),"")</f>
        <v/>
      </c>
      <c r="M267" s="5" t="str">
        <f t="shared" si="6"/>
        <v/>
      </c>
      <c r="N267" s="5" t="str">
        <f>IFERROR(__xludf.DUMMYFUNCTION("IF(AND(F267&lt;&gt;"""",REGEXMATCH(SUBSTITUTE(F267,"" "",""""),""^-?\d+(\.\d+)?,-?\d+(\.\d+)?$""),VALUE(REGEXEXTRACT(SUBSTITUTE(F267,"" "",""""),""^-?\d+(\.\d+)?""))&gt;=-90,VALUE(REGEXEXTRACT(SUBSTITUTE(F267,"" "",""""),""^-?\d+(\.\d+)?""))&lt;=90,VALUE(REGEXEXTRACT"&amp;"(SUBSTITUTE(F267,"" "",""""),""-?\d+(\.\d+)?$""))&gt;=-180,VALUE(REGEXEXTRACT(SUBSTITUTE(F267,"" "",""""),""-?\d+(\.\d+)?$""))&lt;=180),""OK"",""REVISAR"")"),"#N/A")</f>
        <v>#N/A</v>
      </c>
    </row>
    <row r="268" ht="15.75" customHeight="1">
      <c r="A268" s="5" t="str">
        <f t="shared" si="1"/>
        <v>AD507-0266</v>
      </c>
      <c r="C268" s="5"/>
      <c r="F268" s="5"/>
      <c r="G268" s="5" t="str">
        <f t="shared" si="2"/>
        <v/>
      </c>
      <c r="H268" s="5" t="str">
        <f t="shared" si="3"/>
        <v/>
      </c>
      <c r="I268" s="5" t="str">
        <f t="shared" si="4"/>
        <v/>
      </c>
      <c r="J268" s="5" t="str">
        <f t="shared" si="5"/>
        <v/>
      </c>
      <c r="K268" s="5" t="str">
        <f>IFERROR(__xludf.DUMMYFUNCTION("IF(C268&lt;&gt;"""",HYPERLINK(""https://wa.me/507""&amp;REGEXREPLACE(C268,""[^0-9]"","""")&amp;""?text=""&amp;ENCODEURL(""Ya llegue. Codigo: ""&amp;A268&amp;"". Ubicacion: ""&amp;""https://www.google.com/maps/search/?api=1&amp;query=""&amp;SUBSTITUTE(F268,"" "","""")),""📲 Avisar al cliente"""&amp;"),"""")"),"")</f>
        <v/>
      </c>
      <c r="L268" s="5" t="str">
        <f>IFERROR(__xludf.DUMMYFUNCTION("IF(C268&lt;&gt;"""",""https://api.qrserver.com/v1/create-qr-code/?size=200x200&amp;data=""&amp;ENCODEURL(""https://wa.me/507""&amp;REGEXREPLACE(C268,""[^0-9]"","""")&amp;""?text=""&amp;ENCODEURL(""Ya llegue. Codigo: ""&amp;A268&amp;"". Ubicacion: ""&amp;""https://www.google.com/maps/search/?a"&amp;"pi=1&amp;query=""&amp;SUBSTITUTE(F268,"" "",""""))),"""")"),"")</f>
        <v/>
      </c>
      <c r="M268" s="5" t="str">
        <f t="shared" si="6"/>
        <v/>
      </c>
      <c r="N268" s="5" t="str">
        <f>IFERROR(__xludf.DUMMYFUNCTION("IF(AND(F268&lt;&gt;"""",REGEXMATCH(SUBSTITUTE(F268,"" "",""""),""^-?\d+(\.\d+)?,-?\d+(\.\d+)?$""),VALUE(REGEXEXTRACT(SUBSTITUTE(F268,"" "",""""),""^-?\d+(\.\d+)?""))&gt;=-90,VALUE(REGEXEXTRACT(SUBSTITUTE(F268,"" "",""""),""^-?\d+(\.\d+)?""))&lt;=90,VALUE(REGEXEXTRACT"&amp;"(SUBSTITUTE(F268,"" "",""""),""-?\d+(\.\d+)?$""))&gt;=-180,VALUE(REGEXEXTRACT(SUBSTITUTE(F268,"" "",""""),""-?\d+(\.\d+)?$""))&lt;=180),""OK"",""REVISAR"")"),"#N/A")</f>
        <v>#N/A</v>
      </c>
    </row>
    <row r="269" ht="15.75" customHeight="1">
      <c r="A269" s="5" t="str">
        <f t="shared" si="1"/>
        <v>AD507-0267</v>
      </c>
      <c r="C269" s="5"/>
      <c r="F269" s="5"/>
      <c r="G269" s="5" t="str">
        <f t="shared" si="2"/>
        <v/>
      </c>
      <c r="H269" s="5" t="str">
        <f t="shared" si="3"/>
        <v/>
      </c>
      <c r="I269" s="5" t="str">
        <f t="shared" si="4"/>
        <v/>
      </c>
      <c r="J269" s="5" t="str">
        <f t="shared" si="5"/>
        <v/>
      </c>
      <c r="K269" s="5" t="str">
        <f>IFERROR(__xludf.DUMMYFUNCTION("IF(C269&lt;&gt;"""",HYPERLINK(""https://wa.me/507""&amp;REGEXREPLACE(C269,""[^0-9]"","""")&amp;""?text=""&amp;ENCODEURL(""Ya llegue. Codigo: ""&amp;A269&amp;"". Ubicacion: ""&amp;""https://www.google.com/maps/search/?api=1&amp;query=""&amp;SUBSTITUTE(F269,"" "","""")),""📲 Avisar al cliente"""&amp;"),"""")"),"")</f>
        <v/>
      </c>
      <c r="L269" s="5" t="str">
        <f>IFERROR(__xludf.DUMMYFUNCTION("IF(C269&lt;&gt;"""",""https://api.qrserver.com/v1/create-qr-code/?size=200x200&amp;data=""&amp;ENCODEURL(""https://wa.me/507""&amp;REGEXREPLACE(C269,""[^0-9]"","""")&amp;""?text=""&amp;ENCODEURL(""Ya llegue. Codigo: ""&amp;A269&amp;"". Ubicacion: ""&amp;""https://www.google.com/maps/search/?a"&amp;"pi=1&amp;query=""&amp;SUBSTITUTE(F269,"" "",""""))),"""")"),"")</f>
        <v/>
      </c>
      <c r="M269" s="5" t="str">
        <f t="shared" si="6"/>
        <v/>
      </c>
      <c r="N269" s="5" t="str">
        <f>IFERROR(__xludf.DUMMYFUNCTION("IF(AND(F269&lt;&gt;"""",REGEXMATCH(SUBSTITUTE(F269,"" "",""""),""^-?\d+(\.\d+)?,-?\d+(\.\d+)?$""),VALUE(REGEXEXTRACT(SUBSTITUTE(F269,"" "",""""),""^-?\d+(\.\d+)?""))&gt;=-90,VALUE(REGEXEXTRACT(SUBSTITUTE(F269,"" "",""""),""^-?\d+(\.\d+)?""))&lt;=90,VALUE(REGEXEXTRACT"&amp;"(SUBSTITUTE(F269,"" "",""""),""-?\d+(\.\d+)?$""))&gt;=-180,VALUE(REGEXEXTRACT(SUBSTITUTE(F269,"" "",""""),""-?\d+(\.\d+)?$""))&lt;=180),""OK"",""REVISAR"")"),"#N/A")</f>
        <v>#N/A</v>
      </c>
    </row>
    <row r="270" ht="15.75" customHeight="1">
      <c r="A270" s="5" t="str">
        <f t="shared" si="1"/>
        <v>AD507-0268</v>
      </c>
      <c r="C270" s="5"/>
      <c r="F270" s="5"/>
      <c r="G270" s="5" t="str">
        <f t="shared" si="2"/>
        <v/>
      </c>
      <c r="H270" s="5" t="str">
        <f t="shared" si="3"/>
        <v/>
      </c>
      <c r="I270" s="5" t="str">
        <f t="shared" si="4"/>
        <v/>
      </c>
      <c r="J270" s="5" t="str">
        <f t="shared" si="5"/>
        <v/>
      </c>
      <c r="K270" s="5" t="str">
        <f>IFERROR(__xludf.DUMMYFUNCTION("IF(C270&lt;&gt;"""",HYPERLINK(""https://wa.me/507""&amp;REGEXREPLACE(C270,""[^0-9]"","""")&amp;""?text=""&amp;ENCODEURL(""Ya llegue. Codigo: ""&amp;A270&amp;"". Ubicacion: ""&amp;""https://www.google.com/maps/search/?api=1&amp;query=""&amp;SUBSTITUTE(F270,"" "","""")),""📲 Avisar al cliente"""&amp;"),"""")"),"")</f>
        <v/>
      </c>
      <c r="L270" s="5" t="str">
        <f>IFERROR(__xludf.DUMMYFUNCTION("IF(C270&lt;&gt;"""",""https://api.qrserver.com/v1/create-qr-code/?size=200x200&amp;data=""&amp;ENCODEURL(""https://wa.me/507""&amp;REGEXREPLACE(C270,""[^0-9]"","""")&amp;""?text=""&amp;ENCODEURL(""Ya llegue. Codigo: ""&amp;A270&amp;"". Ubicacion: ""&amp;""https://www.google.com/maps/search/?a"&amp;"pi=1&amp;query=""&amp;SUBSTITUTE(F270,"" "",""""))),"""")"),"")</f>
        <v/>
      </c>
      <c r="M270" s="5" t="str">
        <f t="shared" si="6"/>
        <v/>
      </c>
      <c r="N270" s="5" t="str">
        <f>IFERROR(__xludf.DUMMYFUNCTION("IF(AND(F270&lt;&gt;"""",REGEXMATCH(SUBSTITUTE(F270,"" "",""""),""^-?\d+(\.\d+)?,-?\d+(\.\d+)?$""),VALUE(REGEXEXTRACT(SUBSTITUTE(F270,"" "",""""),""^-?\d+(\.\d+)?""))&gt;=-90,VALUE(REGEXEXTRACT(SUBSTITUTE(F270,"" "",""""),""^-?\d+(\.\d+)?""))&lt;=90,VALUE(REGEXEXTRACT"&amp;"(SUBSTITUTE(F270,"" "",""""),""-?\d+(\.\d+)?$""))&gt;=-180,VALUE(REGEXEXTRACT(SUBSTITUTE(F270,"" "",""""),""-?\d+(\.\d+)?$""))&lt;=180),""OK"",""REVISAR"")"),"#N/A")</f>
        <v>#N/A</v>
      </c>
    </row>
    <row r="271" ht="15.75" customHeight="1">
      <c r="A271" s="5" t="str">
        <f t="shared" si="1"/>
        <v>AD507-0269</v>
      </c>
      <c r="C271" s="5"/>
      <c r="F271" s="5"/>
      <c r="G271" s="5" t="str">
        <f t="shared" si="2"/>
        <v/>
      </c>
      <c r="H271" s="5" t="str">
        <f t="shared" si="3"/>
        <v/>
      </c>
      <c r="I271" s="5" t="str">
        <f t="shared" si="4"/>
        <v/>
      </c>
      <c r="J271" s="5" t="str">
        <f t="shared" si="5"/>
        <v/>
      </c>
      <c r="K271" s="5" t="str">
        <f>IFERROR(__xludf.DUMMYFUNCTION("IF(C271&lt;&gt;"""",HYPERLINK(""https://wa.me/507""&amp;REGEXREPLACE(C271,""[^0-9]"","""")&amp;""?text=""&amp;ENCODEURL(""Ya llegue. Codigo: ""&amp;A271&amp;"". Ubicacion: ""&amp;""https://www.google.com/maps/search/?api=1&amp;query=""&amp;SUBSTITUTE(F271,"" "","""")),""📲 Avisar al cliente"""&amp;"),"""")"),"")</f>
        <v/>
      </c>
      <c r="L271" s="5" t="str">
        <f>IFERROR(__xludf.DUMMYFUNCTION("IF(C271&lt;&gt;"""",""https://api.qrserver.com/v1/create-qr-code/?size=200x200&amp;data=""&amp;ENCODEURL(""https://wa.me/507""&amp;REGEXREPLACE(C271,""[^0-9]"","""")&amp;""?text=""&amp;ENCODEURL(""Ya llegue. Codigo: ""&amp;A271&amp;"". Ubicacion: ""&amp;""https://www.google.com/maps/search/?a"&amp;"pi=1&amp;query=""&amp;SUBSTITUTE(F271,"" "",""""))),"""")"),"")</f>
        <v/>
      </c>
      <c r="M271" s="5" t="str">
        <f t="shared" si="6"/>
        <v/>
      </c>
      <c r="N271" s="5" t="str">
        <f>IFERROR(__xludf.DUMMYFUNCTION("IF(AND(F271&lt;&gt;"""",REGEXMATCH(SUBSTITUTE(F271,"" "",""""),""^-?\d+(\.\d+)?,-?\d+(\.\d+)?$""),VALUE(REGEXEXTRACT(SUBSTITUTE(F271,"" "",""""),""^-?\d+(\.\d+)?""))&gt;=-90,VALUE(REGEXEXTRACT(SUBSTITUTE(F271,"" "",""""),""^-?\d+(\.\d+)?""))&lt;=90,VALUE(REGEXEXTRACT"&amp;"(SUBSTITUTE(F271,"" "",""""),""-?\d+(\.\d+)?$""))&gt;=-180,VALUE(REGEXEXTRACT(SUBSTITUTE(F271,"" "",""""),""-?\d+(\.\d+)?$""))&lt;=180),""OK"",""REVISAR"")"),"#N/A")</f>
        <v>#N/A</v>
      </c>
    </row>
    <row r="272" ht="15.75" customHeight="1">
      <c r="A272" s="5" t="str">
        <f t="shared" si="1"/>
        <v>AD507-0270</v>
      </c>
      <c r="C272" s="5"/>
      <c r="F272" s="5"/>
      <c r="G272" s="5" t="str">
        <f t="shared" si="2"/>
        <v/>
      </c>
      <c r="H272" s="5" t="str">
        <f t="shared" si="3"/>
        <v/>
      </c>
      <c r="I272" s="5" t="str">
        <f t="shared" si="4"/>
        <v/>
      </c>
      <c r="J272" s="5" t="str">
        <f t="shared" si="5"/>
        <v/>
      </c>
      <c r="K272" s="5" t="str">
        <f>IFERROR(__xludf.DUMMYFUNCTION("IF(C272&lt;&gt;"""",HYPERLINK(""https://wa.me/507""&amp;REGEXREPLACE(C272,""[^0-9]"","""")&amp;""?text=""&amp;ENCODEURL(""Ya llegue. Codigo: ""&amp;A272&amp;"". Ubicacion: ""&amp;""https://www.google.com/maps/search/?api=1&amp;query=""&amp;SUBSTITUTE(F272,"" "","""")),""📲 Avisar al cliente"""&amp;"),"""")"),"")</f>
        <v/>
      </c>
      <c r="L272" s="5" t="str">
        <f>IFERROR(__xludf.DUMMYFUNCTION("IF(C272&lt;&gt;"""",""https://api.qrserver.com/v1/create-qr-code/?size=200x200&amp;data=""&amp;ENCODEURL(""https://wa.me/507""&amp;REGEXREPLACE(C272,""[^0-9]"","""")&amp;""?text=""&amp;ENCODEURL(""Ya llegue. Codigo: ""&amp;A272&amp;"". Ubicacion: ""&amp;""https://www.google.com/maps/search/?a"&amp;"pi=1&amp;query=""&amp;SUBSTITUTE(F272,"" "",""""))),"""")"),"")</f>
        <v/>
      </c>
      <c r="M272" s="5" t="str">
        <f t="shared" si="6"/>
        <v/>
      </c>
      <c r="N272" s="5" t="str">
        <f>IFERROR(__xludf.DUMMYFUNCTION("IF(AND(F272&lt;&gt;"""",REGEXMATCH(SUBSTITUTE(F272,"" "",""""),""^-?\d+(\.\d+)?,-?\d+(\.\d+)?$""),VALUE(REGEXEXTRACT(SUBSTITUTE(F272,"" "",""""),""^-?\d+(\.\d+)?""))&gt;=-90,VALUE(REGEXEXTRACT(SUBSTITUTE(F272,"" "",""""),""^-?\d+(\.\d+)?""))&lt;=90,VALUE(REGEXEXTRACT"&amp;"(SUBSTITUTE(F272,"" "",""""),""-?\d+(\.\d+)?$""))&gt;=-180,VALUE(REGEXEXTRACT(SUBSTITUTE(F272,"" "",""""),""-?\d+(\.\d+)?$""))&lt;=180),""OK"",""REVISAR"")"),"#N/A")</f>
        <v>#N/A</v>
      </c>
    </row>
    <row r="273" ht="15.75" customHeight="1">
      <c r="A273" s="5" t="str">
        <f t="shared" si="1"/>
        <v>AD507-0271</v>
      </c>
      <c r="C273" s="5"/>
      <c r="F273" s="5"/>
      <c r="G273" s="5" t="str">
        <f t="shared" si="2"/>
        <v/>
      </c>
      <c r="H273" s="5" t="str">
        <f t="shared" si="3"/>
        <v/>
      </c>
      <c r="I273" s="5" t="str">
        <f t="shared" si="4"/>
        <v/>
      </c>
      <c r="J273" s="5" t="str">
        <f t="shared" si="5"/>
        <v/>
      </c>
      <c r="K273" s="5" t="str">
        <f>IFERROR(__xludf.DUMMYFUNCTION("IF(C273&lt;&gt;"""",HYPERLINK(""https://wa.me/507""&amp;REGEXREPLACE(C273,""[^0-9]"","""")&amp;""?text=""&amp;ENCODEURL(""Ya llegue. Codigo: ""&amp;A273&amp;"". Ubicacion: ""&amp;""https://www.google.com/maps/search/?api=1&amp;query=""&amp;SUBSTITUTE(F273,"" "","""")),""📲 Avisar al cliente"""&amp;"),"""")"),"")</f>
        <v/>
      </c>
      <c r="L273" s="5" t="str">
        <f>IFERROR(__xludf.DUMMYFUNCTION("IF(C273&lt;&gt;"""",""https://api.qrserver.com/v1/create-qr-code/?size=200x200&amp;data=""&amp;ENCODEURL(""https://wa.me/507""&amp;REGEXREPLACE(C273,""[^0-9]"","""")&amp;""?text=""&amp;ENCODEURL(""Ya llegue. Codigo: ""&amp;A273&amp;"". Ubicacion: ""&amp;""https://www.google.com/maps/search/?a"&amp;"pi=1&amp;query=""&amp;SUBSTITUTE(F273,"" "",""""))),"""")"),"")</f>
        <v/>
      </c>
      <c r="M273" s="5" t="str">
        <f t="shared" si="6"/>
        <v/>
      </c>
      <c r="N273" s="5" t="str">
        <f>IFERROR(__xludf.DUMMYFUNCTION("IF(AND(F273&lt;&gt;"""",REGEXMATCH(SUBSTITUTE(F273,"" "",""""),""^-?\d+(\.\d+)?,-?\d+(\.\d+)?$""),VALUE(REGEXEXTRACT(SUBSTITUTE(F273,"" "",""""),""^-?\d+(\.\d+)?""))&gt;=-90,VALUE(REGEXEXTRACT(SUBSTITUTE(F273,"" "",""""),""^-?\d+(\.\d+)?""))&lt;=90,VALUE(REGEXEXTRACT"&amp;"(SUBSTITUTE(F273,"" "",""""),""-?\d+(\.\d+)?$""))&gt;=-180,VALUE(REGEXEXTRACT(SUBSTITUTE(F273,"" "",""""),""-?\d+(\.\d+)?$""))&lt;=180),""OK"",""REVISAR"")"),"#N/A")</f>
        <v>#N/A</v>
      </c>
    </row>
    <row r="274" ht="15.75" customHeight="1">
      <c r="A274" s="5" t="str">
        <f t="shared" si="1"/>
        <v>AD507-0272</v>
      </c>
      <c r="C274" s="5"/>
      <c r="F274" s="5"/>
      <c r="G274" s="5" t="str">
        <f t="shared" si="2"/>
        <v/>
      </c>
      <c r="H274" s="5" t="str">
        <f t="shared" si="3"/>
        <v/>
      </c>
      <c r="I274" s="5" t="str">
        <f t="shared" si="4"/>
        <v/>
      </c>
      <c r="J274" s="5" t="str">
        <f t="shared" si="5"/>
        <v/>
      </c>
      <c r="K274" s="5" t="str">
        <f>IFERROR(__xludf.DUMMYFUNCTION("IF(C274&lt;&gt;"""",HYPERLINK(""https://wa.me/507""&amp;REGEXREPLACE(C274,""[^0-9]"","""")&amp;""?text=""&amp;ENCODEURL(""Ya llegue. Codigo: ""&amp;A274&amp;"". Ubicacion: ""&amp;""https://www.google.com/maps/search/?api=1&amp;query=""&amp;SUBSTITUTE(F274,"" "","""")),""📲 Avisar al cliente"""&amp;"),"""")"),"")</f>
        <v/>
      </c>
      <c r="L274" s="5" t="str">
        <f>IFERROR(__xludf.DUMMYFUNCTION("IF(C274&lt;&gt;"""",""https://api.qrserver.com/v1/create-qr-code/?size=200x200&amp;data=""&amp;ENCODEURL(""https://wa.me/507""&amp;REGEXREPLACE(C274,""[^0-9]"","""")&amp;""?text=""&amp;ENCODEURL(""Ya llegue. Codigo: ""&amp;A274&amp;"". Ubicacion: ""&amp;""https://www.google.com/maps/search/?a"&amp;"pi=1&amp;query=""&amp;SUBSTITUTE(F274,"" "",""""))),"""")"),"")</f>
        <v/>
      </c>
      <c r="M274" s="5" t="str">
        <f t="shared" si="6"/>
        <v/>
      </c>
      <c r="N274" s="5" t="str">
        <f>IFERROR(__xludf.DUMMYFUNCTION("IF(AND(F274&lt;&gt;"""",REGEXMATCH(SUBSTITUTE(F274,"" "",""""),""^-?\d+(\.\d+)?,-?\d+(\.\d+)?$""),VALUE(REGEXEXTRACT(SUBSTITUTE(F274,"" "",""""),""^-?\d+(\.\d+)?""))&gt;=-90,VALUE(REGEXEXTRACT(SUBSTITUTE(F274,"" "",""""),""^-?\d+(\.\d+)?""))&lt;=90,VALUE(REGEXEXTRACT"&amp;"(SUBSTITUTE(F274,"" "",""""),""-?\d+(\.\d+)?$""))&gt;=-180,VALUE(REGEXEXTRACT(SUBSTITUTE(F274,"" "",""""),""-?\d+(\.\d+)?$""))&lt;=180),""OK"",""REVISAR"")"),"#N/A")</f>
        <v>#N/A</v>
      </c>
    </row>
    <row r="275" ht="15.75" customHeight="1">
      <c r="A275" s="5" t="str">
        <f t="shared" si="1"/>
        <v>AD507-0273</v>
      </c>
      <c r="C275" s="5"/>
      <c r="F275" s="5"/>
      <c r="G275" s="5" t="str">
        <f t="shared" si="2"/>
        <v/>
      </c>
      <c r="H275" s="5" t="str">
        <f t="shared" si="3"/>
        <v/>
      </c>
      <c r="I275" s="5" t="str">
        <f t="shared" si="4"/>
        <v/>
      </c>
      <c r="J275" s="5" t="str">
        <f t="shared" si="5"/>
        <v/>
      </c>
      <c r="K275" s="5" t="str">
        <f>IFERROR(__xludf.DUMMYFUNCTION("IF(C275&lt;&gt;"""",HYPERLINK(""https://wa.me/507""&amp;REGEXREPLACE(C275,""[^0-9]"","""")&amp;""?text=""&amp;ENCODEURL(""Ya llegue. Codigo: ""&amp;A275&amp;"". Ubicacion: ""&amp;""https://www.google.com/maps/search/?api=1&amp;query=""&amp;SUBSTITUTE(F275,"" "","""")),""📲 Avisar al cliente"""&amp;"),"""")"),"")</f>
        <v/>
      </c>
      <c r="L275" s="5" t="str">
        <f>IFERROR(__xludf.DUMMYFUNCTION("IF(C275&lt;&gt;"""",""https://api.qrserver.com/v1/create-qr-code/?size=200x200&amp;data=""&amp;ENCODEURL(""https://wa.me/507""&amp;REGEXREPLACE(C275,""[^0-9]"","""")&amp;""?text=""&amp;ENCODEURL(""Ya llegue. Codigo: ""&amp;A275&amp;"". Ubicacion: ""&amp;""https://www.google.com/maps/search/?a"&amp;"pi=1&amp;query=""&amp;SUBSTITUTE(F275,"" "",""""))),"""")"),"")</f>
        <v/>
      </c>
      <c r="M275" s="5" t="str">
        <f t="shared" si="6"/>
        <v/>
      </c>
      <c r="N275" s="5" t="str">
        <f>IFERROR(__xludf.DUMMYFUNCTION("IF(AND(F275&lt;&gt;"""",REGEXMATCH(SUBSTITUTE(F275,"" "",""""),""^-?\d+(\.\d+)?,-?\d+(\.\d+)?$""),VALUE(REGEXEXTRACT(SUBSTITUTE(F275,"" "",""""),""^-?\d+(\.\d+)?""))&gt;=-90,VALUE(REGEXEXTRACT(SUBSTITUTE(F275,"" "",""""),""^-?\d+(\.\d+)?""))&lt;=90,VALUE(REGEXEXTRACT"&amp;"(SUBSTITUTE(F275,"" "",""""),""-?\d+(\.\d+)?$""))&gt;=-180,VALUE(REGEXEXTRACT(SUBSTITUTE(F275,"" "",""""),""-?\d+(\.\d+)?$""))&lt;=180),""OK"",""REVISAR"")"),"#N/A")</f>
        <v>#N/A</v>
      </c>
    </row>
    <row r="276" ht="15.75" customHeight="1">
      <c r="A276" s="5" t="str">
        <f t="shared" si="1"/>
        <v>AD507-0274</v>
      </c>
      <c r="C276" s="5"/>
      <c r="F276" s="5"/>
      <c r="G276" s="5" t="str">
        <f t="shared" si="2"/>
        <v/>
      </c>
      <c r="H276" s="5" t="str">
        <f t="shared" si="3"/>
        <v/>
      </c>
      <c r="I276" s="5" t="str">
        <f t="shared" si="4"/>
        <v/>
      </c>
      <c r="J276" s="5" t="str">
        <f t="shared" si="5"/>
        <v/>
      </c>
      <c r="K276" s="5" t="str">
        <f>IFERROR(__xludf.DUMMYFUNCTION("IF(C276&lt;&gt;"""",HYPERLINK(""https://wa.me/507""&amp;REGEXREPLACE(C276,""[^0-9]"","""")&amp;""?text=""&amp;ENCODEURL(""Ya llegue. Codigo: ""&amp;A276&amp;"". Ubicacion: ""&amp;""https://www.google.com/maps/search/?api=1&amp;query=""&amp;SUBSTITUTE(F276,"" "","""")),""📲 Avisar al cliente"""&amp;"),"""")"),"")</f>
        <v/>
      </c>
      <c r="L276" s="5" t="str">
        <f>IFERROR(__xludf.DUMMYFUNCTION("IF(C276&lt;&gt;"""",""https://api.qrserver.com/v1/create-qr-code/?size=200x200&amp;data=""&amp;ENCODEURL(""https://wa.me/507""&amp;REGEXREPLACE(C276,""[^0-9]"","""")&amp;""?text=""&amp;ENCODEURL(""Ya llegue. Codigo: ""&amp;A276&amp;"". Ubicacion: ""&amp;""https://www.google.com/maps/search/?a"&amp;"pi=1&amp;query=""&amp;SUBSTITUTE(F276,"" "",""""))),"""")"),"")</f>
        <v/>
      </c>
      <c r="M276" s="5" t="str">
        <f t="shared" si="6"/>
        <v/>
      </c>
      <c r="N276" s="5" t="str">
        <f>IFERROR(__xludf.DUMMYFUNCTION("IF(AND(F276&lt;&gt;"""",REGEXMATCH(SUBSTITUTE(F276,"" "",""""),""^-?\d+(\.\d+)?,-?\d+(\.\d+)?$""),VALUE(REGEXEXTRACT(SUBSTITUTE(F276,"" "",""""),""^-?\d+(\.\d+)?""))&gt;=-90,VALUE(REGEXEXTRACT(SUBSTITUTE(F276,"" "",""""),""^-?\d+(\.\d+)?""))&lt;=90,VALUE(REGEXEXTRACT"&amp;"(SUBSTITUTE(F276,"" "",""""),""-?\d+(\.\d+)?$""))&gt;=-180,VALUE(REGEXEXTRACT(SUBSTITUTE(F276,"" "",""""),""-?\d+(\.\d+)?$""))&lt;=180),""OK"",""REVISAR"")"),"#N/A")</f>
        <v>#N/A</v>
      </c>
    </row>
    <row r="277" ht="15.75" customHeight="1">
      <c r="A277" s="5" t="str">
        <f t="shared" si="1"/>
        <v>AD507-0275</v>
      </c>
      <c r="C277" s="5"/>
      <c r="F277" s="5"/>
      <c r="G277" s="5" t="str">
        <f t="shared" si="2"/>
        <v/>
      </c>
      <c r="H277" s="5" t="str">
        <f t="shared" si="3"/>
        <v/>
      </c>
      <c r="I277" s="5" t="str">
        <f t="shared" si="4"/>
        <v/>
      </c>
      <c r="J277" s="5" t="str">
        <f t="shared" si="5"/>
        <v/>
      </c>
      <c r="K277" s="5" t="str">
        <f>IFERROR(__xludf.DUMMYFUNCTION("IF(C277&lt;&gt;"""",HYPERLINK(""https://wa.me/507""&amp;REGEXREPLACE(C277,""[^0-9]"","""")&amp;""?text=""&amp;ENCODEURL(""Ya llegue. Codigo: ""&amp;A277&amp;"". Ubicacion: ""&amp;""https://www.google.com/maps/search/?api=1&amp;query=""&amp;SUBSTITUTE(F277,"" "","""")),""📲 Avisar al cliente"""&amp;"),"""")"),"")</f>
        <v/>
      </c>
      <c r="L277" s="5" t="str">
        <f>IFERROR(__xludf.DUMMYFUNCTION("IF(C277&lt;&gt;"""",""https://api.qrserver.com/v1/create-qr-code/?size=200x200&amp;data=""&amp;ENCODEURL(""https://wa.me/507""&amp;REGEXREPLACE(C277,""[^0-9]"","""")&amp;""?text=""&amp;ENCODEURL(""Ya llegue. Codigo: ""&amp;A277&amp;"". Ubicacion: ""&amp;""https://www.google.com/maps/search/?a"&amp;"pi=1&amp;query=""&amp;SUBSTITUTE(F277,"" "",""""))),"""")"),"")</f>
        <v/>
      </c>
      <c r="M277" s="5" t="str">
        <f t="shared" si="6"/>
        <v/>
      </c>
      <c r="N277" s="5" t="str">
        <f>IFERROR(__xludf.DUMMYFUNCTION("IF(AND(F277&lt;&gt;"""",REGEXMATCH(SUBSTITUTE(F277,"" "",""""),""^-?\d+(\.\d+)?,-?\d+(\.\d+)?$""),VALUE(REGEXEXTRACT(SUBSTITUTE(F277,"" "",""""),""^-?\d+(\.\d+)?""))&gt;=-90,VALUE(REGEXEXTRACT(SUBSTITUTE(F277,"" "",""""),""^-?\d+(\.\d+)?""))&lt;=90,VALUE(REGEXEXTRACT"&amp;"(SUBSTITUTE(F277,"" "",""""),""-?\d+(\.\d+)?$""))&gt;=-180,VALUE(REGEXEXTRACT(SUBSTITUTE(F277,"" "",""""),""-?\d+(\.\d+)?$""))&lt;=180),""OK"",""REVISAR"")"),"#N/A")</f>
        <v>#N/A</v>
      </c>
    </row>
    <row r="278" ht="15.75" customHeight="1">
      <c r="A278" s="5" t="str">
        <f t="shared" si="1"/>
        <v>AD507-0276</v>
      </c>
      <c r="C278" s="5"/>
      <c r="F278" s="5"/>
      <c r="G278" s="5" t="str">
        <f t="shared" si="2"/>
        <v/>
      </c>
      <c r="H278" s="5" t="str">
        <f t="shared" si="3"/>
        <v/>
      </c>
      <c r="I278" s="5" t="str">
        <f t="shared" si="4"/>
        <v/>
      </c>
      <c r="J278" s="5" t="str">
        <f t="shared" si="5"/>
        <v/>
      </c>
      <c r="K278" s="5" t="str">
        <f>IFERROR(__xludf.DUMMYFUNCTION("IF(C278&lt;&gt;"""",HYPERLINK(""https://wa.me/507""&amp;REGEXREPLACE(C278,""[^0-9]"","""")&amp;""?text=""&amp;ENCODEURL(""Ya llegue. Codigo: ""&amp;A278&amp;"". Ubicacion: ""&amp;""https://www.google.com/maps/search/?api=1&amp;query=""&amp;SUBSTITUTE(F278,"" "","""")),""📲 Avisar al cliente"""&amp;"),"""")"),"")</f>
        <v/>
      </c>
      <c r="L278" s="5" t="str">
        <f>IFERROR(__xludf.DUMMYFUNCTION("IF(C278&lt;&gt;"""",""https://api.qrserver.com/v1/create-qr-code/?size=200x200&amp;data=""&amp;ENCODEURL(""https://wa.me/507""&amp;REGEXREPLACE(C278,""[^0-9]"","""")&amp;""?text=""&amp;ENCODEURL(""Ya llegue. Codigo: ""&amp;A278&amp;"". Ubicacion: ""&amp;""https://www.google.com/maps/search/?a"&amp;"pi=1&amp;query=""&amp;SUBSTITUTE(F278,"" "",""""))),"""")"),"")</f>
        <v/>
      </c>
      <c r="M278" s="5" t="str">
        <f t="shared" si="6"/>
        <v/>
      </c>
      <c r="N278" s="5" t="str">
        <f>IFERROR(__xludf.DUMMYFUNCTION("IF(AND(F278&lt;&gt;"""",REGEXMATCH(SUBSTITUTE(F278,"" "",""""),""^-?\d+(\.\d+)?,-?\d+(\.\d+)?$""),VALUE(REGEXEXTRACT(SUBSTITUTE(F278,"" "",""""),""^-?\d+(\.\d+)?""))&gt;=-90,VALUE(REGEXEXTRACT(SUBSTITUTE(F278,"" "",""""),""^-?\d+(\.\d+)?""))&lt;=90,VALUE(REGEXEXTRACT"&amp;"(SUBSTITUTE(F278,"" "",""""),""-?\d+(\.\d+)?$""))&gt;=-180,VALUE(REGEXEXTRACT(SUBSTITUTE(F278,"" "",""""),""-?\d+(\.\d+)?$""))&lt;=180),""OK"",""REVISAR"")"),"#N/A")</f>
        <v>#N/A</v>
      </c>
    </row>
    <row r="279" ht="15.75" customHeight="1">
      <c r="A279" s="5" t="str">
        <f t="shared" si="1"/>
        <v>AD507-0277</v>
      </c>
      <c r="C279" s="5"/>
      <c r="F279" s="5"/>
      <c r="G279" s="5" t="str">
        <f t="shared" si="2"/>
        <v/>
      </c>
      <c r="H279" s="5" t="str">
        <f t="shared" si="3"/>
        <v/>
      </c>
      <c r="I279" s="5" t="str">
        <f t="shared" si="4"/>
        <v/>
      </c>
      <c r="J279" s="5" t="str">
        <f t="shared" si="5"/>
        <v/>
      </c>
      <c r="K279" s="5" t="str">
        <f>IFERROR(__xludf.DUMMYFUNCTION("IF(C279&lt;&gt;"""",HYPERLINK(""https://wa.me/507""&amp;REGEXREPLACE(C279,""[^0-9]"","""")&amp;""?text=""&amp;ENCODEURL(""Ya llegue. Codigo: ""&amp;A279&amp;"". Ubicacion: ""&amp;""https://www.google.com/maps/search/?api=1&amp;query=""&amp;SUBSTITUTE(F279,"" "","""")),""📲 Avisar al cliente"""&amp;"),"""")"),"")</f>
        <v/>
      </c>
      <c r="L279" s="5" t="str">
        <f>IFERROR(__xludf.DUMMYFUNCTION("IF(C279&lt;&gt;"""",""https://api.qrserver.com/v1/create-qr-code/?size=200x200&amp;data=""&amp;ENCODEURL(""https://wa.me/507""&amp;REGEXREPLACE(C279,""[^0-9]"","""")&amp;""?text=""&amp;ENCODEURL(""Ya llegue. Codigo: ""&amp;A279&amp;"". Ubicacion: ""&amp;""https://www.google.com/maps/search/?a"&amp;"pi=1&amp;query=""&amp;SUBSTITUTE(F279,"" "",""""))),"""")"),"")</f>
        <v/>
      </c>
      <c r="M279" s="5" t="str">
        <f t="shared" si="6"/>
        <v/>
      </c>
      <c r="N279" s="5" t="str">
        <f>IFERROR(__xludf.DUMMYFUNCTION("IF(AND(F279&lt;&gt;"""",REGEXMATCH(SUBSTITUTE(F279,"" "",""""),""^-?\d+(\.\d+)?,-?\d+(\.\d+)?$""),VALUE(REGEXEXTRACT(SUBSTITUTE(F279,"" "",""""),""^-?\d+(\.\d+)?""))&gt;=-90,VALUE(REGEXEXTRACT(SUBSTITUTE(F279,"" "",""""),""^-?\d+(\.\d+)?""))&lt;=90,VALUE(REGEXEXTRACT"&amp;"(SUBSTITUTE(F279,"" "",""""),""-?\d+(\.\d+)?$""))&gt;=-180,VALUE(REGEXEXTRACT(SUBSTITUTE(F279,"" "",""""),""-?\d+(\.\d+)?$""))&lt;=180),""OK"",""REVISAR"")"),"#N/A")</f>
        <v>#N/A</v>
      </c>
    </row>
    <row r="280" ht="15.75" customHeight="1">
      <c r="A280" s="5" t="str">
        <f t="shared" si="1"/>
        <v>AD507-0278</v>
      </c>
      <c r="C280" s="5"/>
      <c r="F280" s="5"/>
      <c r="G280" s="5" t="str">
        <f t="shared" si="2"/>
        <v/>
      </c>
      <c r="H280" s="5" t="str">
        <f t="shared" si="3"/>
        <v/>
      </c>
      <c r="I280" s="5" t="str">
        <f t="shared" si="4"/>
        <v/>
      </c>
      <c r="J280" s="5" t="str">
        <f t="shared" si="5"/>
        <v/>
      </c>
      <c r="K280" s="5" t="str">
        <f>IFERROR(__xludf.DUMMYFUNCTION("IF(C280&lt;&gt;"""",HYPERLINK(""https://wa.me/507""&amp;REGEXREPLACE(C280,""[^0-9]"","""")&amp;""?text=""&amp;ENCODEURL(""Ya llegue. Codigo: ""&amp;A280&amp;"". Ubicacion: ""&amp;""https://www.google.com/maps/search/?api=1&amp;query=""&amp;SUBSTITUTE(F280,"" "","""")),""📲 Avisar al cliente"""&amp;"),"""")"),"")</f>
        <v/>
      </c>
      <c r="L280" s="5" t="str">
        <f>IFERROR(__xludf.DUMMYFUNCTION("IF(C280&lt;&gt;"""",""https://api.qrserver.com/v1/create-qr-code/?size=200x200&amp;data=""&amp;ENCODEURL(""https://wa.me/507""&amp;REGEXREPLACE(C280,""[^0-9]"","""")&amp;""?text=""&amp;ENCODEURL(""Ya llegue. Codigo: ""&amp;A280&amp;"". Ubicacion: ""&amp;""https://www.google.com/maps/search/?a"&amp;"pi=1&amp;query=""&amp;SUBSTITUTE(F280,"" "",""""))),"""")"),"")</f>
        <v/>
      </c>
      <c r="M280" s="5" t="str">
        <f t="shared" si="6"/>
        <v/>
      </c>
      <c r="N280" s="5" t="str">
        <f>IFERROR(__xludf.DUMMYFUNCTION("IF(AND(F280&lt;&gt;"""",REGEXMATCH(SUBSTITUTE(F280,"" "",""""),""^-?\d+(\.\d+)?,-?\d+(\.\d+)?$""),VALUE(REGEXEXTRACT(SUBSTITUTE(F280,"" "",""""),""^-?\d+(\.\d+)?""))&gt;=-90,VALUE(REGEXEXTRACT(SUBSTITUTE(F280,"" "",""""),""^-?\d+(\.\d+)?""))&lt;=90,VALUE(REGEXEXTRACT"&amp;"(SUBSTITUTE(F280,"" "",""""),""-?\d+(\.\d+)?$""))&gt;=-180,VALUE(REGEXEXTRACT(SUBSTITUTE(F280,"" "",""""),""-?\d+(\.\d+)?$""))&lt;=180),""OK"",""REVISAR"")"),"#N/A")</f>
        <v>#N/A</v>
      </c>
    </row>
    <row r="281" ht="15.75" customHeight="1">
      <c r="A281" s="5" t="str">
        <f t="shared" si="1"/>
        <v>AD507-0279</v>
      </c>
      <c r="C281" s="5"/>
      <c r="F281" s="5"/>
      <c r="G281" s="5" t="str">
        <f t="shared" si="2"/>
        <v/>
      </c>
      <c r="H281" s="5" t="str">
        <f t="shared" si="3"/>
        <v/>
      </c>
      <c r="I281" s="5" t="str">
        <f t="shared" si="4"/>
        <v/>
      </c>
      <c r="J281" s="5" t="str">
        <f t="shared" si="5"/>
        <v/>
      </c>
      <c r="K281" s="5" t="str">
        <f>IFERROR(__xludf.DUMMYFUNCTION("IF(C281&lt;&gt;"""",HYPERLINK(""https://wa.me/507""&amp;REGEXREPLACE(C281,""[^0-9]"","""")&amp;""?text=""&amp;ENCODEURL(""Ya llegue. Codigo: ""&amp;A281&amp;"". Ubicacion: ""&amp;""https://www.google.com/maps/search/?api=1&amp;query=""&amp;SUBSTITUTE(F281,"" "","""")),""📲 Avisar al cliente"""&amp;"),"""")"),"")</f>
        <v/>
      </c>
      <c r="L281" s="5" t="str">
        <f>IFERROR(__xludf.DUMMYFUNCTION("IF(C281&lt;&gt;"""",""https://api.qrserver.com/v1/create-qr-code/?size=200x200&amp;data=""&amp;ENCODEURL(""https://wa.me/507""&amp;REGEXREPLACE(C281,""[^0-9]"","""")&amp;""?text=""&amp;ENCODEURL(""Ya llegue. Codigo: ""&amp;A281&amp;"". Ubicacion: ""&amp;""https://www.google.com/maps/search/?a"&amp;"pi=1&amp;query=""&amp;SUBSTITUTE(F281,"" "",""""))),"""")"),"")</f>
        <v/>
      </c>
      <c r="M281" s="5" t="str">
        <f t="shared" si="6"/>
        <v/>
      </c>
      <c r="N281" s="5" t="str">
        <f>IFERROR(__xludf.DUMMYFUNCTION("IF(AND(F281&lt;&gt;"""",REGEXMATCH(SUBSTITUTE(F281,"" "",""""),""^-?\d+(\.\d+)?,-?\d+(\.\d+)?$""),VALUE(REGEXEXTRACT(SUBSTITUTE(F281,"" "",""""),""^-?\d+(\.\d+)?""))&gt;=-90,VALUE(REGEXEXTRACT(SUBSTITUTE(F281,"" "",""""),""^-?\d+(\.\d+)?""))&lt;=90,VALUE(REGEXEXTRACT"&amp;"(SUBSTITUTE(F281,"" "",""""),""-?\d+(\.\d+)?$""))&gt;=-180,VALUE(REGEXEXTRACT(SUBSTITUTE(F281,"" "",""""),""-?\d+(\.\d+)?$""))&lt;=180),""OK"",""REVISAR"")"),"#N/A")</f>
        <v>#N/A</v>
      </c>
    </row>
    <row r="282" ht="15.75" customHeight="1">
      <c r="A282" s="5" t="str">
        <f t="shared" si="1"/>
        <v>AD507-0280</v>
      </c>
      <c r="C282" s="5"/>
      <c r="F282" s="5"/>
      <c r="G282" s="5" t="str">
        <f t="shared" si="2"/>
        <v/>
      </c>
      <c r="H282" s="5" t="str">
        <f t="shared" si="3"/>
        <v/>
      </c>
      <c r="I282" s="5" t="str">
        <f t="shared" si="4"/>
        <v/>
      </c>
      <c r="J282" s="5" t="str">
        <f t="shared" si="5"/>
        <v/>
      </c>
      <c r="K282" s="5" t="str">
        <f>IFERROR(__xludf.DUMMYFUNCTION("IF(C282&lt;&gt;"""",HYPERLINK(""https://wa.me/507""&amp;REGEXREPLACE(C282,""[^0-9]"","""")&amp;""?text=""&amp;ENCODEURL(""Ya llegue. Codigo: ""&amp;A282&amp;"". Ubicacion: ""&amp;""https://www.google.com/maps/search/?api=1&amp;query=""&amp;SUBSTITUTE(F282,"" "","""")),""📲 Avisar al cliente"""&amp;"),"""")"),"")</f>
        <v/>
      </c>
      <c r="L282" s="5" t="str">
        <f>IFERROR(__xludf.DUMMYFUNCTION("IF(C282&lt;&gt;"""",""https://api.qrserver.com/v1/create-qr-code/?size=200x200&amp;data=""&amp;ENCODEURL(""https://wa.me/507""&amp;REGEXREPLACE(C282,""[^0-9]"","""")&amp;""?text=""&amp;ENCODEURL(""Ya llegue. Codigo: ""&amp;A282&amp;"". Ubicacion: ""&amp;""https://www.google.com/maps/search/?a"&amp;"pi=1&amp;query=""&amp;SUBSTITUTE(F282,"" "",""""))),"""")"),"")</f>
        <v/>
      </c>
      <c r="M282" s="5" t="str">
        <f t="shared" si="6"/>
        <v/>
      </c>
      <c r="N282" s="5" t="str">
        <f>IFERROR(__xludf.DUMMYFUNCTION("IF(AND(F282&lt;&gt;"""",REGEXMATCH(SUBSTITUTE(F282,"" "",""""),""^-?\d+(\.\d+)?,-?\d+(\.\d+)?$""),VALUE(REGEXEXTRACT(SUBSTITUTE(F282,"" "",""""),""^-?\d+(\.\d+)?""))&gt;=-90,VALUE(REGEXEXTRACT(SUBSTITUTE(F282,"" "",""""),""^-?\d+(\.\d+)?""))&lt;=90,VALUE(REGEXEXTRACT"&amp;"(SUBSTITUTE(F282,"" "",""""),""-?\d+(\.\d+)?$""))&gt;=-180,VALUE(REGEXEXTRACT(SUBSTITUTE(F282,"" "",""""),""-?\d+(\.\d+)?$""))&lt;=180),""OK"",""REVISAR"")"),"#N/A")</f>
        <v>#N/A</v>
      </c>
    </row>
    <row r="283" ht="15.75" customHeight="1">
      <c r="A283" s="5" t="str">
        <f t="shared" si="1"/>
        <v>AD507-0281</v>
      </c>
      <c r="C283" s="5"/>
      <c r="F283" s="5"/>
      <c r="G283" s="5" t="str">
        <f t="shared" si="2"/>
        <v/>
      </c>
      <c r="H283" s="5" t="str">
        <f t="shared" si="3"/>
        <v/>
      </c>
      <c r="I283" s="5" t="str">
        <f t="shared" si="4"/>
        <v/>
      </c>
      <c r="J283" s="5" t="str">
        <f t="shared" si="5"/>
        <v/>
      </c>
      <c r="K283" s="5" t="str">
        <f>IFERROR(__xludf.DUMMYFUNCTION("IF(C283&lt;&gt;"""",HYPERLINK(""https://wa.me/507""&amp;REGEXREPLACE(C283,""[^0-9]"","""")&amp;""?text=""&amp;ENCODEURL(""Ya llegue. Codigo: ""&amp;A283&amp;"". Ubicacion: ""&amp;""https://www.google.com/maps/search/?api=1&amp;query=""&amp;SUBSTITUTE(F283,"" "","""")),""📲 Avisar al cliente"""&amp;"),"""")"),"")</f>
        <v/>
      </c>
      <c r="L283" s="5" t="str">
        <f>IFERROR(__xludf.DUMMYFUNCTION("IF(C283&lt;&gt;"""",""https://api.qrserver.com/v1/create-qr-code/?size=200x200&amp;data=""&amp;ENCODEURL(""https://wa.me/507""&amp;REGEXREPLACE(C283,""[^0-9]"","""")&amp;""?text=""&amp;ENCODEURL(""Ya llegue. Codigo: ""&amp;A283&amp;"". Ubicacion: ""&amp;""https://www.google.com/maps/search/?a"&amp;"pi=1&amp;query=""&amp;SUBSTITUTE(F283,"" "",""""))),"""")"),"")</f>
        <v/>
      </c>
      <c r="M283" s="5" t="str">
        <f t="shared" si="6"/>
        <v/>
      </c>
      <c r="N283" s="5" t="str">
        <f>IFERROR(__xludf.DUMMYFUNCTION("IF(AND(F283&lt;&gt;"""",REGEXMATCH(SUBSTITUTE(F283,"" "",""""),""^-?\d+(\.\d+)?,-?\d+(\.\d+)?$""),VALUE(REGEXEXTRACT(SUBSTITUTE(F283,"" "",""""),""^-?\d+(\.\d+)?""))&gt;=-90,VALUE(REGEXEXTRACT(SUBSTITUTE(F283,"" "",""""),""^-?\d+(\.\d+)?""))&lt;=90,VALUE(REGEXEXTRACT"&amp;"(SUBSTITUTE(F283,"" "",""""),""-?\d+(\.\d+)?$""))&gt;=-180,VALUE(REGEXEXTRACT(SUBSTITUTE(F283,"" "",""""),""-?\d+(\.\d+)?$""))&lt;=180),""OK"",""REVISAR"")"),"#N/A")</f>
        <v>#N/A</v>
      </c>
    </row>
    <row r="284" ht="15.75" customHeight="1">
      <c r="A284" s="5" t="str">
        <f t="shared" si="1"/>
        <v>AD507-0282</v>
      </c>
      <c r="C284" s="5"/>
      <c r="F284" s="5"/>
      <c r="G284" s="5" t="str">
        <f t="shared" si="2"/>
        <v/>
      </c>
      <c r="H284" s="5" t="str">
        <f t="shared" si="3"/>
        <v/>
      </c>
      <c r="I284" s="5" t="str">
        <f t="shared" si="4"/>
        <v/>
      </c>
      <c r="J284" s="5" t="str">
        <f t="shared" si="5"/>
        <v/>
      </c>
      <c r="K284" s="5" t="str">
        <f>IFERROR(__xludf.DUMMYFUNCTION("IF(C284&lt;&gt;"""",HYPERLINK(""https://wa.me/507""&amp;REGEXREPLACE(C284,""[^0-9]"","""")&amp;""?text=""&amp;ENCODEURL(""Ya llegue. Codigo: ""&amp;A284&amp;"". Ubicacion: ""&amp;""https://www.google.com/maps/search/?api=1&amp;query=""&amp;SUBSTITUTE(F284,"" "","""")),""📲 Avisar al cliente"""&amp;"),"""")"),"")</f>
        <v/>
      </c>
      <c r="L284" s="5" t="str">
        <f>IFERROR(__xludf.DUMMYFUNCTION("IF(C284&lt;&gt;"""",""https://api.qrserver.com/v1/create-qr-code/?size=200x200&amp;data=""&amp;ENCODEURL(""https://wa.me/507""&amp;REGEXREPLACE(C284,""[^0-9]"","""")&amp;""?text=""&amp;ENCODEURL(""Ya llegue. Codigo: ""&amp;A284&amp;"". Ubicacion: ""&amp;""https://www.google.com/maps/search/?a"&amp;"pi=1&amp;query=""&amp;SUBSTITUTE(F284,"" "",""""))),"""")"),"")</f>
        <v/>
      </c>
      <c r="M284" s="5" t="str">
        <f t="shared" si="6"/>
        <v/>
      </c>
      <c r="N284" s="5" t="str">
        <f>IFERROR(__xludf.DUMMYFUNCTION("IF(AND(F284&lt;&gt;"""",REGEXMATCH(SUBSTITUTE(F284,"" "",""""),""^-?\d+(\.\d+)?,-?\d+(\.\d+)?$""),VALUE(REGEXEXTRACT(SUBSTITUTE(F284,"" "",""""),""^-?\d+(\.\d+)?""))&gt;=-90,VALUE(REGEXEXTRACT(SUBSTITUTE(F284,"" "",""""),""^-?\d+(\.\d+)?""))&lt;=90,VALUE(REGEXEXTRACT"&amp;"(SUBSTITUTE(F284,"" "",""""),""-?\d+(\.\d+)?$""))&gt;=-180,VALUE(REGEXEXTRACT(SUBSTITUTE(F284,"" "",""""),""-?\d+(\.\d+)?$""))&lt;=180),""OK"",""REVISAR"")"),"#N/A")</f>
        <v>#N/A</v>
      </c>
    </row>
    <row r="285" ht="15.75" customHeight="1">
      <c r="A285" s="5" t="str">
        <f t="shared" si="1"/>
        <v>AD507-0283</v>
      </c>
      <c r="C285" s="5"/>
      <c r="F285" s="5"/>
      <c r="G285" s="5" t="str">
        <f t="shared" si="2"/>
        <v/>
      </c>
      <c r="H285" s="5" t="str">
        <f t="shared" si="3"/>
        <v/>
      </c>
      <c r="I285" s="5" t="str">
        <f t="shared" si="4"/>
        <v/>
      </c>
      <c r="J285" s="5" t="str">
        <f t="shared" si="5"/>
        <v/>
      </c>
      <c r="K285" s="5" t="str">
        <f>IFERROR(__xludf.DUMMYFUNCTION("IF(C285&lt;&gt;"""",HYPERLINK(""https://wa.me/507""&amp;REGEXREPLACE(C285,""[^0-9]"","""")&amp;""?text=""&amp;ENCODEURL(""Ya llegue. Codigo: ""&amp;A285&amp;"". Ubicacion: ""&amp;""https://www.google.com/maps/search/?api=1&amp;query=""&amp;SUBSTITUTE(F285,"" "","""")),""📲 Avisar al cliente"""&amp;"),"""")"),"")</f>
        <v/>
      </c>
      <c r="L285" s="5" t="str">
        <f>IFERROR(__xludf.DUMMYFUNCTION("IF(C285&lt;&gt;"""",""https://api.qrserver.com/v1/create-qr-code/?size=200x200&amp;data=""&amp;ENCODEURL(""https://wa.me/507""&amp;REGEXREPLACE(C285,""[^0-9]"","""")&amp;""?text=""&amp;ENCODEURL(""Ya llegue. Codigo: ""&amp;A285&amp;"". Ubicacion: ""&amp;""https://www.google.com/maps/search/?a"&amp;"pi=1&amp;query=""&amp;SUBSTITUTE(F285,"" "",""""))),"""")"),"")</f>
        <v/>
      </c>
      <c r="M285" s="5" t="str">
        <f t="shared" si="6"/>
        <v/>
      </c>
      <c r="N285" s="5" t="str">
        <f>IFERROR(__xludf.DUMMYFUNCTION("IF(AND(F285&lt;&gt;"""",REGEXMATCH(SUBSTITUTE(F285,"" "",""""),""^-?\d+(\.\d+)?,-?\d+(\.\d+)?$""),VALUE(REGEXEXTRACT(SUBSTITUTE(F285,"" "",""""),""^-?\d+(\.\d+)?""))&gt;=-90,VALUE(REGEXEXTRACT(SUBSTITUTE(F285,"" "",""""),""^-?\d+(\.\d+)?""))&lt;=90,VALUE(REGEXEXTRACT"&amp;"(SUBSTITUTE(F285,"" "",""""),""-?\d+(\.\d+)?$""))&gt;=-180,VALUE(REGEXEXTRACT(SUBSTITUTE(F285,"" "",""""),""-?\d+(\.\d+)?$""))&lt;=180),""OK"",""REVISAR"")"),"#N/A")</f>
        <v>#N/A</v>
      </c>
    </row>
    <row r="286" ht="15.75" customHeight="1">
      <c r="A286" s="5" t="str">
        <f t="shared" si="1"/>
        <v>AD507-0284</v>
      </c>
      <c r="C286" s="5"/>
      <c r="F286" s="5"/>
      <c r="G286" s="5" t="str">
        <f t="shared" si="2"/>
        <v/>
      </c>
      <c r="H286" s="5" t="str">
        <f t="shared" si="3"/>
        <v/>
      </c>
      <c r="I286" s="5" t="str">
        <f t="shared" si="4"/>
        <v/>
      </c>
      <c r="J286" s="5" t="str">
        <f t="shared" si="5"/>
        <v/>
      </c>
      <c r="K286" s="5" t="str">
        <f>IFERROR(__xludf.DUMMYFUNCTION("IF(C286&lt;&gt;"""",HYPERLINK(""https://wa.me/507""&amp;REGEXREPLACE(C286,""[^0-9]"","""")&amp;""?text=""&amp;ENCODEURL(""Ya llegue. Codigo: ""&amp;A286&amp;"". Ubicacion: ""&amp;""https://www.google.com/maps/search/?api=1&amp;query=""&amp;SUBSTITUTE(F286,"" "","""")),""📲 Avisar al cliente"""&amp;"),"""")"),"")</f>
        <v/>
      </c>
      <c r="L286" s="5" t="str">
        <f>IFERROR(__xludf.DUMMYFUNCTION("IF(C286&lt;&gt;"""",""https://api.qrserver.com/v1/create-qr-code/?size=200x200&amp;data=""&amp;ENCODEURL(""https://wa.me/507""&amp;REGEXREPLACE(C286,""[^0-9]"","""")&amp;""?text=""&amp;ENCODEURL(""Ya llegue. Codigo: ""&amp;A286&amp;"". Ubicacion: ""&amp;""https://www.google.com/maps/search/?a"&amp;"pi=1&amp;query=""&amp;SUBSTITUTE(F286,"" "",""""))),"""")"),"")</f>
        <v/>
      </c>
      <c r="M286" s="5" t="str">
        <f t="shared" si="6"/>
        <v/>
      </c>
      <c r="N286" s="5" t="str">
        <f>IFERROR(__xludf.DUMMYFUNCTION("IF(AND(F286&lt;&gt;"""",REGEXMATCH(SUBSTITUTE(F286,"" "",""""),""^-?\d+(\.\d+)?,-?\d+(\.\d+)?$""),VALUE(REGEXEXTRACT(SUBSTITUTE(F286,"" "",""""),""^-?\d+(\.\d+)?""))&gt;=-90,VALUE(REGEXEXTRACT(SUBSTITUTE(F286,"" "",""""),""^-?\d+(\.\d+)?""))&lt;=90,VALUE(REGEXEXTRACT"&amp;"(SUBSTITUTE(F286,"" "",""""),""-?\d+(\.\d+)?$""))&gt;=-180,VALUE(REGEXEXTRACT(SUBSTITUTE(F286,"" "",""""),""-?\d+(\.\d+)?$""))&lt;=180),""OK"",""REVISAR"")"),"#N/A")</f>
        <v>#N/A</v>
      </c>
    </row>
    <row r="287" ht="15.75" customHeight="1">
      <c r="A287" s="5" t="str">
        <f t="shared" si="1"/>
        <v>AD507-0285</v>
      </c>
      <c r="C287" s="5"/>
      <c r="F287" s="5"/>
      <c r="G287" s="5" t="str">
        <f t="shared" si="2"/>
        <v/>
      </c>
      <c r="H287" s="5" t="str">
        <f t="shared" si="3"/>
        <v/>
      </c>
      <c r="I287" s="5" t="str">
        <f t="shared" si="4"/>
        <v/>
      </c>
      <c r="J287" s="5" t="str">
        <f t="shared" si="5"/>
        <v/>
      </c>
      <c r="K287" s="5" t="str">
        <f>IFERROR(__xludf.DUMMYFUNCTION("IF(C287&lt;&gt;"""",HYPERLINK(""https://wa.me/507""&amp;REGEXREPLACE(C287,""[^0-9]"","""")&amp;""?text=""&amp;ENCODEURL(""Ya llegue. Codigo: ""&amp;A287&amp;"". Ubicacion: ""&amp;""https://www.google.com/maps/search/?api=1&amp;query=""&amp;SUBSTITUTE(F287,"" "","""")),""📲 Avisar al cliente"""&amp;"),"""")"),"")</f>
        <v/>
      </c>
      <c r="L287" s="5" t="str">
        <f>IFERROR(__xludf.DUMMYFUNCTION("IF(C287&lt;&gt;"""",""https://api.qrserver.com/v1/create-qr-code/?size=200x200&amp;data=""&amp;ENCODEURL(""https://wa.me/507""&amp;REGEXREPLACE(C287,""[^0-9]"","""")&amp;""?text=""&amp;ENCODEURL(""Ya llegue. Codigo: ""&amp;A287&amp;"". Ubicacion: ""&amp;""https://www.google.com/maps/search/?a"&amp;"pi=1&amp;query=""&amp;SUBSTITUTE(F287,"" "",""""))),"""")"),"")</f>
        <v/>
      </c>
      <c r="M287" s="5" t="str">
        <f t="shared" si="6"/>
        <v/>
      </c>
      <c r="N287" s="5" t="str">
        <f>IFERROR(__xludf.DUMMYFUNCTION("IF(AND(F287&lt;&gt;"""",REGEXMATCH(SUBSTITUTE(F287,"" "",""""),""^-?\d+(\.\d+)?,-?\d+(\.\d+)?$""),VALUE(REGEXEXTRACT(SUBSTITUTE(F287,"" "",""""),""^-?\d+(\.\d+)?""))&gt;=-90,VALUE(REGEXEXTRACT(SUBSTITUTE(F287,"" "",""""),""^-?\d+(\.\d+)?""))&lt;=90,VALUE(REGEXEXTRACT"&amp;"(SUBSTITUTE(F287,"" "",""""),""-?\d+(\.\d+)?$""))&gt;=-180,VALUE(REGEXEXTRACT(SUBSTITUTE(F287,"" "",""""),""-?\d+(\.\d+)?$""))&lt;=180),""OK"",""REVISAR"")"),"#N/A")</f>
        <v>#N/A</v>
      </c>
    </row>
    <row r="288" ht="15.75" customHeight="1">
      <c r="A288" s="5" t="str">
        <f t="shared" si="1"/>
        <v>AD507-0286</v>
      </c>
      <c r="C288" s="5"/>
      <c r="F288" s="5"/>
      <c r="G288" s="5" t="str">
        <f t="shared" si="2"/>
        <v/>
      </c>
      <c r="H288" s="5" t="str">
        <f t="shared" si="3"/>
        <v/>
      </c>
      <c r="I288" s="5" t="str">
        <f t="shared" si="4"/>
        <v/>
      </c>
      <c r="J288" s="5" t="str">
        <f t="shared" si="5"/>
        <v/>
      </c>
      <c r="K288" s="5" t="str">
        <f>IFERROR(__xludf.DUMMYFUNCTION("IF(C288&lt;&gt;"""",HYPERLINK(""https://wa.me/507""&amp;REGEXREPLACE(C288,""[^0-9]"","""")&amp;""?text=""&amp;ENCODEURL(""Ya llegue. Codigo: ""&amp;A288&amp;"". Ubicacion: ""&amp;""https://www.google.com/maps/search/?api=1&amp;query=""&amp;SUBSTITUTE(F288,"" "","""")),""📲 Avisar al cliente"""&amp;"),"""")"),"")</f>
        <v/>
      </c>
      <c r="L288" s="5" t="str">
        <f>IFERROR(__xludf.DUMMYFUNCTION("IF(C288&lt;&gt;"""",""https://api.qrserver.com/v1/create-qr-code/?size=200x200&amp;data=""&amp;ENCODEURL(""https://wa.me/507""&amp;REGEXREPLACE(C288,""[^0-9]"","""")&amp;""?text=""&amp;ENCODEURL(""Ya llegue. Codigo: ""&amp;A288&amp;"". Ubicacion: ""&amp;""https://www.google.com/maps/search/?a"&amp;"pi=1&amp;query=""&amp;SUBSTITUTE(F288,"" "",""""))),"""")"),"")</f>
        <v/>
      </c>
      <c r="M288" s="5" t="str">
        <f t="shared" si="6"/>
        <v/>
      </c>
      <c r="N288" s="5" t="str">
        <f>IFERROR(__xludf.DUMMYFUNCTION("IF(AND(F288&lt;&gt;"""",REGEXMATCH(SUBSTITUTE(F288,"" "",""""),""^-?\d+(\.\d+)?,-?\d+(\.\d+)?$""),VALUE(REGEXEXTRACT(SUBSTITUTE(F288,"" "",""""),""^-?\d+(\.\d+)?""))&gt;=-90,VALUE(REGEXEXTRACT(SUBSTITUTE(F288,"" "",""""),""^-?\d+(\.\d+)?""))&lt;=90,VALUE(REGEXEXTRACT"&amp;"(SUBSTITUTE(F288,"" "",""""),""-?\d+(\.\d+)?$""))&gt;=-180,VALUE(REGEXEXTRACT(SUBSTITUTE(F288,"" "",""""),""-?\d+(\.\d+)?$""))&lt;=180),""OK"",""REVISAR"")"),"#N/A")</f>
        <v>#N/A</v>
      </c>
    </row>
    <row r="289" ht="15.75" customHeight="1">
      <c r="A289" s="5" t="str">
        <f t="shared" si="1"/>
        <v>AD507-0287</v>
      </c>
      <c r="C289" s="5"/>
      <c r="F289" s="5"/>
      <c r="G289" s="5" t="str">
        <f t="shared" si="2"/>
        <v/>
      </c>
      <c r="H289" s="5" t="str">
        <f t="shared" si="3"/>
        <v/>
      </c>
      <c r="I289" s="5" t="str">
        <f t="shared" si="4"/>
        <v/>
      </c>
      <c r="J289" s="5" t="str">
        <f t="shared" si="5"/>
        <v/>
      </c>
      <c r="K289" s="5" t="str">
        <f>IFERROR(__xludf.DUMMYFUNCTION("IF(C289&lt;&gt;"""",HYPERLINK(""https://wa.me/507""&amp;REGEXREPLACE(C289,""[^0-9]"","""")&amp;""?text=""&amp;ENCODEURL(""Ya llegue. Codigo: ""&amp;A289&amp;"". Ubicacion: ""&amp;""https://www.google.com/maps/search/?api=1&amp;query=""&amp;SUBSTITUTE(F289,"" "","""")),""📲 Avisar al cliente"""&amp;"),"""")"),"")</f>
        <v/>
      </c>
      <c r="L289" s="5" t="str">
        <f>IFERROR(__xludf.DUMMYFUNCTION("IF(C289&lt;&gt;"""",""https://api.qrserver.com/v1/create-qr-code/?size=200x200&amp;data=""&amp;ENCODEURL(""https://wa.me/507""&amp;REGEXREPLACE(C289,""[^0-9]"","""")&amp;""?text=""&amp;ENCODEURL(""Ya llegue. Codigo: ""&amp;A289&amp;"". Ubicacion: ""&amp;""https://www.google.com/maps/search/?a"&amp;"pi=1&amp;query=""&amp;SUBSTITUTE(F289,"" "",""""))),"""")"),"")</f>
        <v/>
      </c>
      <c r="M289" s="5" t="str">
        <f t="shared" si="6"/>
        <v/>
      </c>
      <c r="N289" s="5" t="str">
        <f>IFERROR(__xludf.DUMMYFUNCTION("IF(AND(F289&lt;&gt;"""",REGEXMATCH(SUBSTITUTE(F289,"" "",""""),""^-?\d+(\.\d+)?,-?\d+(\.\d+)?$""),VALUE(REGEXEXTRACT(SUBSTITUTE(F289,"" "",""""),""^-?\d+(\.\d+)?""))&gt;=-90,VALUE(REGEXEXTRACT(SUBSTITUTE(F289,"" "",""""),""^-?\d+(\.\d+)?""))&lt;=90,VALUE(REGEXEXTRACT"&amp;"(SUBSTITUTE(F289,"" "",""""),""-?\d+(\.\d+)?$""))&gt;=-180,VALUE(REGEXEXTRACT(SUBSTITUTE(F289,"" "",""""),""-?\d+(\.\d+)?$""))&lt;=180),""OK"",""REVISAR"")"),"#N/A")</f>
        <v>#N/A</v>
      </c>
    </row>
    <row r="290" ht="15.75" customHeight="1">
      <c r="A290" s="5" t="str">
        <f t="shared" si="1"/>
        <v>AD507-0288</v>
      </c>
      <c r="C290" s="5"/>
      <c r="F290" s="5"/>
      <c r="G290" s="5" t="str">
        <f t="shared" si="2"/>
        <v/>
      </c>
      <c r="H290" s="5" t="str">
        <f t="shared" si="3"/>
        <v/>
      </c>
      <c r="I290" s="5" t="str">
        <f t="shared" si="4"/>
        <v/>
      </c>
      <c r="J290" s="5" t="str">
        <f t="shared" si="5"/>
        <v/>
      </c>
      <c r="K290" s="5" t="str">
        <f>IFERROR(__xludf.DUMMYFUNCTION("IF(C290&lt;&gt;"""",HYPERLINK(""https://wa.me/507""&amp;REGEXREPLACE(C290,""[^0-9]"","""")&amp;""?text=""&amp;ENCODEURL(""Ya llegue. Codigo: ""&amp;A290&amp;"". Ubicacion: ""&amp;""https://www.google.com/maps/search/?api=1&amp;query=""&amp;SUBSTITUTE(F290,"" "","""")),""📲 Avisar al cliente"""&amp;"),"""")"),"")</f>
        <v/>
      </c>
      <c r="L290" s="5" t="str">
        <f>IFERROR(__xludf.DUMMYFUNCTION("IF(C290&lt;&gt;"""",""https://api.qrserver.com/v1/create-qr-code/?size=200x200&amp;data=""&amp;ENCODEURL(""https://wa.me/507""&amp;REGEXREPLACE(C290,""[^0-9]"","""")&amp;""?text=""&amp;ENCODEURL(""Ya llegue. Codigo: ""&amp;A290&amp;"". Ubicacion: ""&amp;""https://www.google.com/maps/search/?a"&amp;"pi=1&amp;query=""&amp;SUBSTITUTE(F290,"" "",""""))),"""")"),"")</f>
        <v/>
      </c>
      <c r="M290" s="5" t="str">
        <f t="shared" si="6"/>
        <v/>
      </c>
      <c r="N290" s="5" t="str">
        <f>IFERROR(__xludf.DUMMYFUNCTION("IF(AND(F290&lt;&gt;"""",REGEXMATCH(SUBSTITUTE(F290,"" "",""""),""^-?\d+(\.\d+)?,-?\d+(\.\d+)?$""),VALUE(REGEXEXTRACT(SUBSTITUTE(F290,"" "",""""),""^-?\d+(\.\d+)?""))&gt;=-90,VALUE(REGEXEXTRACT(SUBSTITUTE(F290,"" "",""""),""^-?\d+(\.\d+)?""))&lt;=90,VALUE(REGEXEXTRACT"&amp;"(SUBSTITUTE(F290,"" "",""""),""-?\d+(\.\d+)?$""))&gt;=-180,VALUE(REGEXEXTRACT(SUBSTITUTE(F290,"" "",""""),""-?\d+(\.\d+)?$""))&lt;=180),""OK"",""REVISAR"")"),"#N/A")</f>
        <v>#N/A</v>
      </c>
    </row>
    <row r="291" ht="15.75" customHeight="1">
      <c r="A291" s="5" t="str">
        <f t="shared" si="1"/>
        <v>AD507-0289</v>
      </c>
      <c r="C291" s="5"/>
      <c r="F291" s="5"/>
      <c r="G291" s="5" t="str">
        <f t="shared" si="2"/>
        <v/>
      </c>
      <c r="H291" s="5" t="str">
        <f t="shared" si="3"/>
        <v/>
      </c>
      <c r="I291" s="5" t="str">
        <f t="shared" si="4"/>
        <v/>
      </c>
      <c r="J291" s="5" t="str">
        <f t="shared" si="5"/>
        <v/>
      </c>
      <c r="K291" s="5" t="str">
        <f>IFERROR(__xludf.DUMMYFUNCTION("IF(C291&lt;&gt;"""",HYPERLINK(""https://wa.me/507""&amp;REGEXREPLACE(C291,""[^0-9]"","""")&amp;""?text=""&amp;ENCODEURL(""Ya llegue. Codigo: ""&amp;A291&amp;"". Ubicacion: ""&amp;""https://www.google.com/maps/search/?api=1&amp;query=""&amp;SUBSTITUTE(F291,"" "","""")),""📲 Avisar al cliente"""&amp;"),"""")"),"")</f>
        <v/>
      </c>
      <c r="L291" s="5" t="str">
        <f>IFERROR(__xludf.DUMMYFUNCTION("IF(C291&lt;&gt;"""",""https://api.qrserver.com/v1/create-qr-code/?size=200x200&amp;data=""&amp;ENCODEURL(""https://wa.me/507""&amp;REGEXREPLACE(C291,""[^0-9]"","""")&amp;""?text=""&amp;ENCODEURL(""Ya llegue. Codigo: ""&amp;A291&amp;"". Ubicacion: ""&amp;""https://www.google.com/maps/search/?a"&amp;"pi=1&amp;query=""&amp;SUBSTITUTE(F291,"" "",""""))),"""")"),"")</f>
        <v/>
      </c>
      <c r="M291" s="5" t="str">
        <f t="shared" si="6"/>
        <v/>
      </c>
      <c r="N291" s="5" t="str">
        <f>IFERROR(__xludf.DUMMYFUNCTION("IF(AND(F291&lt;&gt;"""",REGEXMATCH(SUBSTITUTE(F291,"" "",""""),""^-?\d+(\.\d+)?,-?\d+(\.\d+)?$""),VALUE(REGEXEXTRACT(SUBSTITUTE(F291,"" "",""""),""^-?\d+(\.\d+)?""))&gt;=-90,VALUE(REGEXEXTRACT(SUBSTITUTE(F291,"" "",""""),""^-?\d+(\.\d+)?""))&lt;=90,VALUE(REGEXEXTRACT"&amp;"(SUBSTITUTE(F291,"" "",""""),""-?\d+(\.\d+)?$""))&gt;=-180,VALUE(REGEXEXTRACT(SUBSTITUTE(F291,"" "",""""),""-?\d+(\.\d+)?$""))&lt;=180),""OK"",""REVISAR"")"),"#N/A")</f>
        <v>#N/A</v>
      </c>
    </row>
    <row r="292" ht="15.75" customHeight="1">
      <c r="A292" s="5" t="str">
        <f t="shared" si="1"/>
        <v>AD507-0290</v>
      </c>
      <c r="C292" s="5"/>
      <c r="F292" s="5"/>
      <c r="G292" s="5" t="str">
        <f t="shared" si="2"/>
        <v/>
      </c>
      <c r="H292" s="5" t="str">
        <f t="shared" si="3"/>
        <v/>
      </c>
      <c r="I292" s="5" t="str">
        <f t="shared" si="4"/>
        <v/>
      </c>
      <c r="J292" s="5" t="str">
        <f t="shared" si="5"/>
        <v/>
      </c>
      <c r="K292" s="5" t="str">
        <f>IFERROR(__xludf.DUMMYFUNCTION("IF(C292&lt;&gt;"""",HYPERLINK(""https://wa.me/507""&amp;REGEXREPLACE(C292,""[^0-9]"","""")&amp;""?text=""&amp;ENCODEURL(""Ya llegue. Codigo: ""&amp;A292&amp;"". Ubicacion: ""&amp;""https://www.google.com/maps/search/?api=1&amp;query=""&amp;SUBSTITUTE(F292,"" "","""")),""📲 Avisar al cliente"""&amp;"),"""")"),"")</f>
        <v/>
      </c>
      <c r="L292" s="5" t="str">
        <f>IFERROR(__xludf.DUMMYFUNCTION("IF(C292&lt;&gt;"""",""https://api.qrserver.com/v1/create-qr-code/?size=200x200&amp;data=""&amp;ENCODEURL(""https://wa.me/507""&amp;REGEXREPLACE(C292,""[^0-9]"","""")&amp;""?text=""&amp;ENCODEURL(""Ya llegue. Codigo: ""&amp;A292&amp;"". Ubicacion: ""&amp;""https://www.google.com/maps/search/?a"&amp;"pi=1&amp;query=""&amp;SUBSTITUTE(F292,"" "",""""))),"""")"),"")</f>
        <v/>
      </c>
      <c r="M292" s="5" t="str">
        <f t="shared" si="6"/>
        <v/>
      </c>
      <c r="N292" s="5" t="str">
        <f>IFERROR(__xludf.DUMMYFUNCTION("IF(AND(F292&lt;&gt;"""",REGEXMATCH(SUBSTITUTE(F292,"" "",""""),""^-?\d+(\.\d+)?,-?\d+(\.\d+)?$""),VALUE(REGEXEXTRACT(SUBSTITUTE(F292,"" "",""""),""^-?\d+(\.\d+)?""))&gt;=-90,VALUE(REGEXEXTRACT(SUBSTITUTE(F292,"" "",""""),""^-?\d+(\.\d+)?""))&lt;=90,VALUE(REGEXEXTRACT"&amp;"(SUBSTITUTE(F292,"" "",""""),""-?\d+(\.\d+)?$""))&gt;=-180,VALUE(REGEXEXTRACT(SUBSTITUTE(F292,"" "",""""),""-?\d+(\.\d+)?$""))&lt;=180),""OK"",""REVISAR"")"),"#N/A")</f>
        <v>#N/A</v>
      </c>
    </row>
    <row r="293" ht="15.75" customHeight="1">
      <c r="A293" s="5" t="str">
        <f t="shared" si="1"/>
        <v>AD507-0291</v>
      </c>
      <c r="C293" s="5"/>
      <c r="F293" s="5"/>
      <c r="G293" s="5" t="str">
        <f t="shared" si="2"/>
        <v/>
      </c>
      <c r="H293" s="5" t="str">
        <f t="shared" si="3"/>
        <v/>
      </c>
      <c r="I293" s="5" t="str">
        <f t="shared" si="4"/>
        <v/>
      </c>
      <c r="J293" s="5" t="str">
        <f t="shared" si="5"/>
        <v/>
      </c>
      <c r="K293" s="5" t="str">
        <f>IFERROR(__xludf.DUMMYFUNCTION("IF(C293&lt;&gt;"""",HYPERLINK(""https://wa.me/507""&amp;REGEXREPLACE(C293,""[^0-9]"","""")&amp;""?text=""&amp;ENCODEURL(""Ya llegue. Codigo: ""&amp;A293&amp;"". Ubicacion: ""&amp;""https://www.google.com/maps/search/?api=1&amp;query=""&amp;SUBSTITUTE(F293,"" "","""")),""📲 Avisar al cliente"""&amp;"),"""")"),"")</f>
        <v/>
      </c>
      <c r="L293" s="5" t="str">
        <f>IFERROR(__xludf.DUMMYFUNCTION("IF(C293&lt;&gt;"""",""https://api.qrserver.com/v1/create-qr-code/?size=200x200&amp;data=""&amp;ENCODEURL(""https://wa.me/507""&amp;REGEXREPLACE(C293,""[^0-9]"","""")&amp;""?text=""&amp;ENCODEURL(""Ya llegue. Codigo: ""&amp;A293&amp;"". Ubicacion: ""&amp;""https://www.google.com/maps/search/?a"&amp;"pi=1&amp;query=""&amp;SUBSTITUTE(F293,"" "",""""))),"""")"),"")</f>
        <v/>
      </c>
      <c r="M293" s="5" t="str">
        <f t="shared" si="6"/>
        <v/>
      </c>
      <c r="N293" s="5" t="str">
        <f>IFERROR(__xludf.DUMMYFUNCTION("IF(AND(F293&lt;&gt;"""",REGEXMATCH(SUBSTITUTE(F293,"" "",""""),""^-?\d+(\.\d+)?,-?\d+(\.\d+)?$""),VALUE(REGEXEXTRACT(SUBSTITUTE(F293,"" "",""""),""^-?\d+(\.\d+)?""))&gt;=-90,VALUE(REGEXEXTRACT(SUBSTITUTE(F293,"" "",""""),""^-?\d+(\.\d+)?""))&lt;=90,VALUE(REGEXEXTRACT"&amp;"(SUBSTITUTE(F293,"" "",""""),""-?\d+(\.\d+)?$""))&gt;=-180,VALUE(REGEXEXTRACT(SUBSTITUTE(F293,"" "",""""),""-?\d+(\.\d+)?$""))&lt;=180),""OK"",""REVISAR"")"),"#N/A")</f>
        <v>#N/A</v>
      </c>
    </row>
    <row r="294" ht="15.75" customHeight="1">
      <c r="A294" s="5" t="str">
        <f t="shared" si="1"/>
        <v>AD507-0292</v>
      </c>
      <c r="C294" s="5"/>
      <c r="F294" s="5"/>
      <c r="G294" s="5" t="str">
        <f t="shared" si="2"/>
        <v/>
      </c>
      <c r="H294" s="5" t="str">
        <f t="shared" si="3"/>
        <v/>
      </c>
      <c r="I294" s="5" t="str">
        <f t="shared" si="4"/>
        <v/>
      </c>
      <c r="J294" s="5" t="str">
        <f t="shared" si="5"/>
        <v/>
      </c>
      <c r="K294" s="5" t="str">
        <f>IFERROR(__xludf.DUMMYFUNCTION("IF(C294&lt;&gt;"""",HYPERLINK(""https://wa.me/507""&amp;REGEXREPLACE(C294,""[^0-9]"","""")&amp;""?text=""&amp;ENCODEURL(""Ya llegue. Codigo: ""&amp;A294&amp;"". Ubicacion: ""&amp;""https://www.google.com/maps/search/?api=1&amp;query=""&amp;SUBSTITUTE(F294,"" "","""")),""📲 Avisar al cliente"""&amp;"),"""")"),"")</f>
        <v/>
      </c>
      <c r="L294" s="5" t="str">
        <f>IFERROR(__xludf.DUMMYFUNCTION("IF(C294&lt;&gt;"""",""https://api.qrserver.com/v1/create-qr-code/?size=200x200&amp;data=""&amp;ENCODEURL(""https://wa.me/507""&amp;REGEXREPLACE(C294,""[^0-9]"","""")&amp;""?text=""&amp;ENCODEURL(""Ya llegue. Codigo: ""&amp;A294&amp;"". Ubicacion: ""&amp;""https://www.google.com/maps/search/?a"&amp;"pi=1&amp;query=""&amp;SUBSTITUTE(F294,"" "",""""))),"""")"),"")</f>
        <v/>
      </c>
      <c r="M294" s="5" t="str">
        <f t="shared" si="6"/>
        <v/>
      </c>
      <c r="N294" s="5" t="str">
        <f>IFERROR(__xludf.DUMMYFUNCTION("IF(AND(F294&lt;&gt;"""",REGEXMATCH(SUBSTITUTE(F294,"" "",""""),""^-?\d+(\.\d+)?,-?\d+(\.\d+)?$""),VALUE(REGEXEXTRACT(SUBSTITUTE(F294,"" "",""""),""^-?\d+(\.\d+)?""))&gt;=-90,VALUE(REGEXEXTRACT(SUBSTITUTE(F294,"" "",""""),""^-?\d+(\.\d+)?""))&lt;=90,VALUE(REGEXEXTRACT"&amp;"(SUBSTITUTE(F294,"" "",""""),""-?\d+(\.\d+)?$""))&gt;=-180,VALUE(REGEXEXTRACT(SUBSTITUTE(F294,"" "",""""),""-?\d+(\.\d+)?$""))&lt;=180),""OK"",""REVISAR"")"),"#N/A")</f>
        <v>#N/A</v>
      </c>
    </row>
    <row r="295" ht="15.75" customHeight="1">
      <c r="A295" s="5" t="str">
        <f t="shared" si="1"/>
        <v>AD507-0293</v>
      </c>
      <c r="C295" s="5"/>
      <c r="F295" s="5"/>
      <c r="G295" s="5" t="str">
        <f t="shared" si="2"/>
        <v/>
      </c>
      <c r="H295" s="5" t="str">
        <f t="shared" si="3"/>
        <v/>
      </c>
      <c r="I295" s="5" t="str">
        <f t="shared" si="4"/>
        <v/>
      </c>
      <c r="J295" s="5" t="str">
        <f t="shared" si="5"/>
        <v/>
      </c>
      <c r="K295" s="5" t="str">
        <f>IFERROR(__xludf.DUMMYFUNCTION("IF(C295&lt;&gt;"""",HYPERLINK(""https://wa.me/507""&amp;REGEXREPLACE(C295,""[^0-9]"","""")&amp;""?text=""&amp;ENCODEURL(""Ya llegue. Codigo: ""&amp;A295&amp;"". Ubicacion: ""&amp;""https://www.google.com/maps/search/?api=1&amp;query=""&amp;SUBSTITUTE(F295,"" "","""")),""📲 Avisar al cliente"""&amp;"),"""")"),"")</f>
        <v/>
      </c>
      <c r="L295" s="5" t="str">
        <f>IFERROR(__xludf.DUMMYFUNCTION("IF(C295&lt;&gt;"""",""https://api.qrserver.com/v1/create-qr-code/?size=200x200&amp;data=""&amp;ENCODEURL(""https://wa.me/507""&amp;REGEXREPLACE(C295,""[^0-9]"","""")&amp;""?text=""&amp;ENCODEURL(""Ya llegue. Codigo: ""&amp;A295&amp;"". Ubicacion: ""&amp;""https://www.google.com/maps/search/?a"&amp;"pi=1&amp;query=""&amp;SUBSTITUTE(F295,"" "",""""))),"""")"),"")</f>
        <v/>
      </c>
      <c r="M295" s="5" t="str">
        <f t="shared" si="6"/>
        <v/>
      </c>
      <c r="N295" s="5" t="str">
        <f>IFERROR(__xludf.DUMMYFUNCTION("IF(AND(F295&lt;&gt;"""",REGEXMATCH(SUBSTITUTE(F295,"" "",""""),""^-?\d+(\.\d+)?,-?\d+(\.\d+)?$""),VALUE(REGEXEXTRACT(SUBSTITUTE(F295,"" "",""""),""^-?\d+(\.\d+)?""))&gt;=-90,VALUE(REGEXEXTRACT(SUBSTITUTE(F295,"" "",""""),""^-?\d+(\.\d+)?""))&lt;=90,VALUE(REGEXEXTRACT"&amp;"(SUBSTITUTE(F295,"" "",""""),""-?\d+(\.\d+)?$""))&gt;=-180,VALUE(REGEXEXTRACT(SUBSTITUTE(F295,"" "",""""),""-?\d+(\.\d+)?$""))&lt;=180),""OK"",""REVISAR"")"),"#N/A")</f>
        <v>#N/A</v>
      </c>
    </row>
    <row r="296" ht="15.75" customHeight="1">
      <c r="A296" s="5" t="str">
        <f t="shared" si="1"/>
        <v>AD507-0294</v>
      </c>
      <c r="C296" s="5"/>
      <c r="F296" s="5"/>
      <c r="G296" s="5" t="str">
        <f t="shared" si="2"/>
        <v/>
      </c>
      <c r="H296" s="5" t="str">
        <f t="shared" si="3"/>
        <v/>
      </c>
      <c r="I296" s="5" t="str">
        <f t="shared" si="4"/>
        <v/>
      </c>
      <c r="J296" s="5" t="str">
        <f t="shared" si="5"/>
        <v/>
      </c>
      <c r="K296" s="5" t="str">
        <f>IFERROR(__xludf.DUMMYFUNCTION("IF(C296&lt;&gt;"""",HYPERLINK(""https://wa.me/507""&amp;REGEXREPLACE(C296,""[^0-9]"","""")&amp;""?text=""&amp;ENCODEURL(""Ya llegue. Codigo: ""&amp;A296&amp;"". Ubicacion: ""&amp;""https://www.google.com/maps/search/?api=1&amp;query=""&amp;SUBSTITUTE(F296,"" "","""")),""📲 Avisar al cliente"""&amp;"),"""")"),"")</f>
        <v/>
      </c>
      <c r="L296" s="5" t="str">
        <f>IFERROR(__xludf.DUMMYFUNCTION("IF(C296&lt;&gt;"""",""https://api.qrserver.com/v1/create-qr-code/?size=200x200&amp;data=""&amp;ENCODEURL(""https://wa.me/507""&amp;REGEXREPLACE(C296,""[^0-9]"","""")&amp;""?text=""&amp;ENCODEURL(""Ya llegue. Codigo: ""&amp;A296&amp;"". Ubicacion: ""&amp;""https://www.google.com/maps/search/?a"&amp;"pi=1&amp;query=""&amp;SUBSTITUTE(F296,"" "",""""))),"""")"),"")</f>
        <v/>
      </c>
      <c r="M296" s="5" t="str">
        <f t="shared" si="6"/>
        <v/>
      </c>
      <c r="N296" s="5" t="str">
        <f>IFERROR(__xludf.DUMMYFUNCTION("IF(AND(F296&lt;&gt;"""",REGEXMATCH(SUBSTITUTE(F296,"" "",""""),""^-?\d+(\.\d+)?,-?\d+(\.\d+)?$""),VALUE(REGEXEXTRACT(SUBSTITUTE(F296,"" "",""""),""^-?\d+(\.\d+)?""))&gt;=-90,VALUE(REGEXEXTRACT(SUBSTITUTE(F296,"" "",""""),""^-?\d+(\.\d+)?""))&lt;=90,VALUE(REGEXEXTRACT"&amp;"(SUBSTITUTE(F296,"" "",""""),""-?\d+(\.\d+)?$""))&gt;=-180,VALUE(REGEXEXTRACT(SUBSTITUTE(F296,"" "",""""),""-?\d+(\.\d+)?$""))&lt;=180),""OK"",""REVISAR"")"),"#N/A")</f>
        <v>#N/A</v>
      </c>
    </row>
    <row r="297" ht="15.75" customHeight="1">
      <c r="A297" s="5" t="str">
        <f t="shared" si="1"/>
        <v>AD507-0295</v>
      </c>
      <c r="C297" s="5"/>
      <c r="F297" s="5"/>
      <c r="G297" s="5" t="str">
        <f t="shared" si="2"/>
        <v/>
      </c>
      <c r="H297" s="5" t="str">
        <f t="shared" si="3"/>
        <v/>
      </c>
      <c r="I297" s="5" t="str">
        <f t="shared" si="4"/>
        <v/>
      </c>
      <c r="J297" s="5" t="str">
        <f t="shared" si="5"/>
        <v/>
      </c>
      <c r="K297" s="5" t="str">
        <f>IFERROR(__xludf.DUMMYFUNCTION("IF(C297&lt;&gt;"""",HYPERLINK(""https://wa.me/507""&amp;REGEXREPLACE(C297,""[^0-9]"","""")&amp;""?text=""&amp;ENCODEURL(""Ya llegue. Codigo: ""&amp;A297&amp;"". Ubicacion: ""&amp;""https://www.google.com/maps/search/?api=1&amp;query=""&amp;SUBSTITUTE(F297,"" "","""")),""📲 Avisar al cliente"""&amp;"),"""")"),"")</f>
        <v/>
      </c>
      <c r="L297" s="5" t="str">
        <f>IFERROR(__xludf.DUMMYFUNCTION("IF(C297&lt;&gt;"""",""https://api.qrserver.com/v1/create-qr-code/?size=200x200&amp;data=""&amp;ENCODEURL(""https://wa.me/507""&amp;REGEXREPLACE(C297,""[^0-9]"","""")&amp;""?text=""&amp;ENCODEURL(""Ya llegue. Codigo: ""&amp;A297&amp;"". Ubicacion: ""&amp;""https://www.google.com/maps/search/?a"&amp;"pi=1&amp;query=""&amp;SUBSTITUTE(F297,"" "",""""))),"""")"),"")</f>
        <v/>
      </c>
      <c r="M297" s="5" t="str">
        <f t="shared" si="6"/>
        <v/>
      </c>
      <c r="N297" s="5" t="str">
        <f>IFERROR(__xludf.DUMMYFUNCTION("IF(AND(F297&lt;&gt;"""",REGEXMATCH(SUBSTITUTE(F297,"" "",""""),""^-?\d+(\.\d+)?,-?\d+(\.\d+)?$""),VALUE(REGEXEXTRACT(SUBSTITUTE(F297,"" "",""""),""^-?\d+(\.\d+)?""))&gt;=-90,VALUE(REGEXEXTRACT(SUBSTITUTE(F297,"" "",""""),""^-?\d+(\.\d+)?""))&lt;=90,VALUE(REGEXEXTRACT"&amp;"(SUBSTITUTE(F297,"" "",""""),""-?\d+(\.\d+)?$""))&gt;=-180,VALUE(REGEXEXTRACT(SUBSTITUTE(F297,"" "",""""),""-?\d+(\.\d+)?$""))&lt;=180),""OK"",""REVISAR"")"),"#N/A")</f>
        <v>#N/A</v>
      </c>
    </row>
    <row r="298" ht="15.75" customHeight="1">
      <c r="A298" s="5" t="str">
        <f t="shared" si="1"/>
        <v>AD507-0296</v>
      </c>
      <c r="C298" s="5"/>
      <c r="F298" s="5"/>
      <c r="G298" s="5" t="str">
        <f t="shared" si="2"/>
        <v/>
      </c>
      <c r="H298" s="5" t="str">
        <f t="shared" si="3"/>
        <v/>
      </c>
      <c r="I298" s="5" t="str">
        <f t="shared" si="4"/>
        <v/>
      </c>
      <c r="J298" s="5" t="str">
        <f t="shared" si="5"/>
        <v/>
      </c>
      <c r="K298" s="5" t="str">
        <f>IFERROR(__xludf.DUMMYFUNCTION("IF(C298&lt;&gt;"""",HYPERLINK(""https://wa.me/507""&amp;REGEXREPLACE(C298,""[^0-9]"","""")&amp;""?text=""&amp;ENCODEURL(""Ya llegue. Codigo: ""&amp;A298&amp;"". Ubicacion: ""&amp;""https://www.google.com/maps/search/?api=1&amp;query=""&amp;SUBSTITUTE(F298,"" "","""")),""📲 Avisar al cliente"""&amp;"),"""")"),"")</f>
        <v/>
      </c>
      <c r="L298" s="5" t="str">
        <f>IFERROR(__xludf.DUMMYFUNCTION("IF(C298&lt;&gt;"""",""https://api.qrserver.com/v1/create-qr-code/?size=200x200&amp;data=""&amp;ENCODEURL(""https://wa.me/507""&amp;REGEXREPLACE(C298,""[^0-9]"","""")&amp;""?text=""&amp;ENCODEURL(""Ya llegue. Codigo: ""&amp;A298&amp;"". Ubicacion: ""&amp;""https://www.google.com/maps/search/?a"&amp;"pi=1&amp;query=""&amp;SUBSTITUTE(F298,"" "",""""))),"""")"),"")</f>
        <v/>
      </c>
      <c r="M298" s="5" t="str">
        <f t="shared" si="6"/>
        <v/>
      </c>
      <c r="N298" s="5" t="str">
        <f>IFERROR(__xludf.DUMMYFUNCTION("IF(AND(F298&lt;&gt;"""",REGEXMATCH(SUBSTITUTE(F298,"" "",""""),""^-?\d+(\.\d+)?,-?\d+(\.\d+)?$""),VALUE(REGEXEXTRACT(SUBSTITUTE(F298,"" "",""""),""^-?\d+(\.\d+)?""))&gt;=-90,VALUE(REGEXEXTRACT(SUBSTITUTE(F298,"" "",""""),""^-?\d+(\.\d+)?""))&lt;=90,VALUE(REGEXEXTRACT"&amp;"(SUBSTITUTE(F298,"" "",""""),""-?\d+(\.\d+)?$""))&gt;=-180,VALUE(REGEXEXTRACT(SUBSTITUTE(F298,"" "",""""),""-?\d+(\.\d+)?$""))&lt;=180),""OK"",""REVISAR"")"),"#N/A")</f>
        <v>#N/A</v>
      </c>
    </row>
    <row r="299" ht="15.75" customHeight="1">
      <c r="A299" s="5" t="str">
        <f t="shared" si="1"/>
        <v>AD507-0297</v>
      </c>
      <c r="C299" s="5"/>
      <c r="F299" s="5"/>
      <c r="G299" s="5" t="str">
        <f t="shared" si="2"/>
        <v/>
      </c>
      <c r="H299" s="5" t="str">
        <f t="shared" si="3"/>
        <v/>
      </c>
      <c r="I299" s="5" t="str">
        <f t="shared" si="4"/>
        <v/>
      </c>
      <c r="J299" s="5" t="str">
        <f t="shared" si="5"/>
        <v/>
      </c>
      <c r="K299" s="5" t="str">
        <f>IFERROR(__xludf.DUMMYFUNCTION("IF(C299&lt;&gt;"""",HYPERLINK(""https://wa.me/507""&amp;REGEXREPLACE(C299,""[^0-9]"","""")&amp;""?text=""&amp;ENCODEURL(""Ya llegue. Codigo: ""&amp;A299&amp;"". Ubicacion: ""&amp;""https://www.google.com/maps/search/?api=1&amp;query=""&amp;SUBSTITUTE(F299,"" "","""")),""📲 Avisar al cliente"""&amp;"),"""")"),"")</f>
        <v/>
      </c>
      <c r="L299" s="5" t="str">
        <f>IFERROR(__xludf.DUMMYFUNCTION("IF(C299&lt;&gt;"""",""https://api.qrserver.com/v1/create-qr-code/?size=200x200&amp;data=""&amp;ENCODEURL(""https://wa.me/507""&amp;REGEXREPLACE(C299,""[^0-9]"","""")&amp;""?text=""&amp;ENCODEURL(""Ya llegue. Codigo: ""&amp;A299&amp;"". Ubicacion: ""&amp;""https://www.google.com/maps/search/?a"&amp;"pi=1&amp;query=""&amp;SUBSTITUTE(F299,"" "",""""))),"""")"),"")</f>
        <v/>
      </c>
      <c r="M299" s="5" t="str">
        <f t="shared" si="6"/>
        <v/>
      </c>
      <c r="N299" s="5" t="str">
        <f>IFERROR(__xludf.DUMMYFUNCTION("IF(AND(F299&lt;&gt;"""",REGEXMATCH(SUBSTITUTE(F299,"" "",""""),""^-?\d+(\.\d+)?,-?\d+(\.\d+)?$""),VALUE(REGEXEXTRACT(SUBSTITUTE(F299,"" "",""""),""^-?\d+(\.\d+)?""))&gt;=-90,VALUE(REGEXEXTRACT(SUBSTITUTE(F299,"" "",""""),""^-?\d+(\.\d+)?""))&lt;=90,VALUE(REGEXEXTRACT"&amp;"(SUBSTITUTE(F299,"" "",""""),""-?\d+(\.\d+)?$""))&gt;=-180,VALUE(REGEXEXTRACT(SUBSTITUTE(F299,"" "",""""),""-?\d+(\.\d+)?$""))&lt;=180),""OK"",""REVISAR"")"),"#N/A")</f>
        <v>#N/A</v>
      </c>
    </row>
    <row r="300" ht="15.75" customHeight="1">
      <c r="A300" s="5" t="str">
        <f t="shared" si="1"/>
        <v>AD507-0298</v>
      </c>
      <c r="C300" s="5"/>
      <c r="F300" s="5"/>
      <c r="G300" s="5" t="str">
        <f t="shared" si="2"/>
        <v/>
      </c>
      <c r="H300" s="5" t="str">
        <f t="shared" si="3"/>
        <v/>
      </c>
      <c r="I300" s="5" t="str">
        <f t="shared" si="4"/>
        <v/>
      </c>
      <c r="J300" s="5" t="str">
        <f t="shared" si="5"/>
        <v/>
      </c>
      <c r="K300" s="5" t="str">
        <f>IFERROR(__xludf.DUMMYFUNCTION("IF(C300&lt;&gt;"""",HYPERLINK(""https://wa.me/507""&amp;REGEXREPLACE(C300,""[^0-9]"","""")&amp;""?text=""&amp;ENCODEURL(""Ya llegue. Codigo: ""&amp;A300&amp;"". Ubicacion: ""&amp;""https://www.google.com/maps/search/?api=1&amp;query=""&amp;SUBSTITUTE(F300,"" "","""")),""📲 Avisar al cliente"""&amp;"),"""")"),"")</f>
        <v/>
      </c>
      <c r="L300" s="5" t="str">
        <f>IFERROR(__xludf.DUMMYFUNCTION("IF(C300&lt;&gt;"""",""https://api.qrserver.com/v1/create-qr-code/?size=200x200&amp;data=""&amp;ENCODEURL(""https://wa.me/507""&amp;REGEXREPLACE(C300,""[^0-9]"","""")&amp;""?text=""&amp;ENCODEURL(""Ya llegue. Codigo: ""&amp;A300&amp;"". Ubicacion: ""&amp;""https://www.google.com/maps/search/?a"&amp;"pi=1&amp;query=""&amp;SUBSTITUTE(F300,"" "",""""))),"""")"),"")</f>
        <v/>
      </c>
      <c r="M300" s="5" t="str">
        <f t="shared" si="6"/>
        <v/>
      </c>
      <c r="N300" s="5" t="str">
        <f>IFERROR(__xludf.DUMMYFUNCTION("IF(AND(F300&lt;&gt;"""",REGEXMATCH(SUBSTITUTE(F300,"" "",""""),""^-?\d+(\.\d+)?,-?\d+(\.\d+)?$""),VALUE(REGEXEXTRACT(SUBSTITUTE(F300,"" "",""""),""^-?\d+(\.\d+)?""))&gt;=-90,VALUE(REGEXEXTRACT(SUBSTITUTE(F300,"" "",""""),""^-?\d+(\.\d+)?""))&lt;=90,VALUE(REGEXEXTRACT"&amp;"(SUBSTITUTE(F300,"" "",""""),""-?\d+(\.\d+)?$""))&gt;=-180,VALUE(REGEXEXTRACT(SUBSTITUTE(F300,"" "",""""),""-?\d+(\.\d+)?$""))&lt;=180),""OK"",""REVISAR"")"),"#N/A")</f>
        <v>#N/A</v>
      </c>
    </row>
    <row r="301" ht="15.75" customHeight="1">
      <c r="A301" s="5" t="str">
        <f t="shared" si="1"/>
        <v>AD507-0299</v>
      </c>
      <c r="C301" s="5"/>
      <c r="F301" s="5"/>
      <c r="G301" s="5" t="str">
        <f t="shared" si="2"/>
        <v/>
      </c>
      <c r="H301" s="5" t="str">
        <f t="shared" si="3"/>
        <v/>
      </c>
      <c r="I301" s="5" t="str">
        <f t="shared" si="4"/>
        <v/>
      </c>
      <c r="J301" s="5" t="str">
        <f t="shared" si="5"/>
        <v/>
      </c>
      <c r="K301" s="5" t="str">
        <f>IFERROR(__xludf.DUMMYFUNCTION("IF(C301&lt;&gt;"""",HYPERLINK(""https://wa.me/507""&amp;REGEXREPLACE(C301,""[^0-9]"","""")&amp;""?text=""&amp;ENCODEURL(""Ya llegue. Codigo: ""&amp;A301&amp;"". Ubicacion: ""&amp;""https://www.google.com/maps/search/?api=1&amp;query=""&amp;SUBSTITUTE(F301,"" "","""")),""📲 Avisar al cliente"""&amp;"),"""")"),"")</f>
        <v/>
      </c>
      <c r="L301" s="5" t="str">
        <f>IFERROR(__xludf.DUMMYFUNCTION("IF(C301&lt;&gt;"""",""https://api.qrserver.com/v1/create-qr-code/?size=200x200&amp;data=""&amp;ENCODEURL(""https://wa.me/507""&amp;REGEXREPLACE(C301,""[^0-9]"","""")&amp;""?text=""&amp;ENCODEURL(""Ya llegue. Codigo: ""&amp;A301&amp;"". Ubicacion: ""&amp;""https://www.google.com/maps/search/?a"&amp;"pi=1&amp;query=""&amp;SUBSTITUTE(F301,"" "",""""))),"""")"),"")</f>
        <v/>
      </c>
      <c r="M301" s="5" t="str">
        <f t="shared" si="6"/>
        <v/>
      </c>
      <c r="N301" s="5" t="str">
        <f>IFERROR(__xludf.DUMMYFUNCTION("IF(AND(F301&lt;&gt;"""",REGEXMATCH(SUBSTITUTE(F301,"" "",""""),""^-?\d+(\.\d+)?,-?\d+(\.\d+)?$""),VALUE(REGEXEXTRACT(SUBSTITUTE(F301,"" "",""""),""^-?\d+(\.\d+)?""))&gt;=-90,VALUE(REGEXEXTRACT(SUBSTITUTE(F301,"" "",""""),""^-?\d+(\.\d+)?""))&lt;=90,VALUE(REGEXEXTRACT"&amp;"(SUBSTITUTE(F301,"" "",""""),""-?\d+(\.\d+)?$""))&gt;=-180,VALUE(REGEXEXTRACT(SUBSTITUTE(F301,"" "",""""),""-?\d+(\.\d+)?$""))&lt;=180),""OK"",""REVISAR"")"),"#N/A")</f>
        <v>#N/A</v>
      </c>
    </row>
    <row r="302" ht="15.75" customHeight="1">
      <c r="A302" s="5" t="str">
        <f t="shared" si="1"/>
        <v>AD507-0300</v>
      </c>
      <c r="C302" s="5"/>
      <c r="F302" s="5"/>
      <c r="G302" s="5" t="str">
        <f t="shared" si="2"/>
        <v/>
      </c>
      <c r="H302" s="5" t="str">
        <f t="shared" si="3"/>
        <v/>
      </c>
      <c r="I302" s="5" t="str">
        <f t="shared" si="4"/>
        <v/>
      </c>
      <c r="J302" s="5" t="str">
        <f t="shared" si="5"/>
        <v/>
      </c>
      <c r="K302" s="5" t="str">
        <f>IFERROR(__xludf.DUMMYFUNCTION("IF(C302&lt;&gt;"""",HYPERLINK(""https://wa.me/507""&amp;REGEXREPLACE(C302,""[^0-9]"","""")&amp;""?text=""&amp;ENCODEURL(""Ya llegue. Codigo: ""&amp;A302&amp;"". Ubicacion: ""&amp;""https://www.google.com/maps/search/?api=1&amp;query=""&amp;SUBSTITUTE(F302,"" "","""")),""📲 Avisar al cliente"""&amp;"),"""")"),"")</f>
        <v/>
      </c>
      <c r="L302" s="5" t="str">
        <f>IFERROR(__xludf.DUMMYFUNCTION("IF(C302&lt;&gt;"""",""https://api.qrserver.com/v1/create-qr-code/?size=200x200&amp;data=""&amp;ENCODEURL(""https://wa.me/507""&amp;REGEXREPLACE(C302,""[^0-9]"","""")&amp;""?text=""&amp;ENCODEURL(""Ya llegue. Codigo: ""&amp;A302&amp;"". Ubicacion: ""&amp;""https://www.google.com/maps/search/?a"&amp;"pi=1&amp;query=""&amp;SUBSTITUTE(F302,"" "",""""))),"""")"),"")</f>
        <v/>
      </c>
      <c r="M302" s="5" t="str">
        <f t="shared" si="6"/>
        <v/>
      </c>
      <c r="N302" s="5" t="str">
        <f>IFERROR(__xludf.DUMMYFUNCTION("IF(AND(F302&lt;&gt;"""",REGEXMATCH(SUBSTITUTE(F302,"" "",""""),""^-?\d+(\.\d+)?,-?\d+(\.\d+)?$""),VALUE(REGEXEXTRACT(SUBSTITUTE(F302,"" "",""""),""^-?\d+(\.\d+)?""))&gt;=-90,VALUE(REGEXEXTRACT(SUBSTITUTE(F302,"" "",""""),""^-?\d+(\.\d+)?""))&lt;=90,VALUE(REGEXEXTRACT"&amp;"(SUBSTITUTE(F302,"" "",""""),""-?\d+(\.\d+)?$""))&gt;=-180,VALUE(REGEXEXTRACT(SUBSTITUTE(F302,"" "",""""),""-?\d+(\.\d+)?$""))&lt;=180),""OK"",""REVISAR"")"),"#N/A")</f>
        <v>#N/A</v>
      </c>
    </row>
    <row r="303" ht="15.75" customHeight="1">
      <c r="A303" s="5" t="str">
        <f t="shared" si="1"/>
        <v>AD507-0301</v>
      </c>
      <c r="C303" s="5"/>
      <c r="F303" s="5"/>
      <c r="G303" s="5" t="str">
        <f t="shared" si="2"/>
        <v/>
      </c>
      <c r="H303" s="5" t="str">
        <f t="shared" si="3"/>
        <v/>
      </c>
      <c r="I303" s="5" t="str">
        <f t="shared" si="4"/>
        <v/>
      </c>
      <c r="J303" s="5" t="str">
        <f t="shared" si="5"/>
        <v/>
      </c>
      <c r="K303" s="5" t="str">
        <f>IFERROR(__xludf.DUMMYFUNCTION("IF(C303&lt;&gt;"""",HYPERLINK(""https://wa.me/507""&amp;REGEXREPLACE(C303,""[^0-9]"","""")&amp;""?text=""&amp;ENCODEURL(""Ya llegue. Codigo: ""&amp;A303&amp;"". Ubicacion: ""&amp;""https://www.google.com/maps/search/?api=1&amp;query=""&amp;SUBSTITUTE(F303,"" "","""")),""📲 Avisar al cliente"""&amp;"),"""")"),"")</f>
        <v/>
      </c>
      <c r="L303" s="5" t="str">
        <f>IFERROR(__xludf.DUMMYFUNCTION("IF(C303&lt;&gt;"""",""https://api.qrserver.com/v1/create-qr-code/?size=200x200&amp;data=""&amp;ENCODEURL(""https://wa.me/507""&amp;REGEXREPLACE(C303,""[^0-9]"","""")&amp;""?text=""&amp;ENCODEURL(""Ya llegue. Codigo: ""&amp;A303&amp;"". Ubicacion: ""&amp;""https://www.google.com/maps/search/?a"&amp;"pi=1&amp;query=""&amp;SUBSTITUTE(F303,"" "",""""))),"""")"),"")</f>
        <v/>
      </c>
      <c r="M303" s="5" t="str">
        <f t="shared" si="6"/>
        <v/>
      </c>
      <c r="N303" s="5" t="str">
        <f>IFERROR(__xludf.DUMMYFUNCTION("IF(AND(F303&lt;&gt;"""",REGEXMATCH(SUBSTITUTE(F303,"" "",""""),""^-?\d+(\.\d+)?,-?\d+(\.\d+)?$""),VALUE(REGEXEXTRACT(SUBSTITUTE(F303,"" "",""""),""^-?\d+(\.\d+)?""))&gt;=-90,VALUE(REGEXEXTRACT(SUBSTITUTE(F303,"" "",""""),""^-?\d+(\.\d+)?""))&lt;=90,VALUE(REGEXEXTRACT"&amp;"(SUBSTITUTE(F303,"" "",""""),""-?\d+(\.\d+)?$""))&gt;=-180,VALUE(REGEXEXTRACT(SUBSTITUTE(F303,"" "",""""),""-?\d+(\.\d+)?$""))&lt;=180),""OK"",""REVISAR"")"),"#N/A")</f>
        <v>#N/A</v>
      </c>
    </row>
    <row r="304" ht="15.75" customHeight="1">
      <c r="A304" s="5" t="str">
        <f t="shared" si="1"/>
        <v>AD507-0302</v>
      </c>
      <c r="C304" s="5"/>
      <c r="F304" s="5"/>
      <c r="G304" s="5" t="str">
        <f t="shared" si="2"/>
        <v/>
      </c>
      <c r="H304" s="5" t="str">
        <f t="shared" si="3"/>
        <v/>
      </c>
      <c r="I304" s="5" t="str">
        <f t="shared" si="4"/>
        <v/>
      </c>
      <c r="J304" s="5" t="str">
        <f t="shared" si="5"/>
        <v/>
      </c>
      <c r="K304" s="5" t="str">
        <f>IFERROR(__xludf.DUMMYFUNCTION("IF(C304&lt;&gt;"""",HYPERLINK(""https://wa.me/507""&amp;REGEXREPLACE(C304,""[^0-9]"","""")&amp;""?text=""&amp;ENCODEURL(""Ya llegue. Codigo: ""&amp;A304&amp;"". Ubicacion: ""&amp;""https://www.google.com/maps/search/?api=1&amp;query=""&amp;SUBSTITUTE(F304,"" "","""")),""📲 Avisar al cliente"""&amp;"),"""")"),"")</f>
        <v/>
      </c>
      <c r="L304" s="5" t="str">
        <f>IFERROR(__xludf.DUMMYFUNCTION("IF(C304&lt;&gt;"""",""https://api.qrserver.com/v1/create-qr-code/?size=200x200&amp;data=""&amp;ENCODEURL(""https://wa.me/507""&amp;REGEXREPLACE(C304,""[^0-9]"","""")&amp;""?text=""&amp;ENCODEURL(""Ya llegue. Codigo: ""&amp;A304&amp;"". Ubicacion: ""&amp;""https://www.google.com/maps/search/?a"&amp;"pi=1&amp;query=""&amp;SUBSTITUTE(F304,"" "",""""))),"""")"),"")</f>
        <v/>
      </c>
      <c r="M304" s="5" t="str">
        <f t="shared" si="6"/>
        <v/>
      </c>
      <c r="N304" s="5" t="str">
        <f>IFERROR(__xludf.DUMMYFUNCTION("IF(AND(F304&lt;&gt;"""",REGEXMATCH(SUBSTITUTE(F304,"" "",""""),""^-?\d+(\.\d+)?,-?\d+(\.\d+)?$""),VALUE(REGEXEXTRACT(SUBSTITUTE(F304,"" "",""""),""^-?\d+(\.\d+)?""))&gt;=-90,VALUE(REGEXEXTRACT(SUBSTITUTE(F304,"" "",""""),""^-?\d+(\.\d+)?""))&lt;=90,VALUE(REGEXEXTRACT"&amp;"(SUBSTITUTE(F304,"" "",""""),""-?\d+(\.\d+)?$""))&gt;=-180,VALUE(REGEXEXTRACT(SUBSTITUTE(F304,"" "",""""),""-?\d+(\.\d+)?$""))&lt;=180),""OK"",""REVISAR"")"),"#N/A")</f>
        <v>#N/A</v>
      </c>
    </row>
    <row r="305" ht="15.75" customHeight="1">
      <c r="A305" s="5" t="str">
        <f t="shared" si="1"/>
        <v>AD507-0303</v>
      </c>
      <c r="C305" s="5"/>
      <c r="F305" s="5"/>
      <c r="G305" s="5" t="str">
        <f t="shared" si="2"/>
        <v/>
      </c>
      <c r="H305" s="5" t="str">
        <f t="shared" si="3"/>
        <v/>
      </c>
      <c r="I305" s="5" t="str">
        <f t="shared" si="4"/>
        <v/>
      </c>
      <c r="J305" s="5" t="str">
        <f t="shared" si="5"/>
        <v/>
      </c>
      <c r="K305" s="5" t="str">
        <f>IFERROR(__xludf.DUMMYFUNCTION("IF(C305&lt;&gt;"""",HYPERLINK(""https://wa.me/507""&amp;REGEXREPLACE(C305,""[^0-9]"","""")&amp;""?text=""&amp;ENCODEURL(""Ya llegue. Codigo: ""&amp;A305&amp;"". Ubicacion: ""&amp;""https://www.google.com/maps/search/?api=1&amp;query=""&amp;SUBSTITUTE(F305,"" "","""")),""📲 Avisar al cliente"""&amp;"),"""")"),"")</f>
        <v/>
      </c>
      <c r="L305" s="5" t="str">
        <f>IFERROR(__xludf.DUMMYFUNCTION("IF(C305&lt;&gt;"""",""https://api.qrserver.com/v1/create-qr-code/?size=200x200&amp;data=""&amp;ENCODEURL(""https://wa.me/507""&amp;REGEXREPLACE(C305,""[^0-9]"","""")&amp;""?text=""&amp;ENCODEURL(""Ya llegue. Codigo: ""&amp;A305&amp;"". Ubicacion: ""&amp;""https://www.google.com/maps/search/?a"&amp;"pi=1&amp;query=""&amp;SUBSTITUTE(F305,"" "",""""))),"""")"),"")</f>
        <v/>
      </c>
      <c r="M305" s="5" t="str">
        <f t="shared" si="6"/>
        <v/>
      </c>
      <c r="N305" s="5" t="str">
        <f>IFERROR(__xludf.DUMMYFUNCTION("IF(AND(F305&lt;&gt;"""",REGEXMATCH(SUBSTITUTE(F305,"" "",""""),""^-?\d+(\.\d+)?,-?\d+(\.\d+)?$""),VALUE(REGEXEXTRACT(SUBSTITUTE(F305,"" "",""""),""^-?\d+(\.\d+)?""))&gt;=-90,VALUE(REGEXEXTRACT(SUBSTITUTE(F305,"" "",""""),""^-?\d+(\.\d+)?""))&lt;=90,VALUE(REGEXEXTRACT"&amp;"(SUBSTITUTE(F305,"" "",""""),""-?\d+(\.\d+)?$""))&gt;=-180,VALUE(REGEXEXTRACT(SUBSTITUTE(F305,"" "",""""),""-?\d+(\.\d+)?$""))&lt;=180),""OK"",""REVISAR"")"),"#N/A")</f>
        <v>#N/A</v>
      </c>
    </row>
    <row r="306" ht="15.75" customHeight="1">
      <c r="A306" s="5" t="str">
        <f t="shared" si="1"/>
        <v>AD507-0304</v>
      </c>
      <c r="C306" s="5"/>
      <c r="F306" s="5"/>
      <c r="G306" s="5" t="str">
        <f t="shared" si="2"/>
        <v/>
      </c>
      <c r="H306" s="5" t="str">
        <f t="shared" si="3"/>
        <v/>
      </c>
      <c r="I306" s="5" t="str">
        <f t="shared" si="4"/>
        <v/>
      </c>
      <c r="J306" s="5" t="str">
        <f t="shared" si="5"/>
        <v/>
      </c>
      <c r="K306" s="5" t="str">
        <f>IFERROR(__xludf.DUMMYFUNCTION("IF(C306&lt;&gt;"""",HYPERLINK(""https://wa.me/507""&amp;REGEXREPLACE(C306,""[^0-9]"","""")&amp;""?text=""&amp;ENCODEURL(""Ya llegue. Codigo: ""&amp;A306&amp;"". Ubicacion: ""&amp;""https://www.google.com/maps/search/?api=1&amp;query=""&amp;SUBSTITUTE(F306,"" "","""")),""📲 Avisar al cliente"""&amp;"),"""")"),"")</f>
        <v/>
      </c>
      <c r="L306" s="5" t="str">
        <f>IFERROR(__xludf.DUMMYFUNCTION("IF(C306&lt;&gt;"""",""https://api.qrserver.com/v1/create-qr-code/?size=200x200&amp;data=""&amp;ENCODEURL(""https://wa.me/507""&amp;REGEXREPLACE(C306,""[^0-9]"","""")&amp;""?text=""&amp;ENCODEURL(""Ya llegue. Codigo: ""&amp;A306&amp;"". Ubicacion: ""&amp;""https://www.google.com/maps/search/?a"&amp;"pi=1&amp;query=""&amp;SUBSTITUTE(F306,"" "",""""))),"""")"),"")</f>
        <v/>
      </c>
      <c r="M306" s="5" t="str">
        <f t="shared" si="6"/>
        <v/>
      </c>
      <c r="N306" s="5" t="str">
        <f>IFERROR(__xludf.DUMMYFUNCTION("IF(AND(F306&lt;&gt;"""",REGEXMATCH(SUBSTITUTE(F306,"" "",""""),""^-?\d+(\.\d+)?,-?\d+(\.\d+)?$""),VALUE(REGEXEXTRACT(SUBSTITUTE(F306,"" "",""""),""^-?\d+(\.\d+)?""))&gt;=-90,VALUE(REGEXEXTRACT(SUBSTITUTE(F306,"" "",""""),""^-?\d+(\.\d+)?""))&lt;=90,VALUE(REGEXEXTRACT"&amp;"(SUBSTITUTE(F306,"" "",""""),""-?\d+(\.\d+)?$""))&gt;=-180,VALUE(REGEXEXTRACT(SUBSTITUTE(F306,"" "",""""),""-?\d+(\.\d+)?$""))&lt;=180),""OK"",""REVISAR"")"),"#N/A")</f>
        <v>#N/A</v>
      </c>
    </row>
    <row r="307" ht="15.75" customHeight="1">
      <c r="A307" s="5" t="str">
        <f t="shared" si="1"/>
        <v>AD507-0305</v>
      </c>
      <c r="C307" s="5"/>
      <c r="F307" s="5"/>
      <c r="G307" s="5" t="str">
        <f t="shared" si="2"/>
        <v/>
      </c>
      <c r="H307" s="5" t="str">
        <f t="shared" si="3"/>
        <v/>
      </c>
      <c r="I307" s="5" t="str">
        <f t="shared" si="4"/>
        <v/>
      </c>
      <c r="J307" s="5" t="str">
        <f t="shared" si="5"/>
        <v/>
      </c>
      <c r="K307" s="5" t="str">
        <f>IFERROR(__xludf.DUMMYFUNCTION("IF(C307&lt;&gt;"""",HYPERLINK(""https://wa.me/507""&amp;REGEXREPLACE(C307,""[^0-9]"","""")&amp;""?text=""&amp;ENCODEURL(""Ya llegue. Codigo: ""&amp;A307&amp;"". Ubicacion: ""&amp;""https://www.google.com/maps/search/?api=1&amp;query=""&amp;SUBSTITUTE(F307,"" "","""")),""📲 Avisar al cliente"""&amp;"),"""")"),"")</f>
        <v/>
      </c>
      <c r="L307" s="5" t="str">
        <f>IFERROR(__xludf.DUMMYFUNCTION("IF(C307&lt;&gt;"""",""https://api.qrserver.com/v1/create-qr-code/?size=200x200&amp;data=""&amp;ENCODEURL(""https://wa.me/507""&amp;REGEXREPLACE(C307,""[^0-9]"","""")&amp;""?text=""&amp;ENCODEURL(""Ya llegue. Codigo: ""&amp;A307&amp;"". Ubicacion: ""&amp;""https://www.google.com/maps/search/?a"&amp;"pi=1&amp;query=""&amp;SUBSTITUTE(F307,"" "",""""))),"""")"),"")</f>
        <v/>
      </c>
      <c r="M307" s="5" t="str">
        <f t="shared" si="6"/>
        <v/>
      </c>
      <c r="N307" s="5" t="str">
        <f>IFERROR(__xludf.DUMMYFUNCTION("IF(AND(F307&lt;&gt;"""",REGEXMATCH(SUBSTITUTE(F307,"" "",""""),""^-?\d+(\.\d+)?,-?\d+(\.\d+)?$""),VALUE(REGEXEXTRACT(SUBSTITUTE(F307,"" "",""""),""^-?\d+(\.\d+)?""))&gt;=-90,VALUE(REGEXEXTRACT(SUBSTITUTE(F307,"" "",""""),""^-?\d+(\.\d+)?""))&lt;=90,VALUE(REGEXEXTRACT"&amp;"(SUBSTITUTE(F307,"" "",""""),""-?\d+(\.\d+)?$""))&gt;=-180,VALUE(REGEXEXTRACT(SUBSTITUTE(F307,"" "",""""),""-?\d+(\.\d+)?$""))&lt;=180),""OK"",""REVISAR"")"),"#N/A")</f>
        <v>#N/A</v>
      </c>
    </row>
    <row r="308" ht="15.75" customHeight="1">
      <c r="A308" s="5" t="str">
        <f t="shared" si="1"/>
        <v>AD507-0306</v>
      </c>
      <c r="C308" s="5"/>
      <c r="F308" s="5"/>
      <c r="G308" s="5" t="str">
        <f t="shared" si="2"/>
        <v/>
      </c>
      <c r="H308" s="5" t="str">
        <f t="shared" si="3"/>
        <v/>
      </c>
      <c r="I308" s="5" t="str">
        <f t="shared" si="4"/>
        <v/>
      </c>
      <c r="J308" s="5" t="str">
        <f t="shared" si="5"/>
        <v/>
      </c>
      <c r="K308" s="5" t="str">
        <f>IFERROR(__xludf.DUMMYFUNCTION("IF(C308&lt;&gt;"""",HYPERLINK(""https://wa.me/507""&amp;REGEXREPLACE(C308,""[^0-9]"","""")&amp;""?text=""&amp;ENCODEURL(""Ya llegue. Codigo: ""&amp;A308&amp;"". Ubicacion: ""&amp;""https://www.google.com/maps/search/?api=1&amp;query=""&amp;SUBSTITUTE(F308,"" "","""")),""📲 Avisar al cliente"""&amp;"),"""")"),"")</f>
        <v/>
      </c>
      <c r="L308" s="5" t="str">
        <f>IFERROR(__xludf.DUMMYFUNCTION("IF(C308&lt;&gt;"""",""https://api.qrserver.com/v1/create-qr-code/?size=200x200&amp;data=""&amp;ENCODEURL(""https://wa.me/507""&amp;REGEXREPLACE(C308,""[^0-9]"","""")&amp;""?text=""&amp;ENCODEURL(""Ya llegue. Codigo: ""&amp;A308&amp;"". Ubicacion: ""&amp;""https://www.google.com/maps/search/?a"&amp;"pi=1&amp;query=""&amp;SUBSTITUTE(F308,"" "",""""))),"""")"),"")</f>
        <v/>
      </c>
      <c r="M308" s="5" t="str">
        <f t="shared" si="6"/>
        <v/>
      </c>
      <c r="N308" s="5" t="str">
        <f>IFERROR(__xludf.DUMMYFUNCTION("IF(AND(F308&lt;&gt;"""",REGEXMATCH(SUBSTITUTE(F308,"" "",""""),""^-?\d+(\.\d+)?,-?\d+(\.\d+)?$""),VALUE(REGEXEXTRACT(SUBSTITUTE(F308,"" "",""""),""^-?\d+(\.\d+)?""))&gt;=-90,VALUE(REGEXEXTRACT(SUBSTITUTE(F308,"" "",""""),""^-?\d+(\.\d+)?""))&lt;=90,VALUE(REGEXEXTRACT"&amp;"(SUBSTITUTE(F308,"" "",""""),""-?\d+(\.\d+)?$""))&gt;=-180,VALUE(REGEXEXTRACT(SUBSTITUTE(F308,"" "",""""),""-?\d+(\.\d+)?$""))&lt;=180),""OK"",""REVISAR"")"),"#N/A")</f>
        <v>#N/A</v>
      </c>
    </row>
    <row r="309" ht="15.75" customHeight="1">
      <c r="A309" s="5" t="str">
        <f t="shared" si="1"/>
        <v>AD507-0307</v>
      </c>
      <c r="C309" s="5"/>
      <c r="F309" s="5"/>
      <c r="G309" s="5" t="str">
        <f t="shared" si="2"/>
        <v/>
      </c>
      <c r="H309" s="5" t="str">
        <f t="shared" si="3"/>
        <v/>
      </c>
      <c r="I309" s="5" t="str">
        <f t="shared" si="4"/>
        <v/>
      </c>
      <c r="J309" s="5" t="str">
        <f t="shared" si="5"/>
        <v/>
      </c>
      <c r="K309" s="5" t="str">
        <f>IFERROR(__xludf.DUMMYFUNCTION("IF(C309&lt;&gt;"""",HYPERLINK(""https://wa.me/507""&amp;REGEXREPLACE(C309,""[^0-9]"","""")&amp;""?text=""&amp;ENCODEURL(""Ya llegue. Codigo: ""&amp;A309&amp;"". Ubicacion: ""&amp;""https://www.google.com/maps/search/?api=1&amp;query=""&amp;SUBSTITUTE(F309,"" "","""")),""📲 Avisar al cliente"""&amp;"),"""")"),"")</f>
        <v/>
      </c>
      <c r="L309" s="5" t="str">
        <f>IFERROR(__xludf.DUMMYFUNCTION("IF(C309&lt;&gt;"""",""https://api.qrserver.com/v1/create-qr-code/?size=200x200&amp;data=""&amp;ENCODEURL(""https://wa.me/507""&amp;REGEXREPLACE(C309,""[^0-9]"","""")&amp;""?text=""&amp;ENCODEURL(""Ya llegue. Codigo: ""&amp;A309&amp;"". Ubicacion: ""&amp;""https://www.google.com/maps/search/?a"&amp;"pi=1&amp;query=""&amp;SUBSTITUTE(F309,"" "",""""))),"""")"),"")</f>
        <v/>
      </c>
      <c r="M309" s="5" t="str">
        <f t="shared" si="6"/>
        <v/>
      </c>
      <c r="N309" s="5" t="str">
        <f>IFERROR(__xludf.DUMMYFUNCTION("IF(AND(F309&lt;&gt;"""",REGEXMATCH(SUBSTITUTE(F309,"" "",""""),""^-?\d+(\.\d+)?,-?\d+(\.\d+)?$""),VALUE(REGEXEXTRACT(SUBSTITUTE(F309,"" "",""""),""^-?\d+(\.\d+)?""))&gt;=-90,VALUE(REGEXEXTRACT(SUBSTITUTE(F309,"" "",""""),""^-?\d+(\.\d+)?""))&lt;=90,VALUE(REGEXEXTRACT"&amp;"(SUBSTITUTE(F309,"" "",""""),""-?\d+(\.\d+)?$""))&gt;=-180,VALUE(REGEXEXTRACT(SUBSTITUTE(F309,"" "",""""),""-?\d+(\.\d+)?$""))&lt;=180),""OK"",""REVISAR"")"),"#N/A")</f>
        <v>#N/A</v>
      </c>
    </row>
    <row r="310" ht="15.75" customHeight="1">
      <c r="A310" s="5" t="str">
        <f t="shared" si="1"/>
        <v>AD507-0308</v>
      </c>
      <c r="C310" s="5"/>
      <c r="F310" s="5"/>
      <c r="G310" s="5" t="str">
        <f t="shared" si="2"/>
        <v/>
      </c>
      <c r="H310" s="5" t="str">
        <f t="shared" si="3"/>
        <v/>
      </c>
      <c r="I310" s="5" t="str">
        <f t="shared" si="4"/>
        <v/>
      </c>
      <c r="J310" s="5" t="str">
        <f t="shared" si="5"/>
        <v/>
      </c>
      <c r="K310" s="5" t="str">
        <f>IFERROR(__xludf.DUMMYFUNCTION("IF(C310&lt;&gt;"""",HYPERLINK(""https://wa.me/507""&amp;REGEXREPLACE(C310,""[^0-9]"","""")&amp;""?text=""&amp;ENCODEURL(""Ya llegue. Codigo: ""&amp;A310&amp;"". Ubicacion: ""&amp;""https://www.google.com/maps/search/?api=1&amp;query=""&amp;SUBSTITUTE(F310,"" "","""")),""📲 Avisar al cliente"""&amp;"),"""")"),"")</f>
        <v/>
      </c>
      <c r="L310" s="5" t="str">
        <f>IFERROR(__xludf.DUMMYFUNCTION("IF(C310&lt;&gt;"""",""https://api.qrserver.com/v1/create-qr-code/?size=200x200&amp;data=""&amp;ENCODEURL(""https://wa.me/507""&amp;REGEXREPLACE(C310,""[^0-9]"","""")&amp;""?text=""&amp;ENCODEURL(""Ya llegue. Codigo: ""&amp;A310&amp;"". Ubicacion: ""&amp;""https://www.google.com/maps/search/?a"&amp;"pi=1&amp;query=""&amp;SUBSTITUTE(F310,"" "",""""))),"""")"),"")</f>
        <v/>
      </c>
      <c r="M310" s="5" t="str">
        <f t="shared" si="6"/>
        <v/>
      </c>
      <c r="N310" s="5" t="str">
        <f>IFERROR(__xludf.DUMMYFUNCTION("IF(AND(F310&lt;&gt;"""",REGEXMATCH(SUBSTITUTE(F310,"" "",""""),""^-?\d+(\.\d+)?,-?\d+(\.\d+)?$""),VALUE(REGEXEXTRACT(SUBSTITUTE(F310,"" "",""""),""^-?\d+(\.\d+)?""))&gt;=-90,VALUE(REGEXEXTRACT(SUBSTITUTE(F310,"" "",""""),""^-?\d+(\.\d+)?""))&lt;=90,VALUE(REGEXEXTRACT"&amp;"(SUBSTITUTE(F310,"" "",""""),""-?\d+(\.\d+)?$""))&gt;=-180,VALUE(REGEXEXTRACT(SUBSTITUTE(F310,"" "",""""),""-?\d+(\.\d+)?$""))&lt;=180),""OK"",""REVISAR"")"),"#N/A")</f>
        <v>#N/A</v>
      </c>
    </row>
    <row r="311" ht="15.75" customHeight="1">
      <c r="A311" s="5" t="str">
        <f t="shared" si="1"/>
        <v>AD507-0309</v>
      </c>
      <c r="C311" s="5"/>
      <c r="F311" s="5"/>
      <c r="G311" s="5" t="str">
        <f t="shared" si="2"/>
        <v/>
      </c>
      <c r="H311" s="5" t="str">
        <f t="shared" si="3"/>
        <v/>
      </c>
      <c r="I311" s="5" t="str">
        <f t="shared" si="4"/>
        <v/>
      </c>
      <c r="J311" s="5" t="str">
        <f t="shared" si="5"/>
        <v/>
      </c>
      <c r="K311" s="5" t="str">
        <f>IFERROR(__xludf.DUMMYFUNCTION("IF(C311&lt;&gt;"""",HYPERLINK(""https://wa.me/507""&amp;REGEXREPLACE(C311,""[^0-9]"","""")&amp;""?text=""&amp;ENCODEURL(""Ya llegue. Codigo: ""&amp;A311&amp;"". Ubicacion: ""&amp;""https://www.google.com/maps/search/?api=1&amp;query=""&amp;SUBSTITUTE(F311,"" "","""")),""📲 Avisar al cliente"""&amp;"),"""")"),"")</f>
        <v/>
      </c>
      <c r="L311" s="5" t="str">
        <f>IFERROR(__xludf.DUMMYFUNCTION("IF(C311&lt;&gt;"""",""https://api.qrserver.com/v1/create-qr-code/?size=200x200&amp;data=""&amp;ENCODEURL(""https://wa.me/507""&amp;REGEXREPLACE(C311,""[^0-9]"","""")&amp;""?text=""&amp;ENCODEURL(""Ya llegue. Codigo: ""&amp;A311&amp;"". Ubicacion: ""&amp;""https://www.google.com/maps/search/?a"&amp;"pi=1&amp;query=""&amp;SUBSTITUTE(F311,"" "",""""))),"""")"),"")</f>
        <v/>
      </c>
      <c r="M311" s="5" t="str">
        <f t="shared" si="6"/>
        <v/>
      </c>
      <c r="N311" s="5" t="str">
        <f>IFERROR(__xludf.DUMMYFUNCTION("IF(AND(F311&lt;&gt;"""",REGEXMATCH(SUBSTITUTE(F311,"" "",""""),""^-?\d+(\.\d+)?,-?\d+(\.\d+)?$""),VALUE(REGEXEXTRACT(SUBSTITUTE(F311,"" "",""""),""^-?\d+(\.\d+)?""))&gt;=-90,VALUE(REGEXEXTRACT(SUBSTITUTE(F311,"" "",""""),""^-?\d+(\.\d+)?""))&lt;=90,VALUE(REGEXEXTRACT"&amp;"(SUBSTITUTE(F311,"" "",""""),""-?\d+(\.\d+)?$""))&gt;=-180,VALUE(REGEXEXTRACT(SUBSTITUTE(F311,"" "",""""),""-?\d+(\.\d+)?$""))&lt;=180),""OK"",""REVISAR"")"),"#N/A")</f>
        <v>#N/A</v>
      </c>
    </row>
    <row r="312" ht="15.75" customHeight="1">
      <c r="A312" s="5" t="str">
        <f t="shared" si="1"/>
        <v>AD507-0310</v>
      </c>
      <c r="C312" s="5"/>
      <c r="F312" s="5"/>
      <c r="G312" s="5" t="str">
        <f t="shared" si="2"/>
        <v/>
      </c>
      <c r="H312" s="5" t="str">
        <f t="shared" si="3"/>
        <v/>
      </c>
      <c r="I312" s="5" t="str">
        <f t="shared" si="4"/>
        <v/>
      </c>
      <c r="J312" s="5" t="str">
        <f t="shared" si="5"/>
        <v/>
      </c>
      <c r="K312" s="5" t="str">
        <f>IFERROR(__xludf.DUMMYFUNCTION("IF(C312&lt;&gt;"""",HYPERLINK(""https://wa.me/507""&amp;REGEXREPLACE(C312,""[^0-9]"","""")&amp;""?text=""&amp;ENCODEURL(""Ya llegue. Codigo: ""&amp;A312&amp;"". Ubicacion: ""&amp;""https://www.google.com/maps/search/?api=1&amp;query=""&amp;SUBSTITUTE(F312,"" "","""")),""📲 Avisar al cliente"""&amp;"),"""")"),"")</f>
        <v/>
      </c>
      <c r="L312" s="5" t="str">
        <f>IFERROR(__xludf.DUMMYFUNCTION("IF(C312&lt;&gt;"""",""https://api.qrserver.com/v1/create-qr-code/?size=200x200&amp;data=""&amp;ENCODEURL(""https://wa.me/507""&amp;REGEXREPLACE(C312,""[^0-9]"","""")&amp;""?text=""&amp;ENCODEURL(""Ya llegue. Codigo: ""&amp;A312&amp;"". Ubicacion: ""&amp;""https://www.google.com/maps/search/?a"&amp;"pi=1&amp;query=""&amp;SUBSTITUTE(F312,"" "",""""))),"""")"),"")</f>
        <v/>
      </c>
      <c r="M312" s="5" t="str">
        <f t="shared" si="6"/>
        <v/>
      </c>
      <c r="N312" s="5" t="str">
        <f>IFERROR(__xludf.DUMMYFUNCTION("IF(AND(F312&lt;&gt;"""",REGEXMATCH(SUBSTITUTE(F312,"" "",""""),""^-?\d+(\.\d+)?,-?\d+(\.\d+)?$""),VALUE(REGEXEXTRACT(SUBSTITUTE(F312,"" "",""""),""^-?\d+(\.\d+)?""))&gt;=-90,VALUE(REGEXEXTRACT(SUBSTITUTE(F312,"" "",""""),""^-?\d+(\.\d+)?""))&lt;=90,VALUE(REGEXEXTRACT"&amp;"(SUBSTITUTE(F312,"" "",""""),""-?\d+(\.\d+)?$""))&gt;=-180,VALUE(REGEXEXTRACT(SUBSTITUTE(F312,"" "",""""),""-?\d+(\.\d+)?$""))&lt;=180),""OK"",""REVISAR"")"),"#N/A")</f>
        <v>#N/A</v>
      </c>
    </row>
    <row r="313" ht="15.75" customHeight="1">
      <c r="A313" s="5" t="str">
        <f t="shared" si="1"/>
        <v>AD507-0311</v>
      </c>
      <c r="C313" s="5"/>
      <c r="F313" s="5"/>
      <c r="G313" s="5" t="str">
        <f t="shared" si="2"/>
        <v/>
      </c>
      <c r="H313" s="5" t="str">
        <f t="shared" si="3"/>
        <v/>
      </c>
      <c r="I313" s="5" t="str">
        <f t="shared" si="4"/>
        <v/>
      </c>
      <c r="J313" s="5" t="str">
        <f t="shared" si="5"/>
        <v/>
      </c>
      <c r="K313" s="5" t="str">
        <f>IFERROR(__xludf.DUMMYFUNCTION("IF(C313&lt;&gt;"""",HYPERLINK(""https://wa.me/507""&amp;REGEXREPLACE(C313,""[^0-9]"","""")&amp;""?text=""&amp;ENCODEURL(""Ya llegue. Codigo: ""&amp;A313&amp;"". Ubicacion: ""&amp;""https://www.google.com/maps/search/?api=1&amp;query=""&amp;SUBSTITUTE(F313,"" "","""")),""📲 Avisar al cliente"""&amp;"),"""")"),"")</f>
        <v/>
      </c>
      <c r="L313" s="5" t="str">
        <f>IFERROR(__xludf.DUMMYFUNCTION("IF(C313&lt;&gt;"""",""https://api.qrserver.com/v1/create-qr-code/?size=200x200&amp;data=""&amp;ENCODEURL(""https://wa.me/507""&amp;REGEXREPLACE(C313,""[^0-9]"","""")&amp;""?text=""&amp;ENCODEURL(""Ya llegue. Codigo: ""&amp;A313&amp;"". Ubicacion: ""&amp;""https://www.google.com/maps/search/?a"&amp;"pi=1&amp;query=""&amp;SUBSTITUTE(F313,"" "",""""))),"""")"),"")</f>
        <v/>
      </c>
      <c r="M313" s="5" t="str">
        <f t="shared" si="6"/>
        <v/>
      </c>
      <c r="N313" s="5" t="str">
        <f>IFERROR(__xludf.DUMMYFUNCTION("IF(AND(F313&lt;&gt;"""",REGEXMATCH(SUBSTITUTE(F313,"" "",""""),""^-?\d+(\.\d+)?,-?\d+(\.\d+)?$""),VALUE(REGEXEXTRACT(SUBSTITUTE(F313,"" "",""""),""^-?\d+(\.\d+)?""))&gt;=-90,VALUE(REGEXEXTRACT(SUBSTITUTE(F313,"" "",""""),""^-?\d+(\.\d+)?""))&lt;=90,VALUE(REGEXEXTRACT"&amp;"(SUBSTITUTE(F313,"" "",""""),""-?\d+(\.\d+)?$""))&gt;=-180,VALUE(REGEXEXTRACT(SUBSTITUTE(F313,"" "",""""),""-?\d+(\.\d+)?$""))&lt;=180),""OK"",""REVISAR"")"),"#N/A")</f>
        <v>#N/A</v>
      </c>
    </row>
    <row r="314" ht="15.75" customHeight="1">
      <c r="A314" s="5" t="str">
        <f t="shared" si="1"/>
        <v>AD507-0312</v>
      </c>
      <c r="C314" s="5"/>
      <c r="F314" s="5"/>
      <c r="G314" s="5" t="str">
        <f t="shared" si="2"/>
        <v/>
      </c>
      <c r="H314" s="5" t="str">
        <f t="shared" si="3"/>
        <v/>
      </c>
      <c r="I314" s="5" t="str">
        <f t="shared" si="4"/>
        <v/>
      </c>
      <c r="J314" s="5" t="str">
        <f t="shared" si="5"/>
        <v/>
      </c>
      <c r="K314" s="5" t="str">
        <f>IFERROR(__xludf.DUMMYFUNCTION("IF(C314&lt;&gt;"""",HYPERLINK(""https://wa.me/507""&amp;REGEXREPLACE(C314,""[^0-9]"","""")&amp;""?text=""&amp;ENCODEURL(""Ya llegue. Codigo: ""&amp;A314&amp;"". Ubicacion: ""&amp;""https://www.google.com/maps/search/?api=1&amp;query=""&amp;SUBSTITUTE(F314,"" "","""")),""📲 Avisar al cliente"""&amp;"),"""")"),"")</f>
        <v/>
      </c>
      <c r="L314" s="5" t="str">
        <f>IFERROR(__xludf.DUMMYFUNCTION("IF(C314&lt;&gt;"""",""https://api.qrserver.com/v1/create-qr-code/?size=200x200&amp;data=""&amp;ENCODEURL(""https://wa.me/507""&amp;REGEXREPLACE(C314,""[^0-9]"","""")&amp;""?text=""&amp;ENCODEURL(""Ya llegue. Codigo: ""&amp;A314&amp;"". Ubicacion: ""&amp;""https://www.google.com/maps/search/?a"&amp;"pi=1&amp;query=""&amp;SUBSTITUTE(F314,"" "",""""))),"""")"),"")</f>
        <v/>
      </c>
      <c r="M314" s="5" t="str">
        <f t="shared" si="6"/>
        <v/>
      </c>
      <c r="N314" s="5" t="str">
        <f>IFERROR(__xludf.DUMMYFUNCTION("IF(AND(F314&lt;&gt;"""",REGEXMATCH(SUBSTITUTE(F314,"" "",""""),""^-?\d+(\.\d+)?,-?\d+(\.\d+)?$""),VALUE(REGEXEXTRACT(SUBSTITUTE(F314,"" "",""""),""^-?\d+(\.\d+)?""))&gt;=-90,VALUE(REGEXEXTRACT(SUBSTITUTE(F314,"" "",""""),""^-?\d+(\.\d+)?""))&lt;=90,VALUE(REGEXEXTRACT"&amp;"(SUBSTITUTE(F314,"" "",""""),""-?\d+(\.\d+)?$""))&gt;=-180,VALUE(REGEXEXTRACT(SUBSTITUTE(F314,"" "",""""),""-?\d+(\.\d+)?$""))&lt;=180),""OK"",""REVISAR"")"),"#N/A")</f>
        <v>#N/A</v>
      </c>
    </row>
    <row r="315" ht="15.75" customHeight="1">
      <c r="A315" s="5" t="str">
        <f t="shared" si="1"/>
        <v>AD507-0313</v>
      </c>
      <c r="C315" s="5"/>
      <c r="F315" s="5"/>
      <c r="G315" s="5" t="str">
        <f t="shared" si="2"/>
        <v/>
      </c>
      <c r="H315" s="5" t="str">
        <f t="shared" si="3"/>
        <v/>
      </c>
      <c r="I315" s="5" t="str">
        <f t="shared" si="4"/>
        <v/>
      </c>
      <c r="J315" s="5" t="str">
        <f t="shared" si="5"/>
        <v/>
      </c>
      <c r="K315" s="5" t="str">
        <f>IFERROR(__xludf.DUMMYFUNCTION("IF(C315&lt;&gt;"""",HYPERLINK(""https://wa.me/507""&amp;REGEXREPLACE(C315,""[^0-9]"","""")&amp;""?text=""&amp;ENCODEURL(""Ya llegue. Codigo: ""&amp;A315&amp;"". Ubicacion: ""&amp;""https://www.google.com/maps/search/?api=1&amp;query=""&amp;SUBSTITUTE(F315,"" "","""")),""📲 Avisar al cliente"""&amp;"),"""")"),"")</f>
        <v/>
      </c>
      <c r="L315" s="5" t="str">
        <f>IFERROR(__xludf.DUMMYFUNCTION("IF(C315&lt;&gt;"""",""https://api.qrserver.com/v1/create-qr-code/?size=200x200&amp;data=""&amp;ENCODEURL(""https://wa.me/507""&amp;REGEXREPLACE(C315,""[^0-9]"","""")&amp;""?text=""&amp;ENCODEURL(""Ya llegue. Codigo: ""&amp;A315&amp;"". Ubicacion: ""&amp;""https://www.google.com/maps/search/?a"&amp;"pi=1&amp;query=""&amp;SUBSTITUTE(F315,"" "",""""))),"""")"),"")</f>
        <v/>
      </c>
      <c r="M315" s="5" t="str">
        <f t="shared" si="6"/>
        <v/>
      </c>
      <c r="N315" s="5" t="str">
        <f>IFERROR(__xludf.DUMMYFUNCTION("IF(AND(F315&lt;&gt;"""",REGEXMATCH(SUBSTITUTE(F315,"" "",""""),""^-?\d+(\.\d+)?,-?\d+(\.\d+)?$""),VALUE(REGEXEXTRACT(SUBSTITUTE(F315,"" "",""""),""^-?\d+(\.\d+)?""))&gt;=-90,VALUE(REGEXEXTRACT(SUBSTITUTE(F315,"" "",""""),""^-?\d+(\.\d+)?""))&lt;=90,VALUE(REGEXEXTRACT"&amp;"(SUBSTITUTE(F315,"" "",""""),""-?\d+(\.\d+)?$""))&gt;=-180,VALUE(REGEXEXTRACT(SUBSTITUTE(F315,"" "",""""),""-?\d+(\.\d+)?$""))&lt;=180),""OK"",""REVISAR"")"),"#N/A")</f>
        <v>#N/A</v>
      </c>
    </row>
    <row r="316" ht="15.75" customHeight="1">
      <c r="A316" s="5" t="str">
        <f t="shared" si="1"/>
        <v>AD507-0314</v>
      </c>
      <c r="C316" s="5"/>
      <c r="F316" s="5"/>
      <c r="G316" s="5" t="str">
        <f t="shared" si="2"/>
        <v/>
      </c>
      <c r="H316" s="5" t="str">
        <f t="shared" si="3"/>
        <v/>
      </c>
      <c r="I316" s="5" t="str">
        <f t="shared" si="4"/>
        <v/>
      </c>
      <c r="J316" s="5" t="str">
        <f t="shared" si="5"/>
        <v/>
      </c>
      <c r="K316" s="5" t="str">
        <f>IFERROR(__xludf.DUMMYFUNCTION("IF(C316&lt;&gt;"""",HYPERLINK(""https://wa.me/507""&amp;REGEXREPLACE(C316,""[^0-9]"","""")&amp;""?text=""&amp;ENCODEURL(""Ya llegue. Codigo: ""&amp;A316&amp;"". Ubicacion: ""&amp;""https://www.google.com/maps/search/?api=1&amp;query=""&amp;SUBSTITUTE(F316,"" "","""")),""📲 Avisar al cliente"""&amp;"),"""")"),"")</f>
        <v/>
      </c>
      <c r="L316" s="5" t="str">
        <f>IFERROR(__xludf.DUMMYFUNCTION("IF(C316&lt;&gt;"""",""https://api.qrserver.com/v1/create-qr-code/?size=200x200&amp;data=""&amp;ENCODEURL(""https://wa.me/507""&amp;REGEXREPLACE(C316,""[^0-9]"","""")&amp;""?text=""&amp;ENCODEURL(""Ya llegue. Codigo: ""&amp;A316&amp;"". Ubicacion: ""&amp;""https://www.google.com/maps/search/?a"&amp;"pi=1&amp;query=""&amp;SUBSTITUTE(F316,"" "",""""))),"""")"),"")</f>
        <v/>
      </c>
      <c r="M316" s="5" t="str">
        <f t="shared" si="6"/>
        <v/>
      </c>
      <c r="N316" s="5" t="str">
        <f>IFERROR(__xludf.DUMMYFUNCTION("IF(AND(F316&lt;&gt;"""",REGEXMATCH(SUBSTITUTE(F316,"" "",""""),""^-?\d+(\.\d+)?,-?\d+(\.\d+)?$""),VALUE(REGEXEXTRACT(SUBSTITUTE(F316,"" "",""""),""^-?\d+(\.\d+)?""))&gt;=-90,VALUE(REGEXEXTRACT(SUBSTITUTE(F316,"" "",""""),""^-?\d+(\.\d+)?""))&lt;=90,VALUE(REGEXEXTRACT"&amp;"(SUBSTITUTE(F316,"" "",""""),""-?\d+(\.\d+)?$""))&gt;=-180,VALUE(REGEXEXTRACT(SUBSTITUTE(F316,"" "",""""),""-?\d+(\.\d+)?$""))&lt;=180),""OK"",""REVISAR"")"),"#N/A")</f>
        <v>#N/A</v>
      </c>
    </row>
    <row r="317" ht="15.75" customHeight="1">
      <c r="A317" s="5" t="str">
        <f t="shared" si="1"/>
        <v>AD507-0315</v>
      </c>
      <c r="C317" s="5"/>
      <c r="F317" s="5"/>
      <c r="G317" s="5" t="str">
        <f t="shared" si="2"/>
        <v/>
      </c>
      <c r="H317" s="5" t="str">
        <f t="shared" si="3"/>
        <v/>
      </c>
      <c r="I317" s="5" t="str">
        <f t="shared" si="4"/>
        <v/>
      </c>
      <c r="J317" s="5" t="str">
        <f t="shared" si="5"/>
        <v/>
      </c>
      <c r="K317" s="5" t="str">
        <f>IFERROR(__xludf.DUMMYFUNCTION("IF(C317&lt;&gt;"""",HYPERLINK(""https://wa.me/507""&amp;REGEXREPLACE(C317,""[^0-9]"","""")&amp;""?text=""&amp;ENCODEURL(""Ya llegue. Codigo: ""&amp;A317&amp;"". Ubicacion: ""&amp;""https://www.google.com/maps/search/?api=1&amp;query=""&amp;SUBSTITUTE(F317,"" "","""")),""📲 Avisar al cliente"""&amp;"),"""")"),"")</f>
        <v/>
      </c>
      <c r="L317" s="5" t="str">
        <f>IFERROR(__xludf.DUMMYFUNCTION("IF(C317&lt;&gt;"""",""https://api.qrserver.com/v1/create-qr-code/?size=200x200&amp;data=""&amp;ENCODEURL(""https://wa.me/507""&amp;REGEXREPLACE(C317,""[^0-9]"","""")&amp;""?text=""&amp;ENCODEURL(""Ya llegue. Codigo: ""&amp;A317&amp;"". Ubicacion: ""&amp;""https://www.google.com/maps/search/?a"&amp;"pi=1&amp;query=""&amp;SUBSTITUTE(F317,"" "",""""))),"""")"),"")</f>
        <v/>
      </c>
      <c r="M317" s="5" t="str">
        <f t="shared" si="6"/>
        <v/>
      </c>
      <c r="N317" s="5" t="str">
        <f>IFERROR(__xludf.DUMMYFUNCTION("IF(AND(F317&lt;&gt;"""",REGEXMATCH(SUBSTITUTE(F317,"" "",""""),""^-?\d+(\.\d+)?,-?\d+(\.\d+)?$""),VALUE(REGEXEXTRACT(SUBSTITUTE(F317,"" "",""""),""^-?\d+(\.\d+)?""))&gt;=-90,VALUE(REGEXEXTRACT(SUBSTITUTE(F317,"" "",""""),""^-?\d+(\.\d+)?""))&lt;=90,VALUE(REGEXEXTRACT"&amp;"(SUBSTITUTE(F317,"" "",""""),""-?\d+(\.\d+)?$""))&gt;=-180,VALUE(REGEXEXTRACT(SUBSTITUTE(F317,"" "",""""),""-?\d+(\.\d+)?$""))&lt;=180),""OK"",""REVISAR"")"),"#N/A")</f>
        <v>#N/A</v>
      </c>
    </row>
    <row r="318" ht="15.75" customHeight="1">
      <c r="A318" s="5" t="str">
        <f t="shared" si="1"/>
        <v>AD507-0316</v>
      </c>
      <c r="C318" s="5"/>
      <c r="F318" s="5"/>
      <c r="G318" s="5" t="str">
        <f t="shared" si="2"/>
        <v/>
      </c>
      <c r="H318" s="5" t="str">
        <f t="shared" si="3"/>
        <v/>
      </c>
      <c r="I318" s="5" t="str">
        <f t="shared" si="4"/>
        <v/>
      </c>
      <c r="J318" s="5" t="str">
        <f t="shared" si="5"/>
        <v/>
      </c>
      <c r="K318" s="5" t="str">
        <f>IFERROR(__xludf.DUMMYFUNCTION("IF(C318&lt;&gt;"""",HYPERLINK(""https://wa.me/507""&amp;REGEXREPLACE(C318,""[^0-9]"","""")&amp;""?text=""&amp;ENCODEURL(""Ya llegue. Codigo: ""&amp;A318&amp;"". Ubicacion: ""&amp;""https://www.google.com/maps/search/?api=1&amp;query=""&amp;SUBSTITUTE(F318,"" "","""")),""📲 Avisar al cliente"""&amp;"),"""")"),"")</f>
        <v/>
      </c>
      <c r="L318" s="5" t="str">
        <f>IFERROR(__xludf.DUMMYFUNCTION("IF(C318&lt;&gt;"""",""https://api.qrserver.com/v1/create-qr-code/?size=200x200&amp;data=""&amp;ENCODEURL(""https://wa.me/507""&amp;REGEXREPLACE(C318,""[^0-9]"","""")&amp;""?text=""&amp;ENCODEURL(""Ya llegue. Codigo: ""&amp;A318&amp;"". Ubicacion: ""&amp;""https://www.google.com/maps/search/?a"&amp;"pi=1&amp;query=""&amp;SUBSTITUTE(F318,"" "",""""))),"""")"),"")</f>
        <v/>
      </c>
      <c r="M318" s="5" t="str">
        <f t="shared" si="6"/>
        <v/>
      </c>
      <c r="N318" s="5" t="str">
        <f>IFERROR(__xludf.DUMMYFUNCTION("IF(AND(F318&lt;&gt;"""",REGEXMATCH(SUBSTITUTE(F318,"" "",""""),""^-?\d+(\.\d+)?,-?\d+(\.\d+)?$""),VALUE(REGEXEXTRACT(SUBSTITUTE(F318,"" "",""""),""^-?\d+(\.\d+)?""))&gt;=-90,VALUE(REGEXEXTRACT(SUBSTITUTE(F318,"" "",""""),""^-?\d+(\.\d+)?""))&lt;=90,VALUE(REGEXEXTRACT"&amp;"(SUBSTITUTE(F318,"" "",""""),""-?\d+(\.\d+)?$""))&gt;=-180,VALUE(REGEXEXTRACT(SUBSTITUTE(F318,"" "",""""),""-?\d+(\.\d+)?$""))&lt;=180),""OK"",""REVISAR"")"),"#N/A")</f>
        <v>#N/A</v>
      </c>
    </row>
    <row r="319" ht="15.75" customHeight="1">
      <c r="A319" s="5" t="str">
        <f t="shared" si="1"/>
        <v>AD507-0317</v>
      </c>
      <c r="C319" s="5"/>
      <c r="F319" s="5"/>
      <c r="G319" s="5" t="str">
        <f t="shared" si="2"/>
        <v/>
      </c>
      <c r="H319" s="5" t="str">
        <f t="shared" si="3"/>
        <v/>
      </c>
      <c r="I319" s="5" t="str">
        <f t="shared" si="4"/>
        <v/>
      </c>
      <c r="J319" s="5" t="str">
        <f t="shared" si="5"/>
        <v/>
      </c>
      <c r="K319" s="5" t="str">
        <f>IFERROR(__xludf.DUMMYFUNCTION("IF(C319&lt;&gt;"""",HYPERLINK(""https://wa.me/507""&amp;REGEXREPLACE(C319,""[^0-9]"","""")&amp;""?text=""&amp;ENCODEURL(""Ya llegue. Codigo: ""&amp;A319&amp;"". Ubicacion: ""&amp;""https://www.google.com/maps/search/?api=1&amp;query=""&amp;SUBSTITUTE(F319,"" "","""")),""📲 Avisar al cliente"""&amp;"),"""")"),"")</f>
        <v/>
      </c>
      <c r="L319" s="5" t="str">
        <f>IFERROR(__xludf.DUMMYFUNCTION("IF(C319&lt;&gt;"""",""https://api.qrserver.com/v1/create-qr-code/?size=200x200&amp;data=""&amp;ENCODEURL(""https://wa.me/507""&amp;REGEXREPLACE(C319,""[^0-9]"","""")&amp;""?text=""&amp;ENCODEURL(""Ya llegue. Codigo: ""&amp;A319&amp;"". Ubicacion: ""&amp;""https://www.google.com/maps/search/?a"&amp;"pi=1&amp;query=""&amp;SUBSTITUTE(F319,"" "",""""))),"""")"),"")</f>
        <v/>
      </c>
      <c r="M319" s="5" t="str">
        <f t="shared" si="6"/>
        <v/>
      </c>
      <c r="N319" s="5" t="str">
        <f>IFERROR(__xludf.DUMMYFUNCTION("IF(AND(F319&lt;&gt;"""",REGEXMATCH(SUBSTITUTE(F319,"" "",""""),""^-?\d+(\.\d+)?,-?\d+(\.\d+)?$""),VALUE(REGEXEXTRACT(SUBSTITUTE(F319,"" "",""""),""^-?\d+(\.\d+)?""))&gt;=-90,VALUE(REGEXEXTRACT(SUBSTITUTE(F319,"" "",""""),""^-?\d+(\.\d+)?""))&lt;=90,VALUE(REGEXEXTRACT"&amp;"(SUBSTITUTE(F319,"" "",""""),""-?\d+(\.\d+)?$""))&gt;=-180,VALUE(REGEXEXTRACT(SUBSTITUTE(F319,"" "",""""),""-?\d+(\.\d+)?$""))&lt;=180),""OK"",""REVISAR"")"),"#N/A")</f>
        <v>#N/A</v>
      </c>
    </row>
    <row r="320" ht="15.75" customHeight="1">
      <c r="A320" s="5" t="str">
        <f t="shared" si="1"/>
        <v>AD507-0318</v>
      </c>
      <c r="C320" s="5"/>
      <c r="F320" s="5"/>
      <c r="G320" s="5" t="str">
        <f t="shared" si="2"/>
        <v/>
      </c>
      <c r="H320" s="5" t="str">
        <f t="shared" si="3"/>
        <v/>
      </c>
      <c r="I320" s="5" t="str">
        <f t="shared" si="4"/>
        <v/>
      </c>
      <c r="J320" s="5" t="str">
        <f t="shared" si="5"/>
        <v/>
      </c>
      <c r="K320" s="5" t="str">
        <f>IFERROR(__xludf.DUMMYFUNCTION("IF(C320&lt;&gt;"""",HYPERLINK(""https://wa.me/507""&amp;REGEXREPLACE(C320,""[^0-9]"","""")&amp;""?text=""&amp;ENCODEURL(""Ya llegue. Codigo: ""&amp;A320&amp;"". Ubicacion: ""&amp;""https://www.google.com/maps/search/?api=1&amp;query=""&amp;SUBSTITUTE(F320,"" "","""")),""📲 Avisar al cliente"""&amp;"),"""")"),"")</f>
        <v/>
      </c>
      <c r="L320" s="5" t="str">
        <f>IFERROR(__xludf.DUMMYFUNCTION("IF(C320&lt;&gt;"""",""https://api.qrserver.com/v1/create-qr-code/?size=200x200&amp;data=""&amp;ENCODEURL(""https://wa.me/507""&amp;REGEXREPLACE(C320,""[^0-9]"","""")&amp;""?text=""&amp;ENCODEURL(""Ya llegue. Codigo: ""&amp;A320&amp;"". Ubicacion: ""&amp;""https://www.google.com/maps/search/?a"&amp;"pi=1&amp;query=""&amp;SUBSTITUTE(F320,"" "",""""))),"""")"),"")</f>
        <v/>
      </c>
      <c r="M320" s="5" t="str">
        <f t="shared" si="6"/>
        <v/>
      </c>
      <c r="N320" s="5" t="str">
        <f>IFERROR(__xludf.DUMMYFUNCTION("IF(AND(F320&lt;&gt;"""",REGEXMATCH(SUBSTITUTE(F320,"" "",""""),""^-?\d+(\.\d+)?,-?\d+(\.\d+)?$""),VALUE(REGEXEXTRACT(SUBSTITUTE(F320,"" "",""""),""^-?\d+(\.\d+)?""))&gt;=-90,VALUE(REGEXEXTRACT(SUBSTITUTE(F320,"" "",""""),""^-?\d+(\.\d+)?""))&lt;=90,VALUE(REGEXEXTRACT"&amp;"(SUBSTITUTE(F320,"" "",""""),""-?\d+(\.\d+)?$""))&gt;=-180,VALUE(REGEXEXTRACT(SUBSTITUTE(F320,"" "",""""),""-?\d+(\.\d+)?$""))&lt;=180),""OK"",""REVISAR"")"),"#N/A")</f>
        <v>#N/A</v>
      </c>
    </row>
    <row r="321" ht="15.75" customHeight="1">
      <c r="A321" s="5" t="str">
        <f t="shared" si="1"/>
        <v>AD507-0319</v>
      </c>
      <c r="C321" s="5"/>
      <c r="F321" s="5"/>
      <c r="G321" s="5" t="str">
        <f t="shared" si="2"/>
        <v/>
      </c>
      <c r="H321" s="5" t="str">
        <f t="shared" si="3"/>
        <v/>
      </c>
      <c r="I321" s="5" t="str">
        <f t="shared" si="4"/>
        <v/>
      </c>
      <c r="J321" s="5" t="str">
        <f t="shared" si="5"/>
        <v/>
      </c>
      <c r="K321" s="5" t="str">
        <f>IFERROR(__xludf.DUMMYFUNCTION("IF(C321&lt;&gt;"""",HYPERLINK(""https://wa.me/507""&amp;REGEXREPLACE(C321,""[^0-9]"","""")&amp;""?text=""&amp;ENCODEURL(""Ya llegue. Codigo: ""&amp;A321&amp;"". Ubicacion: ""&amp;""https://www.google.com/maps/search/?api=1&amp;query=""&amp;SUBSTITUTE(F321,"" "","""")),""📲 Avisar al cliente"""&amp;"),"""")"),"")</f>
        <v/>
      </c>
      <c r="L321" s="5" t="str">
        <f>IFERROR(__xludf.DUMMYFUNCTION("IF(C321&lt;&gt;"""",""https://api.qrserver.com/v1/create-qr-code/?size=200x200&amp;data=""&amp;ENCODEURL(""https://wa.me/507""&amp;REGEXREPLACE(C321,""[^0-9]"","""")&amp;""?text=""&amp;ENCODEURL(""Ya llegue. Codigo: ""&amp;A321&amp;"". Ubicacion: ""&amp;""https://www.google.com/maps/search/?a"&amp;"pi=1&amp;query=""&amp;SUBSTITUTE(F321,"" "",""""))),"""")"),"")</f>
        <v/>
      </c>
      <c r="M321" s="5" t="str">
        <f t="shared" si="6"/>
        <v/>
      </c>
      <c r="N321" s="5" t="str">
        <f>IFERROR(__xludf.DUMMYFUNCTION("IF(AND(F321&lt;&gt;"""",REGEXMATCH(SUBSTITUTE(F321,"" "",""""),""^-?\d+(\.\d+)?,-?\d+(\.\d+)?$""),VALUE(REGEXEXTRACT(SUBSTITUTE(F321,"" "",""""),""^-?\d+(\.\d+)?""))&gt;=-90,VALUE(REGEXEXTRACT(SUBSTITUTE(F321,"" "",""""),""^-?\d+(\.\d+)?""))&lt;=90,VALUE(REGEXEXTRACT"&amp;"(SUBSTITUTE(F321,"" "",""""),""-?\d+(\.\d+)?$""))&gt;=-180,VALUE(REGEXEXTRACT(SUBSTITUTE(F321,"" "",""""),""-?\d+(\.\d+)?$""))&lt;=180),""OK"",""REVISAR"")"),"#N/A")</f>
        <v>#N/A</v>
      </c>
    </row>
    <row r="322" ht="15.75" customHeight="1">
      <c r="A322" s="5" t="str">
        <f t="shared" si="1"/>
        <v>AD507-0320</v>
      </c>
      <c r="C322" s="5"/>
      <c r="F322" s="5"/>
      <c r="G322" s="5" t="str">
        <f t="shared" si="2"/>
        <v/>
      </c>
      <c r="H322" s="5" t="str">
        <f t="shared" si="3"/>
        <v/>
      </c>
      <c r="I322" s="5" t="str">
        <f t="shared" si="4"/>
        <v/>
      </c>
      <c r="J322" s="5" t="str">
        <f t="shared" si="5"/>
        <v/>
      </c>
      <c r="K322" s="5" t="str">
        <f>IFERROR(__xludf.DUMMYFUNCTION("IF(C322&lt;&gt;"""",HYPERLINK(""https://wa.me/507""&amp;REGEXREPLACE(C322,""[^0-9]"","""")&amp;""?text=""&amp;ENCODEURL(""Ya llegue. Codigo: ""&amp;A322&amp;"". Ubicacion: ""&amp;""https://www.google.com/maps/search/?api=1&amp;query=""&amp;SUBSTITUTE(F322,"" "","""")),""📲 Avisar al cliente"""&amp;"),"""")"),"")</f>
        <v/>
      </c>
      <c r="L322" s="5" t="str">
        <f>IFERROR(__xludf.DUMMYFUNCTION("IF(C322&lt;&gt;"""",""https://api.qrserver.com/v1/create-qr-code/?size=200x200&amp;data=""&amp;ENCODEURL(""https://wa.me/507""&amp;REGEXREPLACE(C322,""[^0-9]"","""")&amp;""?text=""&amp;ENCODEURL(""Ya llegue. Codigo: ""&amp;A322&amp;"". Ubicacion: ""&amp;""https://www.google.com/maps/search/?a"&amp;"pi=1&amp;query=""&amp;SUBSTITUTE(F322,"" "",""""))),"""")"),"")</f>
        <v/>
      </c>
      <c r="M322" s="5" t="str">
        <f t="shared" si="6"/>
        <v/>
      </c>
      <c r="N322" s="5" t="str">
        <f>IFERROR(__xludf.DUMMYFUNCTION("IF(AND(F322&lt;&gt;"""",REGEXMATCH(SUBSTITUTE(F322,"" "",""""),""^-?\d+(\.\d+)?,-?\d+(\.\d+)?$""),VALUE(REGEXEXTRACT(SUBSTITUTE(F322,"" "",""""),""^-?\d+(\.\d+)?""))&gt;=-90,VALUE(REGEXEXTRACT(SUBSTITUTE(F322,"" "",""""),""^-?\d+(\.\d+)?""))&lt;=90,VALUE(REGEXEXTRACT"&amp;"(SUBSTITUTE(F322,"" "",""""),""-?\d+(\.\d+)?$""))&gt;=-180,VALUE(REGEXEXTRACT(SUBSTITUTE(F322,"" "",""""),""-?\d+(\.\d+)?$""))&lt;=180),""OK"",""REVISAR"")"),"#N/A")</f>
        <v>#N/A</v>
      </c>
    </row>
    <row r="323" ht="15.75" customHeight="1">
      <c r="A323" s="5" t="str">
        <f t="shared" si="1"/>
        <v>AD507-0321</v>
      </c>
      <c r="C323" s="5"/>
      <c r="F323" s="5"/>
      <c r="G323" s="5" t="str">
        <f t="shared" si="2"/>
        <v/>
      </c>
      <c r="H323" s="5" t="str">
        <f t="shared" si="3"/>
        <v/>
      </c>
      <c r="I323" s="5" t="str">
        <f t="shared" si="4"/>
        <v/>
      </c>
      <c r="J323" s="5" t="str">
        <f t="shared" si="5"/>
        <v/>
      </c>
      <c r="K323" s="5" t="str">
        <f>IFERROR(__xludf.DUMMYFUNCTION("IF(C323&lt;&gt;"""",HYPERLINK(""https://wa.me/507""&amp;REGEXREPLACE(C323,""[^0-9]"","""")&amp;""?text=""&amp;ENCODEURL(""Ya llegue. Codigo: ""&amp;A323&amp;"". Ubicacion: ""&amp;""https://www.google.com/maps/search/?api=1&amp;query=""&amp;SUBSTITUTE(F323,"" "","""")),""📲 Avisar al cliente"""&amp;"),"""")"),"")</f>
        <v/>
      </c>
      <c r="L323" s="5" t="str">
        <f>IFERROR(__xludf.DUMMYFUNCTION("IF(C323&lt;&gt;"""",""https://api.qrserver.com/v1/create-qr-code/?size=200x200&amp;data=""&amp;ENCODEURL(""https://wa.me/507""&amp;REGEXREPLACE(C323,""[^0-9]"","""")&amp;""?text=""&amp;ENCODEURL(""Ya llegue. Codigo: ""&amp;A323&amp;"". Ubicacion: ""&amp;""https://www.google.com/maps/search/?a"&amp;"pi=1&amp;query=""&amp;SUBSTITUTE(F323,"" "",""""))),"""")"),"")</f>
        <v/>
      </c>
      <c r="M323" s="5" t="str">
        <f t="shared" si="6"/>
        <v/>
      </c>
      <c r="N323" s="5" t="str">
        <f>IFERROR(__xludf.DUMMYFUNCTION("IF(AND(F323&lt;&gt;"""",REGEXMATCH(SUBSTITUTE(F323,"" "",""""),""^-?\d+(\.\d+)?,-?\d+(\.\d+)?$""),VALUE(REGEXEXTRACT(SUBSTITUTE(F323,"" "",""""),""^-?\d+(\.\d+)?""))&gt;=-90,VALUE(REGEXEXTRACT(SUBSTITUTE(F323,"" "",""""),""^-?\d+(\.\d+)?""))&lt;=90,VALUE(REGEXEXTRACT"&amp;"(SUBSTITUTE(F323,"" "",""""),""-?\d+(\.\d+)?$""))&gt;=-180,VALUE(REGEXEXTRACT(SUBSTITUTE(F323,"" "",""""),""-?\d+(\.\d+)?$""))&lt;=180),""OK"",""REVISAR"")"),"#N/A")</f>
        <v>#N/A</v>
      </c>
    </row>
    <row r="324" ht="15.75" customHeight="1">
      <c r="A324" s="5" t="str">
        <f t="shared" si="1"/>
        <v>AD507-0322</v>
      </c>
      <c r="C324" s="5"/>
      <c r="F324" s="5"/>
      <c r="G324" s="5" t="str">
        <f t="shared" si="2"/>
        <v/>
      </c>
      <c r="H324" s="5" t="str">
        <f t="shared" si="3"/>
        <v/>
      </c>
      <c r="I324" s="5" t="str">
        <f t="shared" si="4"/>
        <v/>
      </c>
      <c r="J324" s="5" t="str">
        <f t="shared" si="5"/>
        <v/>
      </c>
      <c r="K324" s="5" t="str">
        <f>IFERROR(__xludf.DUMMYFUNCTION("IF(C324&lt;&gt;"""",HYPERLINK(""https://wa.me/507""&amp;REGEXREPLACE(C324,""[^0-9]"","""")&amp;""?text=""&amp;ENCODEURL(""Ya llegue. Codigo: ""&amp;A324&amp;"". Ubicacion: ""&amp;""https://www.google.com/maps/search/?api=1&amp;query=""&amp;SUBSTITUTE(F324,"" "","""")),""📲 Avisar al cliente"""&amp;"),"""")"),"")</f>
        <v/>
      </c>
      <c r="L324" s="5" t="str">
        <f>IFERROR(__xludf.DUMMYFUNCTION("IF(C324&lt;&gt;"""",""https://api.qrserver.com/v1/create-qr-code/?size=200x200&amp;data=""&amp;ENCODEURL(""https://wa.me/507""&amp;REGEXREPLACE(C324,""[^0-9]"","""")&amp;""?text=""&amp;ENCODEURL(""Ya llegue. Codigo: ""&amp;A324&amp;"". Ubicacion: ""&amp;""https://www.google.com/maps/search/?a"&amp;"pi=1&amp;query=""&amp;SUBSTITUTE(F324,"" "",""""))),"""")"),"")</f>
        <v/>
      </c>
      <c r="M324" s="5" t="str">
        <f t="shared" si="6"/>
        <v/>
      </c>
      <c r="N324" s="5" t="str">
        <f>IFERROR(__xludf.DUMMYFUNCTION("IF(AND(F324&lt;&gt;"""",REGEXMATCH(SUBSTITUTE(F324,"" "",""""),""^-?\d+(\.\d+)?,-?\d+(\.\d+)?$""),VALUE(REGEXEXTRACT(SUBSTITUTE(F324,"" "",""""),""^-?\d+(\.\d+)?""))&gt;=-90,VALUE(REGEXEXTRACT(SUBSTITUTE(F324,"" "",""""),""^-?\d+(\.\d+)?""))&lt;=90,VALUE(REGEXEXTRACT"&amp;"(SUBSTITUTE(F324,"" "",""""),""-?\d+(\.\d+)?$""))&gt;=-180,VALUE(REGEXEXTRACT(SUBSTITUTE(F324,"" "",""""),""-?\d+(\.\d+)?$""))&lt;=180),""OK"",""REVISAR"")"),"#N/A")</f>
        <v>#N/A</v>
      </c>
    </row>
    <row r="325" ht="15.75" customHeight="1">
      <c r="A325" s="5" t="str">
        <f t="shared" si="1"/>
        <v>AD507-0323</v>
      </c>
      <c r="C325" s="5"/>
      <c r="F325" s="5"/>
      <c r="G325" s="5" t="str">
        <f t="shared" si="2"/>
        <v/>
      </c>
      <c r="H325" s="5" t="str">
        <f t="shared" si="3"/>
        <v/>
      </c>
      <c r="I325" s="5" t="str">
        <f t="shared" si="4"/>
        <v/>
      </c>
      <c r="J325" s="5" t="str">
        <f t="shared" si="5"/>
        <v/>
      </c>
      <c r="K325" s="5" t="str">
        <f>IFERROR(__xludf.DUMMYFUNCTION("IF(C325&lt;&gt;"""",HYPERLINK(""https://wa.me/507""&amp;REGEXREPLACE(C325,""[^0-9]"","""")&amp;""?text=""&amp;ENCODEURL(""Ya llegue. Codigo: ""&amp;A325&amp;"". Ubicacion: ""&amp;""https://www.google.com/maps/search/?api=1&amp;query=""&amp;SUBSTITUTE(F325,"" "","""")),""📲 Avisar al cliente"""&amp;"),"""")"),"")</f>
        <v/>
      </c>
      <c r="L325" s="5" t="str">
        <f>IFERROR(__xludf.DUMMYFUNCTION("IF(C325&lt;&gt;"""",""https://api.qrserver.com/v1/create-qr-code/?size=200x200&amp;data=""&amp;ENCODEURL(""https://wa.me/507""&amp;REGEXREPLACE(C325,""[^0-9]"","""")&amp;""?text=""&amp;ENCODEURL(""Ya llegue. Codigo: ""&amp;A325&amp;"". Ubicacion: ""&amp;""https://www.google.com/maps/search/?a"&amp;"pi=1&amp;query=""&amp;SUBSTITUTE(F325,"" "",""""))),"""")"),"")</f>
        <v/>
      </c>
      <c r="M325" s="5" t="str">
        <f t="shared" si="6"/>
        <v/>
      </c>
      <c r="N325" s="5" t="str">
        <f>IFERROR(__xludf.DUMMYFUNCTION("IF(AND(F325&lt;&gt;"""",REGEXMATCH(SUBSTITUTE(F325,"" "",""""),""^-?\d+(\.\d+)?,-?\d+(\.\d+)?$""),VALUE(REGEXEXTRACT(SUBSTITUTE(F325,"" "",""""),""^-?\d+(\.\d+)?""))&gt;=-90,VALUE(REGEXEXTRACT(SUBSTITUTE(F325,"" "",""""),""^-?\d+(\.\d+)?""))&lt;=90,VALUE(REGEXEXTRACT"&amp;"(SUBSTITUTE(F325,"" "",""""),""-?\d+(\.\d+)?$""))&gt;=-180,VALUE(REGEXEXTRACT(SUBSTITUTE(F325,"" "",""""),""-?\d+(\.\d+)?$""))&lt;=180),""OK"",""REVISAR"")"),"#N/A")</f>
        <v>#N/A</v>
      </c>
    </row>
    <row r="326" ht="15.75" customHeight="1">
      <c r="A326" s="5" t="str">
        <f t="shared" si="1"/>
        <v>AD507-0324</v>
      </c>
      <c r="C326" s="5"/>
      <c r="F326" s="5"/>
      <c r="G326" s="5" t="str">
        <f t="shared" si="2"/>
        <v/>
      </c>
      <c r="H326" s="5" t="str">
        <f t="shared" si="3"/>
        <v/>
      </c>
      <c r="I326" s="5" t="str">
        <f t="shared" si="4"/>
        <v/>
      </c>
      <c r="J326" s="5" t="str">
        <f t="shared" si="5"/>
        <v/>
      </c>
      <c r="K326" s="5" t="str">
        <f>IFERROR(__xludf.DUMMYFUNCTION("IF(C326&lt;&gt;"""",HYPERLINK(""https://wa.me/507""&amp;REGEXREPLACE(C326,""[^0-9]"","""")&amp;""?text=""&amp;ENCODEURL(""Ya llegue. Codigo: ""&amp;A326&amp;"". Ubicacion: ""&amp;""https://www.google.com/maps/search/?api=1&amp;query=""&amp;SUBSTITUTE(F326,"" "","""")),""📲 Avisar al cliente"""&amp;"),"""")"),"")</f>
        <v/>
      </c>
      <c r="L326" s="5" t="str">
        <f>IFERROR(__xludf.DUMMYFUNCTION("IF(C326&lt;&gt;"""",""https://api.qrserver.com/v1/create-qr-code/?size=200x200&amp;data=""&amp;ENCODEURL(""https://wa.me/507""&amp;REGEXREPLACE(C326,""[^0-9]"","""")&amp;""?text=""&amp;ENCODEURL(""Ya llegue. Codigo: ""&amp;A326&amp;"". Ubicacion: ""&amp;""https://www.google.com/maps/search/?a"&amp;"pi=1&amp;query=""&amp;SUBSTITUTE(F326,"" "",""""))),"""")"),"")</f>
        <v/>
      </c>
      <c r="M326" s="5" t="str">
        <f t="shared" si="6"/>
        <v/>
      </c>
      <c r="N326" s="5" t="str">
        <f>IFERROR(__xludf.DUMMYFUNCTION("IF(AND(F326&lt;&gt;"""",REGEXMATCH(SUBSTITUTE(F326,"" "",""""),""^-?\d+(\.\d+)?,-?\d+(\.\d+)?$""),VALUE(REGEXEXTRACT(SUBSTITUTE(F326,"" "",""""),""^-?\d+(\.\d+)?""))&gt;=-90,VALUE(REGEXEXTRACT(SUBSTITUTE(F326,"" "",""""),""^-?\d+(\.\d+)?""))&lt;=90,VALUE(REGEXEXTRACT"&amp;"(SUBSTITUTE(F326,"" "",""""),""-?\d+(\.\d+)?$""))&gt;=-180,VALUE(REGEXEXTRACT(SUBSTITUTE(F326,"" "",""""),""-?\d+(\.\d+)?$""))&lt;=180),""OK"",""REVISAR"")"),"#N/A")</f>
        <v>#N/A</v>
      </c>
    </row>
    <row r="327" ht="15.75" customHeight="1">
      <c r="A327" s="5" t="str">
        <f t="shared" si="1"/>
        <v>AD507-0325</v>
      </c>
      <c r="C327" s="5"/>
      <c r="F327" s="5"/>
      <c r="G327" s="5" t="str">
        <f t="shared" si="2"/>
        <v/>
      </c>
      <c r="H327" s="5" t="str">
        <f t="shared" si="3"/>
        <v/>
      </c>
      <c r="I327" s="5" t="str">
        <f t="shared" si="4"/>
        <v/>
      </c>
      <c r="J327" s="5" t="str">
        <f t="shared" si="5"/>
        <v/>
      </c>
      <c r="K327" s="5" t="str">
        <f>IFERROR(__xludf.DUMMYFUNCTION("IF(C327&lt;&gt;"""",HYPERLINK(""https://wa.me/507""&amp;REGEXREPLACE(C327,""[^0-9]"","""")&amp;""?text=""&amp;ENCODEURL(""Ya llegue. Codigo: ""&amp;A327&amp;"". Ubicacion: ""&amp;""https://www.google.com/maps/search/?api=1&amp;query=""&amp;SUBSTITUTE(F327,"" "","""")),""📲 Avisar al cliente"""&amp;"),"""")"),"")</f>
        <v/>
      </c>
      <c r="L327" s="5" t="str">
        <f>IFERROR(__xludf.DUMMYFUNCTION("IF(C327&lt;&gt;"""",""https://api.qrserver.com/v1/create-qr-code/?size=200x200&amp;data=""&amp;ENCODEURL(""https://wa.me/507""&amp;REGEXREPLACE(C327,""[^0-9]"","""")&amp;""?text=""&amp;ENCODEURL(""Ya llegue. Codigo: ""&amp;A327&amp;"". Ubicacion: ""&amp;""https://www.google.com/maps/search/?a"&amp;"pi=1&amp;query=""&amp;SUBSTITUTE(F327,"" "",""""))),"""")"),"")</f>
        <v/>
      </c>
      <c r="M327" s="5" t="str">
        <f t="shared" si="6"/>
        <v/>
      </c>
      <c r="N327" s="5" t="str">
        <f>IFERROR(__xludf.DUMMYFUNCTION("IF(AND(F327&lt;&gt;"""",REGEXMATCH(SUBSTITUTE(F327,"" "",""""),""^-?\d+(\.\d+)?,-?\d+(\.\d+)?$""),VALUE(REGEXEXTRACT(SUBSTITUTE(F327,"" "",""""),""^-?\d+(\.\d+)?""))&gt;=-90,VALUE(REGEXEXTRACT(SUBSTITUTE(F327,"" "",""""),""^-?\d+(\.\d+)?""))&lt;=90,VALUE(REGEXEXTRACT"&amp;"(SUBSTITUTE(F327,"" "",""""),""-?\d+(\.\d+)?$""))&gt;=-180,VALUE(REGEXEXTRACT(SUBSTITUTE(F327,"" "",""""),""-?\d+(\.\d+)?$""))&lt;=180),""OK"",""REVISAR"")"),"#N/A")</f>
        <v>#N/A</v>
      </c>
    </row>
    <row r="328" ht="15.75" customHeight="1">
      <c r="A328" s="5" t="str">
        <f t="shared" si="1"/>
        <v>AD507-0326</v>
      </c>
      <c r="C328" s="5"/>
      <c r="F328" s="5"/>
      <c r="G328" s="5" t="str">
        <f t="shared" si="2"/>
        <v/>
      </c>
      <c r="H328" s="5" t="str">
        <f t="shared" si="3"/>
        <v/>
      </c>
      <c r="I328" s="5" t="str">
        <f t="shared" si="4"/>
        <v/>
      </c>
      <c r="J328" s="5" t="str">
        <f t="shared" si="5"/>
        <v/>
      </c>
      <c r="K328" s="5" t="str">
        <f>IFERROR(__xludf.DUMMYFUNCTION("IF(C328&lt;&gt;"""",HYPERLINK(""https://wa.me/507""&amp;REGEXREPLACE(C328,""[^0-9]"","""")&amp;""?text=""&amp;ENCODEURL(""Ya llegue. Codigo: ""&amp;A328&amp;"". Ubicacion: ""&amp;""https://www.google.com/maps/search/?api=1&amp;query=""&amp;SUBSTITUTE(F328,"" "","""")),""📲 Avisar al cliente"""&amp;"),"""")"),"")</f>
        <v/>
      </c>
      <c r="L328" s="5" t="str">
        <f>IFERROR(__xludf.DUMMYFUNCTION("IF(C328&lt;&gt;"""",""https://api.qrserver.com/v1/create-qr-code/?size=200x200&amp;data=""&amp;ENCODEURL(""https://wa.me/507""&amp;REGEXREPLACE(C328,""[^0-9]"","""")&amp;""?text=""&amp;ENCODEURL(""Ya llegue. Codigo: ""&amp;A328&amp;"". Ubicacion: ""&amp;""https://www.google.com/maps/search/?a"&amp;"pi=1&amp;query=""&amp;SUBSTITUTE(F328,"" "",""""))),"""")"),"")</f>
        <v/>
      </c>
      <c r="M328" s="5" t="str">
        <f t="shared" si="6"/>
        <v/>
      </c>
      <c r="N328" s="5" t="str">
        <f>IFERROR(__xludf.DUMMYFUNCTION("IF(AND(F328&lt;&gt;"""",REGEXMATCH(SUBSTITUTE(F328,"" "",""""),""^-?\d+(\.\d+)?,-?\d+(\.\d+)?$""),VALUE(REGEXEXTRACT(SUBSTITUTE(F328,"" "",""""),""^-?\d+(\.\d+)?""))&gt;=-90,VALUE(REGEXEXTRACT(SUBSTITUTE(F328,"" "",""""),""^-?\d+(\.\d+)?""))&lt;=90,VALUE(REGEXEXTRACT"&amp;"(SUBSTITUTE(F328,"" "",""""),""-?\d+(\.\d+)?$""))&gt;=-180,VALUE(REGEXEXTRACT(SUBSTITUTE(F328,"" "",""""),""-?\d+(\.\d+)?$""))&lt;=180),""OK"",""REVISAR"")"),"#N/A")</f>
        <v>#N/A</v>
      </c>
    </row>
    <row r="329" ht="15.75" customHeight="1">
      <c r="A329" s="5" t="str">
        <f t="shared" si="1"/>
        <v>AD507-0327</v>
      </c>
      <c r="C329" s="5"/>
      <c r="F329" s="5"/>
      <c r="G329" s="5" t="str">
        <f t="shared" si="2"/>
        <v/>
      </c>
      <c r="H329" s="5" t="str">
        <f t="shared" si="3"/>
        <v/>
      </c>
      <c r="I329" s="5" t="str">
        <f t="shared" si="4"/>
        <v/>
      </c>
      <c r="J329" s="5" t="str">
        <f t="shared" si="5"/>
        <v/>
      </c>
      <c r="K329" s="5" t="str">
        <f>IFERROR(__xludf.DUMMYFUNCTION("IF(C329&lt;&gt;"""",HYPERLINK(""https://wa.me/507""&amp;REGEXREPLACE(C329,""[^0-9]"","""")&amp;""?text=""&amp;ENCODEURL(""Ya llegue. Codigo: ""&amp;A329&amp;"". Ubicacion: ""&amp;""https://www.google.com/maps/search/?api=1&amp;query=""&amp;SUBSTITUTE(F329,"" "","""")),""📲 Avisar al cliente"""&amp;"),"""")"),"")</f>
        <v/>
      </c>
      <c r="L329" s="5" t="str">
        <f>IFERROR(__xludf.DUMMYFUNCTION("IF(C329&lt;&gt;"""",""https://api.qrserver.com/v1/create-qr-code/?size=200x200&amp;data=""&amp;ENCODEURL(""https://wa.me/507""&amp;REGEXREPLACE(C329,""[^0-9]"","""")&amp;""?text=""&amp;ENCODEURL(""Ya llegue. Codigo: ""&amp;A329&amp;"". Ubicacion: ""&amp;""https://www.google.com/maps/search/?a"&amp;"pi=1&amp;query=""&amp;SUBSTITUTE(F329,"" "",""""))),"""")"),"")</f>
        <v/>
      </c>
      <c r="M329" s="5" t="str">
        <f t="shared" si="6"/>
        <v/>
      </c>
      <c r="N329" s="5" t="str">
        <f>IFERROR(__xludf.DUMMYFUNCTION("IF(AND(F329&lt;&gt;"""",REGEXMATCH(SUBSTITUTE(F329,"" "",""""),""^-?\d+(\.\d+)?,-?\d+(\.\d+)?$""),VALUE(REGEXEXTRACT(SUBSTITUTE(F329,"" "",""""),""^-?\d+(\.\d+)?""))&gt;=-90,VALUE(REGEXEXTRACT(SUBSTITUTE(F329,"" "",""""),""^-?\d+(\.\d+)?""))&lt;=90,VALUE(REGEXEXTRACT"&amp;"(SUBSTITUTE(F329,"" "",""""),""-?\d+(\.\d+)?$""))&gt;=-180,VALUE(REGEXEXTRACT(SUBSTITUTE(F329,"" "",""""),""-?\d+(\.\d+)?$""))&lt;=180),""OK"",""REVISAR"")"),"#N/A")</f>
        <v>#N/A</v>
      </c>
    </row>
    <row r="330" ht="15.75" customHeight="1">
      <c r="A330" s="5" t="str">
        <f t="shared" si="1"/>
        <v>AD507-0328</v>
      </c>
      <c r="C330" s="5"/>
      <c r="F330" s="5"/>
      <c r="G330" s="5" t="str">
        <f t="shared" si="2"/>
        <v/>
      </c>
      <c r="H330" s="5" t="str">
        <f t="shared" si="3"/>
        <v/>
      </c>
      <c r="I330" s="5" t="str">
        <f t="shared" si="4"/>
        <v/>
      </c>
      <c r="J330" s="5" t="str">
        <f t="shared" si="5"/>
        <v/>
      </c>
      <c r="K330" s="5" t="str">
        <f>IFERROR(__xludf.DUMMYFUNCTION("IF(C330&lt;&gt;"""",HYPERLINK(""https://wa.me/507""&amp;REGEXREPLACE(C330,""[^0-9]"","""")&amp;""?text=""&amp;ENCODEURL(""Ya llegue. Codigo: ""&amp;A330&amp;"". Ubicacion: ""&amp;""https://www.google.com/maps/search/?api=1&amp;query=""&amp;SUBSTITUTE(F330,"" "","""")),""📲 Avisar al cliente"""&amp;"),"""")"),"")</f>
        <v/>
      </c>
      <c r="L330" s="5" t="str">
        <f>IFERROR(__xludf.DUMMYFUNCTION("IF(C330&lt;&gt;"""",""https://api.qrserver.com/v1/create-qr-code/?size=200x200&amp;data=""&amp;ENCODEURL(""https://wa.me/507""&amp;REGEXREPLACE(C330,""[^0-9]"","""")&amp;""?text=""&amp;ENCODEURL(""Ya llegue. Codigo: ""&amp;A330&amp;"". Ubicacion: ""&amp;""https://www.google.com/maps/search/?a"&amp;"pi=1&amp;query=""&amp;SUBSTITUTE(F330,"" "",""""))),"""")"),"")</f>
        <v/>
      </c>
      <c r="M330" s="5" t="str">
        <f t="shared" si="6"/>
        <v/>
      </c>
      <c r="N330" s="5" t="str">
        <f>IFERROR(__xludf.DUMMYFUNCTION("IF(AND(F330&lt;&gt;"""",REGEXMATCH(SUBSTITUTE(F330,"" "",""""),""^-?\d+(\.\d+)?,-?\d+(\.\d+)?$""),VALUE(REGEXEXTRACT(SUBSTITUTE(F330,"" "",""""),""^-?\d+(\.\d+)?""))&gt;=-90,VALUE(REGEXEXTRACT(SUBSTITUTE(F330,"" "",""""),""^-?\d+(\.\d+)?""))&lt;=90,VALUE(REGEXEXTRACT"&amp;"(SUBSTITUTE(F330,"" "",""""),""-?\d+(\.\d+)?$""))&gt;=-180,VALUE(REGEXEXTRACT(SUBSTITUTE(F330,"" "",""""),""-?\d+(\.\d+)?$""))&lt;=180),""OK"",""REVISAR"")"),"#N/A")</f>
        <v>#N/A</v>
      </c>
    </row>
    <row r="331" ht="15.75" customHeight="1">
      <c r="A331" s="5" t="str">
        <f t="shared" si="1"/>
        <v>AD507-0329</v>
      </c>
      <c r="C331" s="5"/>
      <c r="F331" s="5"/>
      <c r="G331" s="5" t="str">
        <f t="shared" si="2"/>
        <v/>
      </c>
      <c r="H331" s="5" t="str">
        <f t="shared" si="3"/>
        <v/>
      </c>
      <c r="I331" s="5" t="str">
        <f t="shared" si="4"/>
        <v/>
      </c>
      <c r="J331" s="5" t="str">
        <f t="shared" si="5"/>
        <v/>
      </c>
      <c r="K331" s="5" t="str">
        <f>IFERROR(__xludf.DUMMYFUNCTION("IF(C331&lt;&gt;"""",HYPERLINK(""https://wa.me/507""&amp;REGEXREPLACE(C331,""[^0-9]"","""")&amp;""?text=""&amp;ENCODEURL(""Ya llegue. Codigo: ""&amp;A331&amp;"". Ubicacion: ""&amp;""https://www.google.com/maps/search/?api=1&amp;query=""&amp;SUBSTITUTE(F331,"" "","""")),""📲 Avisar al cliente"""&amp;"),"""")"),"")</f>
        <v/>
      </c>
      <c r="L331" s="5" t="str">
        <f>IFERROR(__xludf.DUMMYFUNCTION("IF(C331&lt;&gt;"""",""https://api.qrserver.com/v1/create-qr-code/?size=200x200&amp;data=""&amp;ENCODEURL(""https://wa.me/507""&amp;REGEXREPLACE(C331,""[^0-9]"","""")&amp;""?text=""&amp;ENCODEURL(""Ya llegue. Codigo: ""&amp;A331&amp;"". Ubicacion: ""&amp;""https://www.google.com/maps/search/?a"&amp;"pi=1&amp;query=""&amp;SUBSTITUTE(F331,"" "",""""))),"""")"),"")</f>
        <v/>
      </c>
      <c r="M331" s="5" t="str">
        <f t="shared" si="6"/>
        <v/>
      </c>
      <c r="N331" s="5" t="str">
        <f>IFERROR(__xludf.DUMMYFUNCTION("IF(AND(F331&lt;&gt;"""",REGEXMATCH(SUBSTITUTE(F331,"" "",""""),""^-?\d+(\.\d+)?,-?\d+(\.\d+)?$""),VALUE(REGEXEXTRACT(SUBSTITUTE(F331,"" "",""""),""^-?\d+(\.\d+)?""))&gt;=-90,VALUE(REGEXEXTRACT(SUBSTITUTE(F331,"" "",""""),""^-?\d+(\.\d+)?""))&lt;=90,VALUE(REGEXEXTRACT"&amp;"(SUBSTITUTE(F331,"" "",""""),""-?\d+(\.\d+)?$""))&gt;=-180,VALUE(REGEXEXTRACT(SUBSTITUTE(F331,"" "",""""),""-?\d+(\.\d+)?$""))&lt;=180),""OK"",""REVISAR"")"),"#N/A")</f>
        <v>#N/A</v>
      </c>
    </row>
    <row r="332" ht="15.75" customHeight="1">
      <c r="A332" s="5" t="str">
        <f t="shared" si="1"/>
        <v>AD507-0330</v>
      </c>
      <c r="C332" s="5"/>
      <c r="F332" s="5"/>
      <c r="G332" s="5" t="str">
        <f t="shared" si="2"/>
        <v/>
      </c>
      <c r="H332" s="5" t="str">
        <f t="shared" si="3"/>
        <v/>
      </c>
      <c r="I332" s="5" t="str">
        <f t="shared" si="4"/>
        <v/>
      </c>
      <c r="J332" s="5" t="str">
        <f t="shared" si="5"/>
        <v/>
      </c>
      <c r="K332" s="5" t="str">
        <f>IFERROR(__xludf.DUMMYFUNCTION("IF(C332&lt;&gt;"""",HYPERLINK(""https://wa.me/507""&amp;REGEXREPLACE(C332,""[^0-9]"","""")&amp;""?text=""&amp;ENCODEURL(""Ya llegue. Codigo: ""&amp;A332&amp;"". Ubicacion: ""&amp;""https://www.google.com/maps/search/?api=1&amp;query=""&amp;SUBSTITUTE(F332,"" "","""")),""📲 Avisar al cliente"""&amp;"),"""")"),"")</f>
        <v/>
      </c>
      <c r="L332" s="5" t="str">
        <f>IFERROR(__xludf.DUMMYFUNCTION("IF(C332&lt;&gt;"""",""https://api.qrserver.com/v1/create-qr-code/?size=200x200&amp;data=""&amp;ENCODEURL(""https://wa.me/507""&amp;REGEXREPLACE(C332,""[^0-9]"","""")&amp;""?text=""&amp;ENCODEURL(""Ya llegue. Codigo: ""&amp;A332&amp;"". Ubicacion: ""&amp;""https://www.google.com/maps/search/?a"&amp;"pi=1&amp;query=""&amp;SUBSTITUTE(F332,"" "",""""))),"""")"),"")</f>
        <v/>
      </c>
      <c r="M332" s="5" t="str">
        <f t="shared" si="6"/>
        <v/>
      </c>
      <c r="N332" s="5" t="str">
        <f>IFERROR(__xludf.DUMMYFUNCTION("IF(AND(F332&lt;&gt;"""",REGEXMATCH(SUBSTITUTE(F332,"" "",""""),""^-?\d+(\.\d+)?,-?\d+(\.\d+)?$""),VALUE(REGEXEXTRACT(SUBSTITUTE(F332,"" "",""""),""^-?\d+(\.\d+)?""))&gt;=-90,VALUE(REGEXEXTRACT(SUBSTITUTE(F332,"" "",""""),""^-?\d+(\.\d+)?""))&lt;=90,VALUE(REGEXEXTRACT"&amp;"(SUBSTITUTE(F332,"" "",""""),""-?\d+(\.\d+)?$""))&gt;=-180,VALUE(REGEXEXTRACT(SUBSTITUTE(F332,"" "",""""),""-?\d+(\.\d+)?$""))&lt;=180),""OK"",""REVISAR"")"),"#N/A")</f>
        <v>#N/A</v>
      </c>
    </row>
    <row r="333" ht="15.75" customHeight="1">
      <c r="A333" s="5" t="str">
        <f t="shared" si="1"/>
        <v>AD507-0331</v>
      </c>
      <c r="C333" s="5"/>
      <c r="F333" s="5"/>
      <c r="G333" s="5" t="str">
        <f t="shared" si="2"/>
        <v/>
      </c>
      <c r="H333" s="5" t="str">
        <f t="shared" si="3"/>
        <v/>
      </c>
      <c r="I333" s="5" t="str">
        <f t="shared" si="4"/>
        <v/>
      </c>
      <c r="J333" s="5" t="str">
        <f t="shared" si="5"/>
        <v/>
      </c>
      <c r="K333" s="5" t="str">
        <f>IFERROR(__xludf.DUMMYFUNCTION("IF(C333&lt;&gt;"""",HYPERLINK(""https://wa.me/507""&amp;REGEXREPLACE(C333,""[^0-9]"","""")&amp;""?text=""&amp;ENCODEURL(""Ya llegue. Codigo: ""&amp;A333&amp;"". Ubicacion: ""&amp;""https://www.google.com/maps/search/?api=1&amp;query=""&amp;SUBSTITUTE(F333,"" "","""")),""📲 Avisar al cliente"""&amp;"),"""")"),"")</f>
        <v/>
      </c>
      <c r="L333" s="5" t="str">
        <f>IFERROR(__xludf.DUMMYFUNCTION("IF(C333&lt;&gt;"""",""https://api.qrserver.com/v1/create-qr-code/?size=200x200&amp;data=""&amp;ENCODEURL(""https://wa.me/507""&amp;REGEXREPLACE(C333,""[^0-9]"","""")&amp;""?text=""&amp;ENCODEURL(""Ya llegue. Codigo: ""&amp;A333&amp;"". Ubicacion: ""&amp;""https://www.google.com/maps/search/?a"&amp;"pi=1&amp;query=""&amp;SUBSTITUTE(F333,"" "",""""))),"""")"),"")</f>
        <v/>
      </c>
      <c r="M333" s="5" t="str">
        <f t="shared" si="6"/>
        <v/>
      </c>
      <c r="N333" s="5" t="str">
        <f>IFERROR(__xludf.DUMMYFUNCTION("IF(AND(F333&lt;&gt;"""",REGEXMATCH(SUBSTITUTE(F333,"" "",""""),""^-?\d+(\.\d+)?,-?\d+(\.\d+)?$""),VALUE(REGEXEXTRACT(SUBSTITUTE(F333,"" "",""""),""^-?\d+(\.\d+)?""))&gt;=-90,VALUE(REGEXEXTRACT(SUBSTITUTE(F333,"" "",""""),""^-?\d+(\.\d+)?""))&lt;=90,VALUE(REGEXEXTRACT"&amp;"(SUBSTITUTE(F333,"" "",""""),""-?\d+(\.\d+)?$""))&gt;=-180,VALUE(REGEXEXTRACT(SUBSTITUTE(F333,"" "",""""),""-?\d+(\.\d+)?$""))&lt;=180),""OK"",""REVISAR"")"),"#N/A")</f>
        <v>#N/A</v>
      </c>
    </row>
    <row r="334" ht="15.75" customHeight="1">
      <c r="A334" s="5" t="str">
        <f t="shared" si="1"/>
        <v>AD507-0332</v>
      </c>
      <c r="C334" s="5"/>
      <c r="F334" s="5"/>
      <c r="G334" s="5" t="str">
        <f t="shared" si="2"/>
        <v/>
      </c>
      <c r="H334" s="5" t="str">
        <f t="shared" si="3"/>
        <v/>
      </c>
      <c r="I334" s="5" t="str">
        <f t="shared" si="4"/>
        <v/>
      </c>
      <c r="J334" s="5" t="str">
        <f t="shared" si="5"/>
        <v/>
      </c>
      <c r="K334" s="5" t="str">
        <f>IFERROR(__xludf.DUMMYFUNCTION("IF(C334&lt;&gt;"""",HYPERLINK(""https://wa.me/507""&amp;REGEXREPLACE(C334,""[^0-9]"","""")&amp;""?text=""&amp;ENCODEURL(""Ya llegue. Codigo: ""&amp;A334&amp;"". Ubicacion: ""&amp;""https://www.google.com/maps/search/?api=1&amp;query=""&amp;SUBSTITUTE(F334,"" "","""")),""📲 Avisar al cliente"""&amp;"),"""")"),"")</f>
        <v/>
      </c>
      <c r="L334" s="5" t="str">
        <f>IFERROR(__xludf.DUMMYFUNCTION("IF(C334&lt;&gt;"""",""https://api.qrserver.com/v1/create-qr-code/?size=200x200&amp;data=""&amp;ENCODEURL(""https://wa.me/507""&amp;REGEXREPLACE(C334,""[^0-9]"","""")&amp;""?text=""&amp;ENCODEURL(""Ya llegue. Codigo: ""&amp;A334&amp;"". Ubicacion: ""&amp;""https://www.google.com/maps/search/?a"&amp;"pi=1&amp;query=""&amp;SUBSTITUTE(F334,"" "",""""))),"""")"),"")</f>
        <v/>
      </c>
      <c r="M334" s="5" t="str">
        <f t="shared" si="6"/>
        <v/>
      </c>
      <c r="N334" s="5" t="str">
        <f>IFERROR(__xludf.DUMMYFUNCTION("IF(AND(F334&lt;&gt;"""",REGEXMATCH(SUBSTITUTE(F334,"" "",""""),""^-?\d+(\.\d+)?,-?\d+(\.\d+)?$""),VALUE(REGEXEXTRACT(SUBSTITUTE(F334,"" "",""""),""^-?\d+(\.\d+)?""))&gt;=-90,VALUE(REGEXEXTRACT(SUBSTITUTE(F334,"" "",""""),""^-?\d+(\.\d+)?""))&lt;=90,VALUE(REGEXEXTRACT"&amp;"(SUBSTITUTE(F334,"" "",""""),""-?\d+(\.\d+)?$""))&gt;=-180,VALUE(REGEXEXTRACT(SUBSTITUTE(F334,"" "",""""),""-?\d+(\.\d+)?$""))&lt;=180),""OK"",""REVISAR"")"),"#N/A")</f>
        <v>#N/A</v>
      </c>
    </row>
    <row r="335" ht="15.75" customHeight="1">
      <c r="A335" s="5" t="str">
        <f t="shared" si="1"/>
        <v>AD507-0333</v>
      </c>
      <c r="C335" s="5"/>
      <c r="F335" s="5"/>
      <c r="G335" s="5" t="str">
        <f t="shared" si="2"/>
        <v/>
      </c>
      <c r="H335" s="5" t="str">
        <f t="shared" si="3"/>
        <v/>
      </c>
      <c r="I335" s="5" t="str">
        <f t="shared" si="4"/>
        <v/>
      </c>
      <c r="J335" s="5" t="str">
        <f t="shared" si="5"/>
        <v/>
      </c>
      <c r="K335" s="5" t="str">
        <f>IFERROR(__xludf.DUMMYFUNCTION("IF(C335&lt;&gt;"""",HYPERLINK(""https://wa.me/507""&amp;REGEXREPLACE(C335,""[^0-9]"","""")&amp;""?text=""&amp;ENCODEURL(""Ya llegue. Codigo: ""&amp;A335&amp;"". Ubicacion: ""&amp;""https://www.google.com/maps/search/?api=1&amp;query=""&amp;SUBSTITUTE(F335,"" "","""")),""📲 Avisar al cliente"""&amp;"),"""")"),"")</f>
        <v/>
      </c>
      <c r="L335" s="5" t="str">
        <f>IFERROR(__xludf.DUMMYFUNCTION("IF(C335&lt;&gt;"""",""https://api.qrserver.com/v1/create-qr-code/?size=200x200&amp;data=""&amp;ENCODEURL(""https://wa.me/507""&amp;REGEXREPLACE(C335,""[^0-9]"","""")&amp;""?text=""&amp;ENCODEURL(""Ya llegue. Codigo: ""&amp;A335&amp;"". Ubicacion: ""&amp;""https://www.google.com/maps/search/?a"&amp;"pi=1&amp;query=""&amp;SUBSTITUTE(F335,"" "",""""))),"""")"),"")</f>
        <v/>
      </c>
      <c r="M335" s="5" t="str">
        <f t="shared" si="6"/>
        <v/>
      </c>
      <c r="N335" s="5" t="str">
        <f>IFERROR(__xludf.DUMMYFUNCTION("IF(AND(F335&lt;&gt;"""",REGEXMATCH(SUBSTITUTE(F335,"" "",""""),""^-?\d+(\.\d+)?,-?\d+(\.\d+)?$""),VALUE(REGEXEXTRACT(SUBSTITUTE(F335,"" "",""""),""^-?\d+(\.\d+)?""))&gt;=-90,VALUE(REGEXEXTRACT(SUBSTITUTE(F335,"" "",""""),""^-?\d+(\.\d+)?""))&lt;=90,VALUE(REGEXEXTRACT"&amp;"(SUBSTITUTE(F335,"" "",""""),""-?\d+(\.\d+)?$""))&gt;=-180,VALUE(REGEXEXTRACT(SUBSTITUTE(F335,"" "",""""),""-?\d+(\.\d+)?$""))&lt;=180),""OK"",""REVISAR"")"),"#N/A")</f>
        <v>#N/A</v>
      </c>
    </row>
    <row r="336" ht="15.75" customHeight="1">
      <c r="A336" s="5" t="str">
        <f t="shared" si="1"/>
        <v>AD507-0334</v>
      </c>
      <c r="C336" s="5"/>
      <c r="F336" s="5"/>
      <c r="G336" s="5" t="str">
        <f t="shared" si="2"/>
        <v/>
      </c>
      <c r="H336" s="5" t="str">
        <f t="shared" si="3"/>
        <v/>
      </c>
      <c r="I336" s="5" t="str">
        <f t="shared" si="4"/>
        <v/>
      </c>
      <c r="J336" s="5" t="str">
        <f t="shared" si="5"/>
        <v/>
      </c>
      <c r="K336" s="5" t="str">
        <f>IFERROR(__xludf.DUMMYFUNCTION("IF(C336&lt;&gt;"""",HYPERLINK(""https://wa.me/507""&amp;REGEXREPLACE(C336,""[^0-9]"","""")&amp;""?text=""&amp;ENCODEURL(""Ya llegue. Codigo: ""&amp;A336&amp;"". Ubicacion: ""&amp;""https://www.google.com/maps/search/?api=1&amp;query=""&amp;SUBSTITUTE(F336,"" "","""")),""📲 Avisar al cliente"""&amp;"),"""")"),"")</f>
        <v/>
      </c>
      <c r="L336" s="5" t="str">
        <f>IFERROR(__xludf.DUMMYFUNCTION("IF(C336&lt;&gt;"""",""https://api.qrserver.com/v1/create-qr-code/?size=200x200&amp;data=""&amp;ENCODEURL(""https://wa.me/507""&amp;REGEXREPLACE(C336,""[^0-9]"","""")&amp;""?text=""&amp;ENCODEURL(""Ya llegue. Codigo: ""&amp;A336&amp;"". Ubicacion: ""&amp;""https://www.google.com/maps/search/?a"&amp;"pi=1&amp;query=""&amp;SUBSTITUTE(F336,"" "",""""))),"""")"),"")</f>
        <v/>
      </c>
      <c r="M336" s="5" t="str">
        <f t="shared" si="6"/>
        <v/>
      </c>
      <c r="N336" s="5" t="str">
        <f>IFERROR(__xludf.DUMMYFUNCTION("IF(AND(F336&lt;&gt;"""",REGEXMATCH(SUBSTITUTE(F336,"" "",""""),""^-?\d+(\.\d+)?,-?\d+(\.\d+)?$""),VALUE(REGEXEXTRACT(SUBSTITUTE(F336,"" "",""""),""^-?\d+(\.\d+)?""))&gt;=-90,VALUE(REGEXEXTRACT(SUBSTITUTE(F336,"" "",""""),""^-?\d+(\.\d+)?""))&lt;=90,VALUE(REGEXEXTRACT"&amp;"(SUBSTITUTE(F336,"" "",""""),""-?\d+(\.\d+)?$""))&gt;=-180,VALUE(REGEXEXTRACT(SUBSTITUTE(F336,"" "",""""),""-?\d+(\.\d+)?$""))&lt;=180),""OK"",""REVISAR"")"),"#N/A")</f>
        <v>#N/A</v>
      </c>
    </row>
    <row r="337" ht="15.75" customHeight="1">
      <c r="A337" s="5" t="str">
        <f t="shared" si="1"/>
        <v>AD507-0335</v>
      </c>
      <c r="C337" s="5"/>
      <c r="F337" s="5"/>
      <c r="G337" s="5" t="str">
        <f t="shared" si="2"/>
        <v/>
      </c>
      <c r="H337" s="5" t="str">
        <f t="shared" si="3"/>
        <v/>
      </c>
      <c r="I337" s="5" t="str">
        <f t="shared" si="4"/>
        <v/>
      </c>
      <c r="J337" s="5" t="str">
        <f t="shared" si="5"/>
        <v/>
      </c>
      <c r="K337" s="5" t="str">
        <f>IFERROR(__xludf.DUMMYFUNCTION("IF(C337&lt;&gt;"""",HYPERLINK(""https://wa.me/507""&amp;REGEXREPLACE(C337,""[^0-9]"","""")&amp;""?text=""&amp;ENCODEURL(""Ya llegue. Codigo: ""&amp;A337&amp;"". Ubicacion: ""&amp;""https://www.google.com/maps/search/?api=1&amp;query=""&amp;SUBSTITUTE(F337,"" "","""")),""📲 Avisar al cliente"""&amp;"),"""")"),"")</f>
        <v/>
      </c>
      <c r="L337" s="5" t="str">
        <f>IFERROR(__xludf.DUMMYFUNCTION("IF(C337&lt;&gt;"""",""https://api.qrserver.com/v1/create-qr-code/?size=200x200&amp;data=""&amp;ENCODEURL(""https://wa.me/507""&amp;REGEXREPLACE(C337,""[^0-9]"","""")&amp;""?text=""&amp;ENCODEURL(""Ya llegue. Codigo: ""&amp;A337&amp;"". Ubicacion: ""&amp;""https://www.google.com/maps/search/?a"&amp;"pi=1&amp;query=""&amp;SUBSTITUTE(F337,"" "",""""))),"""")"),"")</f>
        <v/>
      </c>
      <c r="M337" s="5" t="str">
        <f t="shared" si="6"/>
        <v/>
      </c>
      <c r="N337" s="5" t="str">
        <f>IFERROR(__xludf.DUMMYFUNCTION("IF(AND(F337&lt;&gt;"""",REGEXMATCH(SUBSTITUTE(F337,"" "",""""),""^-?\d+(\.\d+)?,-?\d+(\.\d+)?$""),VALUE(REGEXEXTRACT(SUBSTITUTE(F337,"" "",""""),""^-?\d+(\.\d+)?""))&gt;=-90,VALUE(REGEXEXTRACT(SUBSTITUTE(F337,"" "",""""),""^-?\d+(\.\d+)?""))&lt;=90,VALUE(REGEXEXTRACT"&amp;"(SUBSTITUTE(F337,"" "",""""),""-?\d+(\.\d+)?$""))&gt;=-180,VALUE(REGEXEXTRACT(SUBSTITUTE(F337,"" "",""""),""-?\d+(\.\d+)?$""))&lt;=180),""OK"",""REVISAR"")"),"#N/A")</f>
        <v>#N/A</v>
      </c>
    </row>
    <row r="338" ht="15.75" customHeight="1">
      <c r="A338" s="5" t="str">
        <f t="shared" si="1"/>
        <v>AD507-0336</v>
      </c>
      <c r="C338" s="5"/>
      <c r="F338" s="5"/>
      <c r="G338" s="5" t="str">
        <f t="shared" si="2"/>
        <v/>
      </c>
      <c r="H338" s="5" t="str">
        <f t="shared" si="3"/>
        <v/>
      </c>
      <c r="I338" s="5" t="str">
        <f t="shared" si="4"/>
        <v/>
      </c>
      <c r="J338" s="5" t="str">
        <f t="shared" si="5"/>
        <v/>
      </c>
      <c r="K338" s="5" t="str">
        <f>IFERROR(__xludf.DUMMYFUNCTION("IF(C338&lt;&gt;"""",HYPERLINK(""https://wa.me/507""&amp;REGEXREPLACE(C338,""[^0-9]"","""")&amp;""?text=""&amp;ENCODEURL(""Ya llegue. Codigo: ""&amp;A338&amp;"". Ubicacion: ""&amp;""https://www.google.com/maps/search/?api=1&amp;query=""&amp;SUBSTITUTE(F338,"" "","""")),""📲 Avisar al cliente"""&amp;"),"""")"),"")</f>
        <v/>
      </c>
      <c r="L338" s="5" t="str">
        <f>IFERROR(__xludf.DUMMYFUNCTION("IF(C338&lt;&gt;"""",""https://api.qrserver.com/v1/create-qr-code/?size=200x200&amp;data=""&amp;ENCODEURL(""https://wa.me/507""&amp;REGEXREPLACE(C338,""[^0-9]"","""")&amp;""?text=""&amp;ENCODEURL(""Ya llegue. Codigo: ""&amp;A338&amp;"". Ubicacion: ""&amp;""https://www.google.com/maps/search/?a"&amp;"pi=1&amp;query=""&amp;SUBSTITUTE(F338,"" "",""""))),"""")"),"")</f>
        <v/>
      </c>
      <c r="M338" s="5" t="str">
        <f t="shared" si="6"/>
        <v/>
      </c>
      <c r="N338" s="5" t="str">
        <f>IFERROR(__xludf.DUMMYFUNCTION("IF(AND(F338&lt;&gt;"""",REGEXMATCH(SUBSTITUTE(F338,"" "",""""),""^-?\d+(\.\d+)?,-?\d+(\.\d+)?$""),VALUE(REGEXEXTRACT(SUBSTITUTE(F338,"" "",""""),""^-?\d+(\.\d+)?""))&gt;=-90,VALUE(REGEXEXTRACT(SUBSTITUTE(F338,"" "",""""),""^-?\d+(\.\d+)?""))&lt;=90,VALUE(REGEXEXTRACT"&amp;"(SUBSTITUTE(F338,"" "",""""),""-?\d+(\.\d+)?$""))&gt;=-180,VALUE(REGEXEXTRACT(SUBSTITUTE(F338,"" "",""""),""-?\d+(\.\d+)?$""))&lt;=180),""OK"",""REVISAR"")"),"#N/A")</f>
        <v>#N/A</v>
      </c>
    </row>
    <row r="339" ht="15.75" customHeight="1">
      <c r="A339" s="5" t="str">
        <f t="shared" si="1"/>
        <v>AD507-0337</v>
      </c>
      <c r="C339" s="5"/>
      <c r="F339" s="5"/>
      <c r="G339" s="5" t="str">
        <f t="shared" si="2"/>
        <v/>
      </c>
      <c r="H339" s="5" t="str">
        <f t="shared" si="3"/>
        <v/>
      </c>
      <c r="I339" s="5" t="str">
        <f t="shared" si="4"/>
        <v/>
      </c>
      <c r="J339" s="5" t="str">
        <f t="shared" si="5"/>
        <v/>
      </c>
      <c r="K339" s="5" t="str">
        <f>IFERROR(__xludf.DUMMYFUNCTION("IF(C339&lt;&gt;"""",HYPERLINK(""https://wa.me/507""&amp;REGEXREPLACE(C339,""[^0-9]"","""")&amp;""?text=""&amp;ENCODEURL(""Ya llegue. Codigo: ""&amp;A339&amp;"". Ubicacion: ""&amp;""https://www.google.com/maps/search/?api=1&amp;query=""&amp;SUBSTITUTE(F339,"" "","""")),""📲 Avisar al cliente"""&amp;"),"""")"),"")</f>
        <v/>
      </c>
      <c r="L339" s="5" t="str">
        <f>IFERROR(__xludf.DUMMYFUNCTION("IF(C339&lt;&gt;"""",""https://api.qrserver.com/v1/create-qr-code/?size=200x200&amp;data=""&amp;ENCODEURL(""https://wa.me/507""&amp;REGEXREPLACE(C339,""[^0-9]"","""")&amp;""?text=""&amp;ENCODEURL(""Ya llegue. Codigo: ""&amp;A339&amp;"". Ubicacion: ""&amp;""https://www.google.com/maps/search/?a"&amp;"pi=1&amp;query=""&amp;SUBSTITUTE(F339,"" "",""""))),"""")"),"")</f>
        <v/>
      </c>
      <c r="M339" s="5" t="str">
        <f t="shared" si="6"/>
        <v/>
      </c>
      <c r="N339" s="5" t="str">
        <f>IFERROR(__xludf.DUMMYFUNCTION("IF(AND(F339&lt;&gt;"""",REGEXMATCH(SUBSTITUTE(F339,"" "",""""),""^-?\d+(\.\d+)?,-?\d+(\.\d+)?$""),VALUE(REGEXEXTRACT(SUBSTITUTE(F339,"" "",""""),""^-?\d+(\.\d+)?""))&gt;=-90,VALUE(REGEXEXTRACT(SUBSTITUTE(F339,"" "",""""),""^-?\d+(\.\d+)?""))&lt;=90,VALUE(REGEXEXTRACT"&amp;"(SUBSTITUTE(F339,"" "",""""),""-?\d+(\.\d+)?$""))&gt;=-180,VALUE(REGEXEXTRACT(SUBSTITUTE(F339,"" "",""""),""-?\d+(\.\d+)?$""))&lt;=180),""OK"",""REVISAR"")"),"#N/A")</f>
        <v>#N/A</v>
      </c>
    </row>
    <row r="340" ht="15.75" customHeight="1">
      <c r="A340" s="5" t="str">
        <f t="shared" si="1"/>
        <v>AD507-0338</v>
      </c>
      <c r="C340" s="5"/>
      <c r="F340" s="5"/>
      <c r="G340" s="5" t="str">
        <f t="shared" si="2"/>
        <v/>
      </c>
      <c r="H340" s="5" t="str">
        <f t="shared" si="3"/>
        <v/>
      </c>
      <c r="I340" s="5" t="str">
        <f t="shared" si="4"/>
        <v/>
      </c>
      <c r="J340" s="5" t="str">
        <f t="shared" si="5"/>
        <v/>
      </c>
      <c r="K340" s="5" t="str">
        <f>IFERROR(__xludf.DUMMYFUNCTION("IF(C340&lt;&gt;"""",HYPERLINK(""https://wa.me/507""&amp;REGEXREPLACE(C340,""[^0-9]"","""")&amp;""?text=""&amp;ENCODEURL(""Ya llegue. Codigo: ""&amp;A340&amp;"". Ubicacion: ""&amp;""https://www.google.com/maps/search/?api=1&amp;query=""&amp;SUBSTITUTE(F340,"" "","""")),""📲 Avisar al cliente"""&amp;"),"""")"),"")</f>
        <v/>
      </c>
      <c r="L340" s="5" t="str">
        <f>IFERROR(__xludf.DUMMYFUNCTION("IF(C340&lt;&gt;"""",""https://api.qrserver.com/v1/create-qr-code/?size=200x200&amp;data=""&amp;ENCODEURL(""https://wa.me/507""&amp;REGEXREPLACE(C340,""[^0-9]"","""")&amp;""?text=""&amp;ENCODEURL(""Ya llegue. Codigo: ""&amp;A340&amp;"". Ubicacion: ""&amp;""https://www.google.com/maps/search/?a"&amp;"pi=1&amp;query=""&amp;SUBSTITUTE(F340,"" "",""""))),"""")"),"")</f>
        <v/>
      </c>
      <c r="M340" s="5" t="str">
        <f t="shared" si="6"/>
        <v/>
      </c>
      <c r="N340" s="5" t="str">
        <f>IFERROR(__xludf.DUMMYFUNCTION("IF(AND(F340&lt;&gt;"""",REGEXMATCH(SUBSTITUTE(F340,"" "",""""),""^-?\d+(\.\d+)?,-?\d+(\.\d+)?$""),VALUE(REGEXEXTRACT(SUBSTITUTE(F340,"" "",""""),""^-?\d+(\.\d+)?""))&gt;=-90,VALUE(REGEXEXTRACT(SUBSTITUTE(F340,"" "",""""),""^-?\d+(\.\d+)?""))&lt;=90,VALUE(REGEXEXTRACT"&amp;"(SUBSTITUTE(F340,"" "",""""),""-?\d+(\.\d+)?$""))&gt;=-180,VALUE(REGEXEXTRACT(SUBSTITUTE(F340,"" "",""""),""-?\d+(\.\d+)?$""))&lt;=180),""OK"",""REVISAR"")"),"#N/A")</f>
        <v>#N/A</v>
      </c>
    </row>
    <row r="341" ht="15.75" customHeight="1">
      <c r="A341" s="5" t="str">
        <f t="shared" si="1"/>
        <v>AD507-0339</v>
      </c>
      <c r="C341" s="5"/>
      <c r="F341" s="5"/>
      <c r="G341" s="5" t="str">
        <f t="shared" si="2"/>
        <v/>
      </c>
      <c r="H341" s="5" t="str">
        <f t="shared" si="3"/>
        <v/>
      </c>
      <c r="I341" s="5" t="str">
        <f t="shared" si="4"/>
        <v/>
      </c>
      <c r="J341" s="5" t="str">
        <f t="shared" si="5"/>
        <v/>
      </c>
      <c r="K341" s="5" t="str">
        <f>IFERROR(__xludf.DUMMYFUNCTION("IF(C341&lt;&gt;"""",HYPERLINK(""https://wa.me/507""&amp;REGEXREPLACE(C341,""[^0-9]"","""")&amp;""?text=""&amp;ENCODEURL(""Ya llegue. Codigo: ""&amp;A341&amp;"". Ubicacion: ""&amp;""https://www.google.com/maps/search/?api=1&amp;query=""&amp;SUBSTITUTE(F341,"" "","""")),""📲 Avisar al cliente"""&amp;"),"""")"),"")</f>
        <v/>
      </c>
      <c r="L341" s="5" t="str">
        <f>IFERROR(__xludf.DUMMYFUNCTION("IF(C341&lt;&gt;"""",""https://api.qrserver.com/v1/create-qr-code/?size=200x200&amp;data=""&amp;ENCODEURL(""https://wa.me/507""&amp;REGEXREPLACE(C341,""[^0-9]"","""")&amp;""?text=""&amp;ENCODEURL(""Ya llegue. Codigo: ""&amp;A341&amp;"". Ubicacion: ""&amp;""https://www.google.com/maps/search/?a"&amp;"pi=1&amp;query=""&amp;SUBSTITUTE(F341,"" "",""""))),"""")"),"")</f>
        <v/>
      </c>
      <c r="M341" s="5" t="str">
        <f t="shared" si="6"/>
        <v/>
      </c>
      <c r="N341" s="5" t="str">
        <f>IFERROR(__xludf.DUMMYFUNCTION("IF(AND(F341&lt;&gt;"""",REGEXMATCH(SUBSTITUTE(F341,"" "",""""),""^-?\d+(\.\d+)?,-?\d+(\.\d+)?$""),VALUE(REGEXEXTRACT(SUBSTITUTE(F341,"" "",""""),""^-?\d+(\.\d+)?""))&gt;=-90,VALUE(REGEXEXTRACT(SUBSTITUTE(F341,"" "",""""),""^-?\d+(\.\d+)?""))&lt;=90,VALUE(REGEXEXTRACT"&amp;"(SUBSTITUTE(F341,"" "",""""),""-?\d+(\.\d+)?$""))&gt;=-180,VALUE(REGEXEXTRACT(SUBSTITUTE(F341,"" "",""""),""-?\d+(\.\d+)?$""))&lt;=180),""OK"",""REVISAR"")"),"#N/A")</f>
        <v>#N/A</v>
      </c>
    </row>
    <row r="342" ht="15.75" customHeight="1">
      <c r="A342" s="5" t="str">
        <f t="shared" si="1"/>
        <v>AD507-0340</v>
      </c>
      <c r="C342" s="5"/>
      <c r="F342" s="5"/>
      <c r="G342" s="5" t="str">
        <f t="shared" si="2"/>
        <v/>
      </c>
      <c r="H342" s="5" t="str">
        <f t="shared" si="3"/>
        <v/>
      </c>
      <c r="I342" s="5" t="str">
        <f t="shared" si="4"/>
        <v/>
      </c>
      <c r="J342" s="5" t="str">
        <f t="shared" si="5"/>
        <v/>
      </c>
      <c r="K342" s="5" t="str">
        <f>IFERROR(__xludf.DUMMYFUNCTION("IF(C342&lt;&gt;"""",HYPERLINK(""https://wa.me/507""&amp;REGEXREPLACE(C342,""[^0-9]"","""")&amp;""?text=""&amp;ENCODEURL(""Ya llegue. Codigo: ""&amp;A342&amp;"". Ubicacion: ""&amp;""https://www.google.com/maps/search/?api=1&amp;query=""&amp;SUBSTITUTE(F342,"" "","""")),""📲 Avisar al cliente"""&amp;"),"""")"),"")</f>
        <v/>
      </c>
      <c r="L342" s="5" t="str">
        <f>IFERROR(__xludf.DUMMYFUNCTION("IF(C342&lt;&gt;"""",""https://api.qrserver.com/v1/create-qr-code/?size=200x200&amp;data=""&amp;ENCODEURL(""https://wa.me/507""&amp;REGEXREPLACE(C342,""[^0-9]"","""")&amp;""?text=""&amp;ENCODEURL(""Ya llegue. Codigo: ""&amp;A342&amp;"". Ubicacion: ""&amp;""https://www.google.com/maps/search/?a"&amp;"pi=1&amp;query=""&amp;SUBSTITUTE(F342,"" "",""""))),"""")"),"")</f>
        <v/>
      </c>
      <c r="M342" s="5" t="str">
        <f t="shared" si="6"/>
        <v/>
      </c>
      <c r="N342" s="5" t="str">
        <f>IFERROR(__xludf.DUMMYFUNCTION("IF(AND(F342&lt;&gt;"""",REGEXMATCH(SUBSTITUTE(F342,"" "",""""),""^-?\d+(\.\d+)?,-?\d+(\.\d+)?$""),VALUE(REGEXEXTRACT(SUBSTITUTE(F342,"" "",""""),""^-?\d+(\.\d+)?""))&gt;=-90,VALUE(REGEXEXTRACT(SUBSTITUTE(F342,"" "",""""),""^-?\d+(\.\d+)?""))&lt;=90,VALUE(REGEXEXTRACT"&amp;"(SUBSTITUTE(F342,"" "",""""),""-?\d+(\.\d+)?$""))&gt;=-180,VALUE(REGEXEXTRACT(SUBSTITUTE(F342,"" "",""""),""-?\d+(\.\d+)?$""))&lt;=180),""OK"",""REVISAR"")"),"#N/A")</f>
        <v>#N/A</v>
      </c>
    </row>
    <row r="343" ht="15.75" customHeight="1">
      <c r="A343" s="5" t="str">
        <f t="shared" si="1"/>
        <v>AD507-0341</v>
      </c>
      <c r="C343" s="5"/>
      <c r="F343" s="5"/>
      <c r="G343" s="5" t="str">
        <f t="shared" si="2"/>
        <v/>
      </c>
      <c r="H343" s="5" t="str">
        <f t="shared" si="3"/>
        <v/>
      </c>
      <c r="I343" s="5" t="str">
        <f t="shared" si="4"/>
        <v/>
      </c>
      <c r="J343" s="5" t="str">
        <f t="shared" si="5"/>
        <v/>
      </c>
      <c r="K343" s="5" t="str">
        <f>IFERROR(__xludf.DUMMYFUNCTION("IF(C343&lt;&gt;"""",HYPERLINK(""https://wa.me/507""&amp;REGEXREPLACE(C343,""[^0-9]"","""")&amp;""?text=""&amp;ENCODEURL(""Ya llegue. Codigo: ""&amp;A343&amp;"". Ubicacion: ""&amp;""https://www.google.com/maps/search/?api=1&amp;query=""&amp;SUBSTITUTE(F343,"" "","""")),""📲 Avisar al cliente"""&amp;"),"""")"),"")</f>
        <v/>
      </c>
      <c r="L343" s="5" t="str">
        <f>IFERROR(__xludf.DUMMYFUNCTION("IF(C343&lt;&gt;"""",""https://api.qrserver.com/v1/create-qr-code/?size=200x200&amp;data=""&amp;ENCODEURL(""https://wa.me/507""&amp;REGEXREPLACE(C343,""[^0-9]"","""")&amp;""?text=""&amp;ENCODEURL(""Ya llegue. Codigo: ""&amp;A343&amp;"". Ubicacion: ""&amp;""https://www.google.com/maps/search/?a"&amp;"pi=1&amp;query=""&amp;SUBSTITUTE(F343,"" "",""""))),"""")"),"")</f>
        <v/>
      </c>
      <c r="M343" s="5" t="str">
        <f t="shared" si="6"/>
        <v/>
      </c>
      <c r="N343" s="5" t="str">
        <f>IFERROR(__xludf.DUMMYFUNCTION("IF(AND(F343&lt;&gt;"""",REGEXMATCH(SUBSTITUTE(F343,"" "",""""),""^-?\d+(\.\d+)?,-?\d+(\.\d+)?$""),VALUE(REGEXEXTRACT(SUBSTITUTE(F343,"" "",""""),""^-?\d+(\.\d+)?""))&gt;=-90,VALUE(REGEXEXTRACT(SUBSTITUTE(F343,"" "",""""),""^-?\d+(\.\d+)?""))&lt;=90,VALUE(REGEXEXTRACT"&amp;"(SUBSTITUTE(F343,"" "",""""),""-?\d+(\.\d+)?$""))&gt;=-180,VALUE(REGEXEXTRACT(SUBSTITUTE(F343,"" "",""""),""-?\d+(\.\d+)?$""))&lt;=180),""OK"",""REVISAR"")"),"#N/A")</f>
        <v>#N/A</v>
      </c>
    </row>
    <row r="344" ht="15.75" customHeight="1">
      <c r="A344" s="5" t="str">
        <f t="shared" si="1"/>
        <v>AD507-0342</v>
      </c>
      <c r="C344" s="5"/>
      <c r="F344" s="5"/>
      <c r="G344" s="5" t="str">
        <f t="shared" si="2"/>
        <v/>
      </c>
      <c r="H344" s="5" t="str">
        <f t="shared" si="3"/>
        <v/>
      </c>
      <c r="I344" s="5" t="str">
        <f t="shared" si="4"/>
        <v/>
      </c>
      <c r="J344" s="5" t="str">
        <f t="shared" si="5"/>
        <v/>
      </c>
      <c r="K344" s="5" t="str">
        <f>IFERROR(__xludf.DUMMYFUNCTION("IF(C344&lt;&gt;"""",HYPERLINK(""https://wa.me/507""&amp;REGEXREPLACE(C344,""[^0-9]"","""")&amp;""?text=""&amp;ENCODEURL(""Ya llegue. Codigo: ""&amp;A344&amp;"". Ubicacion: ""&amp;""https://www.google.com/maps/search/?api=1&amp;query=""&amp;SUBSTITUTE(F344,"" "","""")),""📲 Avisar al cliente"""&amp;"),"""")"),"")</f>
        <v/>
      </c>
      <c r="L344" s="5" t="str">
        <f>IFERROR(__xludf.DUMMYFUNCTION("IF(C344&lt;&gt;"""",""https://api.qrserver.com/v1/create-qr-code/?size=200x200&amp;data=""&amp;ENCODEURL(""https://wa.me/507""&amp;REGEXREPLACE(C344,""[^0-9]"","""")&amp;""?text=""&amp;ENCODEURL(""Ya llegue. Codigo: ""&amp;A344&amp;"". Ubicacion: ""&amp;""https://www.google.com/maps/search/?a"&amp;"pi=1&amp;query=""&amp;SUBSTITUTE(F344,"" "",""""))),"""")"),"")</f>
        <v/>
      </c>
      <c r="M344" s="5" t="str">
        <f t="shared" si="6"/>
        <v/>
      </c>
      <c r="N344" s="5" t="str">
        <f>IFERROR(__xludf.DUMMYFUNCTION("IF(AND(F344&lt;&gt;"""",REGEXMATCH(SUBSTITUTE(F344,"" "",""""),""^-?\d+(\.\d+)?,-?\d+(\.\d+)?$""),VALUE(REGEXEXTRACT(SUBSTITUTE(F344,"" "",""""),""^-?\d+(\.\d+)?""))&gt;=-90,VALUE(REGEXEXTRACT(SUBSTITUTE(F344,"" "",""""),""^-?\d+(\.\d+)?""))&lt;=90,VALUE(REGEXEXTRACT"&amp;"(SUBSTITUTE(F344,"" "",""""),""-?\d+(\.\d+)?$""))&gt;=-180,VALUE(REGEXEXTRACT(SUBSTITUTE(F344,"" "",""""),""-?\d+(\.\d+)?$""))&lt;=180),""OK"",""REVISAR"")"),"#N/A")</f>
        <v>#N/A</v>
      </c>
    </row>
    <row r="345" ht="15.75" customHeight="1">
      <c r="A345" s="5" t="str">
        <f t="shared" si="1"/>
        <v>AD507-0343</v>
      </c>
      <c r="C345" s="5"/>
      <c r="F345" s="5"/>
      <c r="G345" s="5" t="str">
        <f t="shared" si="2"/>
        <v/>
      </c>
      <c r="H345" s="5" t="str">
        <f t="shared" si="3"/>
        <v/>
      </c>
      <c r="I345" s="5" t="str">
        <f t="shared" si="4"/>
        <v/>
      </c>
      <c r="J345" s="5" t="str">
        <f t="shared" si="5"/>
        <v/>
      </c>
      <c r="K345" s="5" t="str">
        <f>IFERROR(__xludf.DUMMYFUNCTION("IF(C345&lt;&gt;"""",HYPERLINK(""https://wa.me/507""&amp;REGEXREPLACE(C345,""[^0-9]"","""")&amp;""?text=""&amp;ENCODEURL(""Ya llegue. Codigo: ""&amp;A345&amp;"". Ubicacion: ""&amp;""https://www.google.com/maps/search/?api=1&amp;query=""&amp;SUBSTITUTE(F345,"" "","""")),""📲 Avisar al cliente"""&amp;"),"""")"),"")</f>
        <v/>
      </c>
      <c r="L345" s="5" t="str">
        <f>IFERROR(__xludf.DUMMYFUNCTION("IF(C345&lt;&gt;"""",""https://api.qrserver.com/v1/create-qr-code/?size=200x200&amp;data=""&amp;ENCODEURL(""https://wa.me/507""&amp;REGEXREPLACE(C345,""[^0-9]"","""")&amp;""?text=""&amp;ENCODEURL(""Ya llegue. Codigo: ""&amp;A345&amp;"". Ubicacion: ""&amp;""https://www.google.com/maps/search/?a"&amp;"pi=1&amp;query=""&amp;SUBSTITUTE(F345,"" "",""""))),"""")"),"")</f>
        <v/>
      </c>
      <c r="M345" s="5" t="str">
        <f t="shared" si="6"/>
        <v/>
      </c>
      <c r="N345" s="5" t="str">
        <f>IFERROR(__xludf.DUMMYFUNCTION("IF(AND(F345&lt;&gt;"""",REGEXMATCH(SUBSTITUTE(F345,"" "",""""),""^-?\d+(\.\d+)?,-?\d+(\.\d+)?$""),VALUE(REGEXEXTRACT(SUBSTITUTE(F345,"" "",""""),""^-?\d+(\.\d+)?""))&gt;=-90,VALUE(REGEXEXTRACT(SUBSTITUTE(F345,"" "",""""),""^-?\d+(\.\d+)?""))&lt;=90,VALUE(REGEXEXTRACT"&amp;"(SUBSTITUTE(F345,"" "",""""),""-?\d+(\.\d+)?$""))&gt;=-180,VALUE(REGEXEXTRACT(SUBSTITUTE(F345,"" "",""""),""-?\d+(\.\d+)?$""))&lt;=180),""OK"",""REVISAR"")"),"#N/A")</f>
        <v>#N/A</v>
      </c>
    </row>
    <row r="346" ht="15.75" customHeight="1">
      <c r="A346" s="5" t="str">
        <f t="shared" si="1"/>
        <v>AD507-0344</v>
      </c>
      <c r="C346" s="5"/>
      <c r="F346" s="5"/>
      <c r="G346" s="5" t="str">
        <f t="shared" si="2"/>
        <v/>
      </c>
      <c r="H346" s="5" t="str">
        <f t="shared" si="3"/>
        <v/>
      </c>
      <c r="I346" s="5" t="str">
        <f t="shared" si="4"/>
        <v/>
      </c>
      <c r="J346" s="5" t="str">
        <f t="shared" si="5"/>
        <v/>
      </c>
      <c r="K346" s="5" t="str">
        <f>IFERROR(__xludf.DUMMYFUNCTION("IF(C346&lt;&gt;"""",HYPERLINK(""https://wa.me/507""&amp;REGEXREPLACE(C346,""[^0-9]"","""")&amp;""?text=""&amp;ENCODEURL(""Ya llegue. Codigo: ""&amp;A346&amp;"". Ubicacion: ""&amp;""https://www.google.com/maps/search/?api=1&amp;query=""&amp;SUBSTITUTE(F346,"" "","""")),""📲 Avisar al cliente"""&amp;"),"""")"),"")</f>
        <v/>
      </c>
      <c r="L346" s="5" t="str">
        <f>IFERROR(__xludf.DUMMYFUNCTION("IF(C346&lt;&gt;"""",""https://api.qrserver.com/v1/create-qr-code/?size=200x200&amp;data=""&amp;ENCODEURL(""https://wa.me/507""&amp;REGEXREPLACE(C346,""[^0-9]"","""")&amp;""?text=""&amp;ENCODEURL(""Ya llegue. Codigo: ""&amp;A346&amp;"". Ubicacion: ""&amp;""https://www.google.com/maps/search/?a"&amp;"pi=1&amp;query=""&amp;SUBSTITUTE(F346,"" "",""""))),"""")"),"")</f>
        <v/>
      </c>
      <c r="M346" s="5" t="str">
        <f t="shared" si="6"/>
        <v/>
      </c>
      <c r="N346" s="5" t="str">
        <f>IFERROR(__xludf.DUMMYFUNCTION("IF(AND(F346&lt;&gt;"""",REGEXMATCH(SUBSTITUTE(F346,"" "",""""),""^-?\d+(\.\d+)?,-?\d+(\.\d+)?$""),VALUE(REGEXEXTRACT(SUBSTITUTE(F346,"" "",""""),""^-?\d+(\.\d+)?""))&gt;=-90,VALUE(REGEXEXTRACT(SUBSTITUTE(F346,"" "",""""),""^-?\d+(\.\d+)?""))&lt;=90,VALUE(REGEXEXTRACT"&amp;"(SUBSTITUTE(F346,"" "",""""),""-?\d+(\.\d+)?$""))&gt;=-180,VALUE(REGEXEXTRACT(SUBSTITUTE(F346,"" "",""""),""-?\d+(\.\d+)?$""))&lt;=180),""OK"",""REVISAR"")"),"#N/A")</f>
        <v>#N/A</v>
      </c>
    </row>
    <row r="347" ht="15.75" customHeight="1">
      <c r="A347" s="5" t="str">
        <f t="shared" si="1"/>
        <v>AD507-0345</v>
      </c>
      <c r="C347" s="5"/>
      <c r="F347" s="5"/>
      <c r="G347" s="5" t="str">
        <f t="shared" si="2"/>
        <v/>
      </c>
      <c r="H347" s="5" t="str">
        <f t="shared" si="3"/>
        <v/>
      </c>
      <c r="I347" s="5" t="str">
        <f t="shared" si="4"/>
        <v/>
      </c>
      <c r="J347" s="5" t="str">
        <f t="shared" si="5"/>
        <v/>
      </c>
      <c r="K347" s="5" t="str">
        <f>IFERROR(__xludf.DUMMYFUNCTION("IF(C347&lt;&gt;"""",HYPERLINK(""https://wa.me/507""&amp;REGEXREPLACE(C347,""[^0-9]"","""")&amp;""?text=""&amp;ENCODEURL(""Ya llegue. Codigo: ""&amp;A347&amp;"". Ubicacion: ""&amp;""https://www.google.com/maps/search/?api=1&amp;query=""&amp;SUBSTITUTE(F347,"" "","""")),""📲 Avisar al cliente"""&amp;"),"""")"),"")</f>
        <v/>
      </c>
      <c r="L347" s="5" t="str">
        <f>IFERROR(__xludf.DUMMYFUNCTION("IF(C347&lt;&gt;"""",""https://api.qrserver.com/v1/create-qr-code/?size=200x200&amp;data=""&amp;ENCODEURL(""https://wa.me/507""&amp;REGEXREPLACE(C347,""[^0-9]"","""")&amp;""?text=""&amp;ENCODEURL(""Ya llegue. Codigo: ""&amp;A347&amp;"". Ubicacion: ""&amp;""https://www.google.com/maps/search/?a"&amp;"pi=1&amp;query=""&amp;SUBSTITUTE(F347,"" "",""""))),"""")"),"")</f>
        <v/>
      </c>
      <c r="M347" s="5" t="str">
        <f t="shared" si="6"/>
        <v/>
      </c>
      <c r="N347" s="5" t="str">
        <f>IFERROR(__xludf.DUMMYFUNCTION("IF(AND(F347&lt;&gt;"""",REGEXMATCH(SUBSTITUTE(F347,"" "",""""),""^-?\d+(\.\d+)?,-?\d+(\.\d+)?$""),VALUE(REGEXEXTRACT(SUBSTITUTE(F347,"" "",""""),""^-?\d+(\.\d+)?""))&gt;=-90,VALUE(REGEXEXTRACT(SUBSTITUTE(F347,"" "",""""),""^-?\d+(\.\d+)?""))&lt;=90,VALUE(REGEXEXTRACT"&amp;"(SUBSTITUTE(F347,"" "",""""),""-?\d+(\.\d+)?$""))&gt;=-180,VALUE(REGEXEXTRACT(SUBSTITUTE(F347,"" "",""""),""-?\d+(\.\d+)?$""))&lt;=180),""OK"",""REVISAR"")"),"#N/A")</f>
        <v>#N/A</v>
      </c>
    </row>
    <row r="348" ht="15.75" customHeight="1">
      <c r="A348" s="5" t="str">
        <f t="shared" si="1"/>
        <v>AD507-0346</v>
      </c>
      <c r="C348" s="5"/>
      <c r="F348" s="5"/>
      <c r="G348" s="5" t="str">
        <f t="shared" si="2"/>
        <v/>
      </c>
      <c r="H348" s="5" t="str">
        <f t="shared" si="3"/>
        <v/>
      </c>
      <c r="I348" s="5" t="str">
        <f t="shared" si="4"/>
        <v/>
      </c>
      <c r="J348" s="5" t="str">
        <f t="shared" si="5"/>
        <v/>
      </c>
      <c r="K348" s="5" t="str">
        <f>IFERROR(__xludf.DUMMYFUNCTION("IF(C348&lt;&gt;"""",HYPERLINK(""https://wa.me/507""&amp;REGEXREPLACE(C348,""[^0-9]"","""")&amp;""?text=""&amp;ENCODEURL(""Ya llegue. Codigo: ""&amp;A348&amp;"". Ubicacion: ""&amp;""https://www.google.com/maps/search/?api=1&amp;query=""&amp;SUBSTITUTE(F348,"" "","""")),""📲 Avisar al cliente"""&amp;"),"""")"),"")</f>
        <v/>
      </c>
      <c r="L348" s="5" t="str">
        <f>IFERROR(__xludf.DUMMYFUNCTION("IF(C348&lt;&gt;"""",""https://api.qrserver.com/v1/create-qr-code/?size=200x200&amp;data=""&amp;ENCODEURL(""https://wa.me/507""&amp;REGEXREPLACE(C348,""[^0-9]"","""")&amp;""?text=""&amp;ENCODEURL(""Ya llegue. Codigo: ""&amp;A348&amp;"". Ubicacion: ""&amp;""https://www.google.com/maps/search/?a"&amp;"pi=1&amp;query=""&amp;SUBSTITUTE(F348,"" "",""""))),"""")"),"")</f>
        <v/>
      </c>
      <c r="M348" s="5" t="str">
        <f t="shared" si="6"/>
        <v/>
      </c>
      <c r="N348" s="5" t="str">
        <f>IFERROR(__xludf.DUMMYFUNCTION("IF(AND(F348&lt;&gt;"""",REGEXMATCH(SUBSTITUTE(F348,"" "",""""),""^-?\d+(\.\d+)?,-?\d+(\.\d+)?$""),VALUE(REGEXEXTRACT(SUBSTITUTE(F348,"" "",""""),""^-?\d+(\.\d+)?""))&gt;=-90,VALUE(REGEXEXTRACT(SUBSTITUTE(F348,"" "",""""),""^-?\d+(\.\d+)?""))&lt;=90,VALUE(REGEXEXTRACT"&amp;"(SUBSTITUTE(F348,"" "",""""),""-?\d+(\.\d+)?$""))&gt;=-180,VALUE(REGEXEXTRACT(SUBSTITUTE(F348,"" "",""""),""-?\d+(\.\d+)?$""))&lt;=180),""OK"",""REVISAR"")"),"#N/A")</f>
        <v>#N/A</v>
      </c>
    </row>
    <row r="349" ht="15.75" customHeight="1">
      <c r="A349" s="5" t="str">
        <f t="shared" si="1"/>
        <v>AD507-0347</v>
      </c>
      <c r="C349" s="5"/>
      <c r="F349" s="5"/>
      <c r="G349" s="5" t="str">
        <f t="shared" si="2"/>
        <v/>
      </c>
      <c r="H349" s="5" t="str">
        <f t="shared" si="3"/>
        <v/>
      </c>
      <c r="I349" s="5" t="str">
        <f t="shared" si="4"/>
        <v/>
      </c>
      <c r="J349" s="5" t="str">
        <f t="shared" si="5"/>
        <v/>
      </c>
      <c r="K349" s="5" t="str">
        <f>IFERROR(__xludf.DUMMYFUNCTION("IF(C349&lt;&gt;"""",HYPERLINK(""https://wa.me/507""&amp;REGEXREPLACE(C349,""[^0-9]"","""")&amp;""?text=""&amp;ENCODEURL(""Ya llegue. Codigo: ""&amp;A349&amp;"". Ubicacion: ""&amp;""https://www.google.com/maps/search/?api=1&amp;query=""&amp;SUBSTITUTE(F349,"" "","""")),""📲 Avisar al cliente"""&amp;"),"""")"),"")</f>
        <v/>
      </c>
      <c r="L349" s="5" t="str">
        <f>IFERROR(__xludf.DUMMYFUNCTION("IF(C349&lt;&gt;"""",""https://api.qrserver.com/v1/create-qr-code/?size=200x200&amp;data=""&amp;ENCODEURL(""https://wa.me/507""&amp;REGEXREPLACE(C349,""[^0-9]"","""")&amp;""?text=""&amp;ENCODEURL(""Ya llegue. Codigo: ""&amp;A349&amp;"". Ubicacion: ""&amp;""https://www.google.com/maps/search/?a"&amp;"pi=1&amp;query=""&amp;SUBSTITUTE(F349,"" "",""""))),"""")"),"")</f>
        <v/>
      </c>
      <c r="M349" s="5" t="str">
        <f t="shared" si="6"/>
        <v/>
      </c>
      <c r="N349" s="5" t="str">
        <f>IFERROR(__xludf.DUMMYFUNCTION("IF(AND(F349&lt;&gt;"""",REGEXMATCH(SUBSTITUTE(F349,"" "",""""),""^-?\d+(\.\d+)?,-?\d+(\.\d+)?$""),VALUE(REGEXEXTRACT(SUBSTITUTE(F349,"" "",""""),""^-?\d+(\.\d+)?""))&gt;=-90,VALUE(REGEXEXTRACT(SUBSTITUTE(F349,"" "",""""),""^-?\d+(\.\d+)?""))&lt;=90,VALUE(REGEXEXTRACT"&amp;"(SUBSTITUTE(F349,"" "",""""),""-?\d+(\.\d+)?$""))&gt;=-180,VALUE(REGEXEXTRACT(SUBSTITUTE(F349,"" "",""""),""-?\d+(\.\d+)?$""))&lt;=180),""OK"",""REVISAR"")"),"#N/A")</f>
        <v>#N/A</v>
      </c>
    </row>
    <row r="350" ht="15.75" customHeight="1">
      <c r="A350" s="5" t="str">
        <f t="shared" si="1"/>
        <v>AD507-0348</v>
      </c>
      <c r="C350" s="5"/>
      <c r="F350" s="5"/>
      <c r="G350" s="5" t="str">
        <f t="shared" si="2"/>
        <v/>
      </c>
      <c r="H350" s="5" t="str">
        <f t="shared" si="3"/>
        <v/>
      </c>
      <c r="I350" s="5" t="str">
        <f t="shared" si="4"/>
        <v/>
      </c>
      <c r="J350" s="5" t="str">
        <f t="shared" si="5"/>
        <v/>
      </c>
      <c r="K350" s="5" t="str">
        <f>IFERROR(__xludf.DUMMYFUNCTION("IF(C350&lt;&gt;"""",HYPERLINK(""https://wa.me/507""&amp;REGEXREPLACE(C350,""[^0-9]"","""")&amp;""?text=""&amp;ENCODEURL(""Ya llegue. Codigo: ""&amp;A350&amp;"". Ubicacion: ""&amp;""https://www.google.com/maps/search/?api=1&amp;query=""&amp;SUBSTITUTE(F350,"" "","""")),""📲 Avisar al cliente"""&amp;"),"""")"),"")</f>
        <v/>
      </c>
      <c r="L350" s="5" t="str">
        <f>IFERROR(__xludf.DUMMYFUNCTION("IF(C350&lt;&gt;"""",""https://api.qrserver.com/v1/create-qr-code/?size=200x200&amp;data=""&amp;ENCODEURL(""https://wa.me/507""&amp;REGEXREPLACE(C350,""[^0-9]"","""")&amp;""?text=""&amp;ENCODEURL(""Ya llegue. Codigo: ""&amp;A350&amp;"". Ubicacion: ""&amp;""https://www.google.com/maps/search/?a"&amp;"pi=1&amp;query=""&amp;SUBSTITUTE(F350,"" "",""""))),"""")"),"")</f>
        <v/>
      </c>
      <c r="M350" s="5" t="str">
        <f t="shared" si="6"/>
        <v/>
      </c>
      <c r="N350" s="5" t="str">
        <f>IFERROR(__xludf.DUMMYFUNCTION("IF(AND(F350&lt;&gt;"""",REGEXMATCH(SUBSTITUTE(F350,"" "",""""),""^-?\d+(\.\d+)?,-?\d+(\.\d+)?$""),VALUE(REGEXEXTRACT(SUBSTITUTE(F350,"" "",""""),""^-?\d+(\.\d+)?""))&gt;=-90,VALUE(REGEXEXTRACT(SUBSTITUTE(F350,"" "",""""),""^-?\d+(\.\d+)?""))&lt;=90,VALUE(REGEXEXTRACT"&amp;"(SUBSTITUTE(F350,"" "",""""),""-?\d+(\.\d+)?$""))&gt;=-180,VALUE(REGEXEXTRACT(SUBSTITUTE(F350,"" "",""""),""-?\d+(\.\d+)?$""))&lt;=180),""OK"",""REVISAR"")"),"#N/A")</f>
        <v>#N/A</v>
      </c>
    </row>
    <row r="351" ht="15.75" customHeight="1">
      <c r="A351" s="5" t="str">
        <f t="shared" si="1"/>
        <v>AD507-0349</v>
      </c>
      <c r="C351" s="5"/>
      <c r="F351" s="5"/>
      <c r="G351" s="5" t="str">
        <f t="shared" si="2"/>
        <v/>
      </c>
      <c r="H351" s="5" t="str">
        <f t="shared" si="3"/>
        <v/>
      </c>
      <c r="I351" s="5" t="str">
        <f t="shared" si="4"/>
        <v/>
      </c>
      <c r="J351" s="5" t="str">
        <f t="shared" si="5"/>
        <v/>
      </c>
      <c r="K351" s="5" t="str">
        <f>IFERROR(__xludf.DUMMYFUNCTION("IF(C351&lt;&gt;"""",HYPERLINK(""https://wa.me/507""&amp;REGEXREPLACE(C351,""[^0-9]"","""")&amp;""?text=""&amp;ENCODEURL(""Ya llegue. Codigo: ""&amp;A351&amp;"". Ubicacion: ""&amp;""https://www.google.com/maps/search/?api=1&amp;query=""&amp;SUBSTITUTE(F351,"" "","""")),""📲 Avisar al cliente"""&amp;"),"""")"),"")</f>
        <v/>
      </c>
      <c r="L351" s="5" t="str">
        <f>IFERROR(__xludf.DUMMYFUNCTION("IF(C351&lt;&gt;"""",""https://api.qrserver.com/v1/create-qr-code/?size=200x200&amp;data=""&amp;ENCODEURL(""https://wa.me/507""&amp;REGEXREPLACE(C351,""[^0-9]"","""")&amp;""?text=""&amp;ENCODEURL(""Ya llegue. Codigo: ""&amp;A351&amp;"". Ubicacion: ""&amp;""https://www.google.com/maps/search/?a"&amp;"pi=1&amp;query=""&amp;SUBSTITUTE(F351,"" "",""""))),"""")"),"")</f>
        <v/>
      </c>
      <c r="M351" s="5" t="str">
        <f t="shared" si="6"/>
        <v/>
      </c>
      <c r="N351" s="5" t="str">
        <f>IFERROR(__xludf.DUMMYFUNCTION("IF(AND(F351&lt;&gt;"""",REGEXMATCH(SUBSTITUTE(F351,"" "",""""),""^-?\d+(\.\d+)?,-?\d+(\.\d+)?$""),VALUE(REGEXEXTRACT(SUBSTITUTE(F351,"" "",""""),""^-?\d+(\.\d+)?""))&gt;=-90,VALUE(REGEXEXTRACT(SUBSTITUTE(F351,"" "",""""),""^-?\d+(\.\d+)?""))&lt;=90,VALUE(REGEXEXTRACT"&amp;"(SUBSTITUTE(F351,"" "",""""),""-?\d+(\.\d+)?$""))&gt;=-180,VALUE(REGEXEXTRACT(SUBSTITUTE(F351,"" "",""""),""-?\d+(\.\d+)?$""))&lt;=180),""OK"",""REVISAR"")"),"#N/A")</f>
        <v>#N/A</v>
      </c>
    </row>
    <row r="352" ht="15.75" customHeight="1">
      <c r="A352" s="5" t="str">
        <f t="shared" si="1"/>
        <v>AD507-0350</v>
      </c>
      <c r="C352" s="5"/>
      <c r="F352" s="5"/>
      <c r="G352" s="5" t="str">
        <f t="shared" si="2"/>
        <v/>
      </c>
      <c r="H352" s="5" t="str">
        <f t="shared" si="3"/>
        <v/>
      </c>
      <c r="I352" s="5" t="str">
        <f t="shared" si="4"/>
        <v/>
      </c>
      <c r="J352" s="5" t="str">
        <f t="shared" si="5"/>
        <v/>
      </c>
      <c r="K352" s="5" t="str">
        <f>IFERROR(__xludf.DUMMYFUNCTION("IF(C352&lt;&gt;"""",HYPERLINK(""https://wa.me/507""&amp;REGEXREPLACE(C352,""[^0-9]"","""")&amp;""?text=""&amp;ENCODEURL(""Ya llegue. Codigo: ""&amp;A352&amp;"". Ubicacion: ""&amp;""https://www.google.com/maps/search/?api=1&amp;query=""&amp;SUBSTITUTE(F352,"" "","""")),""📲 Avisar al cliente"""&amp;"),"""")"),"")</f>
        <v/>
      </c>
      <c r="L352" s="5" t="str">
        <f>IFERROR(__xludf.DUMMYFUNCTION("IF(C352&lt;&gt;"""",""https://api.qrserver.com/v1/create-qr-code/?size=200x200&amp;data=""&amp;ENCODEURL(""https://wa.me/507""&amp;REGEXREPLACE(C352,""[^0-9]"","""")&amp;""?text=""&amp;ENCODEURL(""Ya llegue. Codigo: ""&amp;A352&amp;"". Ubicacion: ""&amp;""https://www.google.com/maps/search/?a"&amp;"pi=1&amp;query=""&amp;SUBSTITUTE(F352,"" "",""""))),"""")"),"")</f>
        <v/>
      </c>
      <c r="M352" s="5" t="str">
        <f t="shared" si="6"/>
        <v/>
      </c>
      <c r="N352" s="5" t="str">
        <f>IFERROR(__xludf.DUMMYFUNCTION("IF(AND(F352&lt;&gt;"""",REGEXMATCH(SUBSTITUTE(F352,"" "",""""),""^-?\d+(\.\d+)?,-?\d+(\.\d+)?$""),VALUE(REGEXEXTRACT(SUBSTITUTE(F352,"" "",""""),""^-?\d+(\.\d+)?""))&gt;=-90,VALUE(REGEXEXTRACT(SUBSTITUTE(F352,"" "",""""),""^-?\d+(\.\d+)?""))&lt;=90,VALUE(REGEXEXTRACT"&amp;"(SUBSTITUTE(F352,"" "",""""),""-?\d+(\.\d+)?$""))&gt;=-180,VALUE(REGEXEXTRACT(SUBSTITUTE(F352,"" "",""""),""-?\d+(\.\d+)?$""))&lt;=180),""OK"",""REVISAR"")"),"#N/A")</f>
        <v>#N/A</v>
      </c>
    </row>
    <row r="353" ht="15.75" customHeight="1">
      <c r="A353" s="5" t="str">
        <f t="shared" si="1"/>
        <v>AD507-0351</v>
      </c>
      <c r="C353" s="5"/>
      <c r="F353" s="5"/>
      <c r="G353" s="5" t="str">
        <f t="shared" si="2"/>
        <v/>
      </c>
      <c r="H353" s="5" t="str">
        <f t="shared" si="3"/>
        <v/>
      </c>
      <c r="I353" s="5" t="str">
        <f t="shared" si="4"/>
        <v/>
      </c>
      <c r="J353" s="5" t="str">
        <f t="shared" si="5"/>
        <v/>
      </c>
      <c r="K353" s="5" t="str">
        <f>IFERROR(__xludf.DUMMYFUNCTION("IF(C353&lt;&gt;"""",HYPERLINK(""https://wa.me/507""&amp;REGEXREPLACE(C353,""[^0-9]"","""")&amp;""?text=""&amp;ENCODEURL(""Ya llegue. Codigo: ""&amp;A353&amp;"". Ubicacion: ""&amp;""https://www.google.com/maps/search/?api=1&amp;query=""&amp;SUBSTITUTE(F353,"" "","""")),""📲 Avisar al cliente"""&amp;"),"""")"),"")</f>
        <v/>
      </c>
      <c r="L353" s="5" t="str">
        <f>IFERROR(__xludf.DUMMYFUNCTION("IF(C353&lt;&gt;"""",""https://api.qrserver.com/v1/create-qr-code/?size=200x200&amp;data=""&amp;ENCODEURL(""https://wa.me/507""&amp;REGEXREPLACE(C353,""[^0-9]"","""")&amp;""?text=""&amp;ENCODEURL(""Ya llegue. Codigo: ""&amp;A353&amp;"". Ubicacion: ""&amp;""https://www.google.com/maps/search/?a"&amp;"pi=1&amp;query=""&amp;SUBSTITUTE(F353,"" "",""""))),"""")"),"")</f>
        <v/>
      </c>
      <c r="M353" s="5" t="str">
        <f t="shared" si="6"/>
        <v/>
      </c>
      <c r="N353" s="5" t="str">
        <f>IFERROR(__xludf.DUMMYFUNCTION("IF(AND(F353&lt;&gt;"""",REGEXMATCH(SUBSTITUTE(F353,"" "",""""),""^-?\d+(\.\d+)?,-?\d+(\.\d+)?$""),VALUE(REGEXEXTRACT(SUBSTITUTE(F353,"" "",""""),""^-?\d+(\.\d+)?""))&gt;=-90,VALUE(REGEXEXTRACT(SUBSTITUTE(F353,"" "",""""),""^-?\d+(\.\d+)?""))&lt;=90,VALUE(REGEXEXTRACT"&amp;"(SUBSTITUTE(F353,"" "",""""),""-?\d+(\.\d+)?$""))&gt;=-180,VALUE(REGEXEXTRACT(SUBSTITUTE(F353,"" "",""""),""-?\d+(\.\d+)?$""))&lt;=180),""OK"",""REVISAR"")"),"#N/A")</f>
        <v>#N/A</v>
      </c>
    </row>
    <row r="354" ht="15.75" customHeight="1">
      <c r="A354" s="5" t="str">
        <f t="shared" si="1"/>
        <v>AD507-0352</v>
      </c>
      <c r="C354" s="5"/>
      <c r="F354" s="5"/>
      <c r="G354" s="5" t="str">
        <f t="shared" si="2"/>
        <v/>
      </c>
      <c r="H354" s="5" t="str">
        <f t="shared" si="3"/>
        <v/>
      </c>
      <c r="I354" s="5" t="str">
        <f t="shared" si="4"/>
        <v/>
      </c>
      <c r="J354" s="5" t="str">
        <f t="shared" si="5"/>
        <v/>
      </c>
      <c r="K354" s="5" t="str">
        <f>IFERROR(__xludf.DUMMYFUNCTION("IF(C354&lt;&gt;"""",HYPERLINK(""https://wa.me/507""&amp;REGEXREPLACE(C354,""[^0-9]"","""")&amp;""?text=""&amp;ENCODEURL(""Ya llegue. Codigo: ""&amp;A354&amp;"". Ubicacion: ""&amp;""https://www.google.com/maps/search/?api=1&amp;query=""&amp;SUBSTITUTE(F354,"" "","""")),""📲 Avisar al cliente"""&amp;"),"""")"),"")</f>
        <v/>
      </c>
      <c r="L354" s="5" t="str">
        <f>IFERROR(__xludf.DUMMYFUNCTION("IF(C354&lt;&gt;"""",""https://api.qrserver.com/v1/create-qr-code/?size=200x200&amp;data=""&amp;ENCODEURL(""https://wa.me/507""&amp;REGEXREPLACE(C354,""[^0-9]"","""")&amp;""?text=""&amp;ENCODEURL(""Ya llegue. Codigo: ""&amp;A354&amp;"". Ubicacion: ""&amp;""https://www.google.com/maps/search/?a"&amp;"pi=1&amp;query=""&amp;SUBSTITUTE(F354,"" "",""""))),"""")"),"")</f>
        <v/>
      </c>
      <c r="M354" s="5" t="str">
        <f t="shared" si="6"/>
        <v/>
      </c>
      <c r="N354" s="5" t="str">
        <f>IFERROR(__xludf.DUMMYFUNCTION("IF(AND(F354&lt;&gt;"""",REGEXMATCH(SUBSTITUTE(F354,"" "",""""),""^-?\d+(\.\d+)?,-?\d+(\.\d+)?$""),VALUE(REGEXEXTRACT(SUBSTITUTE(F354,"" "",""""),""^-?\d+(\.\d+)?""))&gt;=-90,VALUE(REGEXEXTRACT(SUBSTITUTE(F354,"" "",""""),""^-?\d+(\.\d+)?""))&lt;=90,VALUE(REGEXEXTRACT"&amp;"(SUBSTITUTE(F354,"" "",""""),""-?\d+(\.\d+)?$""))&gt;=-180,VALUE(REGEXEXTRACT(SUBSTITUTE(F354,"" "",""""),""-?\d+(\.\d+)?$""))&lt;=180),""OK"",""REVISAR"")"),"#N/A")</f>
        <v>#N/A</v>
      </c>
    </row>
    <row r="355" ht="15.75" customHeight="1">
      <c r="A355" s="5" t="str">
        <f t="shared" si="1"/>
        <v>AD507-0353</v>
      </c>
      <c r="C355" s="5"/>
      <c r="F355" s="5"/>
      <c r="G355" s="5" t="str">
        <f t="shared" si="2"/>
        <v/>
      </c>
      <c r="H355" s="5" t="str">
        <f t="shared" si="3"/>
        <v/>
      </c>
      <c r="I355" s="5" t="str">
        <f t="shared" si="4"/>
        <v/>
      </c>
      <c r="J355" s="5" t="str">
        <f t="shared" si="5"/>
        <v/>
      </c>
      <c r="K355" s="5" t="str">
        <f>IFERROR(__xludf.DUMMYFUNCTION("IF(C355&lt;&gt;"""",HYPERLINK(""https://wa.me/507""&amp;REGEXREPLACE(C355,""[^0-9]"","""")&amp;""?text=""&amp;ENCODEURL(""Ya llegue. Codigo: ""&amp;A355&amp;"". Ubicacion: ""&amp;""https://www.google.com/maps/search/?api=1&amp;query=""&amp;SUBSTITUTE(F355,"" "","""")),""📲 Avisar al cliente"""&amp;"),"""")"),"")</f>
        <v/>
      </c>
      <c r="L355" s="5" t="str">
        <f>IFERROR(__xludf.DUMMYFUNCTION("IF(C355&lt;&gt;"""",""https://api.qrserver.com/v1/create-qr-code/?size=200x200&amp;data=""&amp;ENCODEURL(""https://wa.me/507""&amp;REGEXREPLACE(C355,""[^0-9]"","""")&amp;""?text=""&amp;ENCODEURL(""Ya llegue. Codigo: ""&amp;A355&amp;"". Ubicacion: ""&amp;""https://www.google.com/maps/search/?a"&amp;"pi=1&amp;query=""&amp;SUBSTITUTE(F355,"" "",""""))),"""")"),"")</f>
        <v/>
      </c>
      <c r="M355" s="5" t="str">
        <f t="shared" si="6"/>
        <v/>
      </c>
      <c r="N355" s="5" t="str">
        <f>IFERROR(__xludf.DUMMYFUNCTION("IF(AND(F355&lt;&gt;"""",REGEXMATCH(SUBSTITUTE(F355,"" "",""""),""^-?\d+(\.\d+)?,-?\d+(\.\d+)?$""),VALUE(REGEXEXTRACT(SUBSTITUTE(F355,"" "",""""),""^-?\d+(\.\d+)?""))&gt;=-90,VALUE(REGEXEXTRACT(SUBSTITUTE(F355,"" "",""""),""^-?\d+(\.\d+)?""))&lt;=90,VALUE(REGEXEXTRACT"&amp;"(SUBSTITUTE(F355,"" "",""""),""-?\d+(\.\d+)?$""))&gt;=-180,VALUE(REGEXEXTRACT(SUBSTITUTE(F355,"" "",""""),""-?\d+(\.\d+)?$""))&lt;=180),""OK"",""REVISAR"")"),"#N/A")</f>
        <v>#N/A</v>
      </c>
    </row>
    <row r="356" ht="15.75" customHeight="1">
      <c r="A356" s="5" t="str">
        <f t="shared" si="1"/>
        <v>AD507-0354</v>
      </c>
      <c r="C356" s="5"/>
      <c r="F356" s="5"/>
      <c r="G356" s="5" t="str">
        <f t="shared" si="2"/>
        <v/>
      </c>
      <c r="H356" s="5" t="str">
        <f t="shared" si="3"/>
        <v/>
      </c>
      <c r="I356" s="5" t="str">
        <f t="shared" si="4"/>
        <v/>
      </c>
      <c r="J356" s="5" t="str">
        <f t="shared" si="5"/>
        <v/>
      </c>
      <c r="K356" s="5" t="str">
        <f>IFERROR(__xludf.DUMMYFUNCTION("IF(C356&lt;&gt;"""",HYPERLINK(""https://wa.me/507""&amp;REGEXREPLACE(C356,""[^0-9]"","""")&amp;""?text=""&amp;ENCODEURL(""Ya llegue. Codigo: ""&amp;A356&amp;"". Ubicacion: ""&amp;""https://www.google.com/maps/search/?api=1&amp;query=""&amp;SUBSTITUTE(F356,"" "","""")),""📲 Avisar al cliente"""&amp;"),"""")"),"")</f>
        <v/>
      </c>
      <c r="L356" s="5" t="str">
        <f>IFERROR(__xludf.DUMMYFUNCTION("IF(C356&lt;&gt;"""",""https://api.qrserver.com/v1/create-qr-code/?size=200x200&amp;data=""&amp;ENCODEURL(""https://wa.me/507""&amp;REGEXREPLACE(C356,""[^0-9]"","""")&amp;""?text=""&amp;ENCODEURL(""Ya llegue. Codigo: ""&amp;A356&amp;"". Ubicacion: ""&amp;""https://www.google.com/maps/search/?a"&amp;"pi=1&amp;query=""&amp;SUBSTITUTE(F356,"" "",""""))),"""")"),"")</f>
        <v/>
      </c>
      <c r="M356" s="5" t="str">
        <f t="shared" si="6"/>
        <v/>
      </c>
      <c r="N356" s="5" t="str">
        <f>IFERROR(__xludf.DUMMYFUNCTION("IF(AND(F356&lt;&gt;"""",REGEXMATCH(SUBSTITUTE(F356,"" "",""""),""^-?\d+(\.\d+)?,-?\d+(\.\d+)?$""),VALUE(REGEXEXTRACT(SUBSTITUTE(F356,"" "",""""),""^-?\d+(\.\d+)?""))&gt;=-90,VALUE(REGEXEXTRACT(SUBSTITUTE(F356,"" "",""""),""^-?\d+(\.\d+)?""))&lt;=90,VALUE(REGEXEXTRACT"&amp;"(SUBSTITUTE(F356,"" "",""""),""-?\d+(\.\d+)?$""))&gt;=-180,VALUE(REGEXEXTRACT(SUBSTITUTE(F356,"" "",""""),""-?\d+(\.\d+)?$""))&lt;=180),""OK"",""REVISAR"")"),"#N/A")</f>
        <v>#N/A</v>
      </c>
    </row>
    <row r="357" ht="15.75" customHeight="1">
      <c r="A357" s="5" t="str">
        <f t="shared" si="1"/>
        <v>AD507-0355</v>
      </c>
      <c r="C357" s="5"/>
      <c r="F357" s="5"/>
      <c r="G357" s="5" t="str">
        <f t="shared" si="2"/>
        <v/>
      </c>
      <c r="H357" s="5" t="str">
        <f t="shared" si="3"/>
        <v/>
      </c>
      <c r="I357" s="5" t="str">
        <f t="shared" si="4"/>
        <v/>
      </c>
      <c r="J357" s="5" t="str">
        <f t="shared" si="5"/>
        <v/>
      </c>
      <c r="K357" s="5" t="str">
        <f>IFERROR(__xludf.DUMMYFUNCTION("IF(C357&lt;&gt;"""",HYPERLINK(""https://wa.me/507""&amp;REGEXREPLACE(C357,""[^0-9]"","""")&amp;""?text=""&amp;ENCODEURL(""Ya llegue. Codigo: ""&amp;A357&amp;"". Ubicacion: ""&amp;""https://www.google.com/maps/search/?api=1&amp;query=""&amp;SUBSTITUTE(F357,"" "","""")),""📲 Avisar al cliente"""&amp;"),"""")"),"")</f>
        <v/>
      </c>
      <c r="L357" s="5" t="str">
        <f>IFERROR(__xludf.DUMMYFUNCTION("IF(C357&lt;&gt;"""",""https://api.qrserver.com/v1/create-qr-code/?size=200x200&amp;data=""&amp;ENCODEURL(""https://wa.me/507""&amp;REGEXREPLACE(C357,""[^0-9]"","""")&amp;""?text=""&amp;ENCODEURL(""Ya llegue. Codigo: ""&amp;A357&amp;"". Ubicacion: ""&amp;""https://www.google.com/maps/search/?a"&amp;"pi=1&amp;query=""&amp;SUBSTITUTE(F357,"" "",""""))),"""")"),"")</f>
        <v/>
      </c>
      <c r="M357" s="5" t="str">
        <f t="shared" si="6"/>
        <v/>
      </c>
      <c r="N357" s="5" t="str">
        <f>IFERROR(__xludf.DUMMYFUNCTION("IF(AND(F357&lt;&gt;"""",REGEXMATCH(SUBSTITUTE(F357,"" "",""""),""^-?\d+(\.\d+)?,-?\d+(\.\d+)?$""),VALUE(REGEXEXTRACT(SUBSTITUTE(F357,"" "",""""),""^-?\d+(\.\d+)?""))&gt;=-90,VALUE(REGEXEXTRACT(SUBSTITUTE(F357,"" "",""""),""^-?\d+(\.\d+)?""))&lt;=90,VALUE(REGEXEXTRACT"&amp;"(SUBSTITUTE(F357,"" "",""""),""-?\d+(\.\d+)?$""))&gt;=-180,VALUE(REGEXEXTRACT(SUBSTITUTE(F357,"" "",""""),""-?\d+(\.\d+)?$""))&lt;=180),""OK"",""REVISAR"")"),"#N/A")</f>
        <v>#N/A</v>
      </c>
    </row>
    <row r="358" ht="15.75" customHeight="1">
      <c r="A358" s="5" t="str">
        <f t="shared" si="1"/>
        <v>AD507-0356</v>
      </c>
      <c r="C358" s="5"/>
      <c r="F358" s="5"/>
      <c r="G358" s="5" t="str">
        <f t="shared" si="2"/>
        <v/>
      </c>
      <c r="H358" s="5" t="str">
        <f t="shared" si="3"/>
        <v/>
      </c>
      <c r="I358" s="5" t="str">
        <f t="shared" si="4"/>
        <v/>
      </c>
      <c r="J358" s="5" t="str">
        <f t="shared" si="5"/>
        <v/>
      </c>
      <c r="K358" s="5" t="str">
        <f>IFERROR(__xludf.DUMMYFUNCTION("IF(C358&lt;&gt;"""",HYPERLINK(""https://wa.me/507""&amp;REGEXREPLACE(C358,""[^0-9]"","""")&amp;""?text=""&amp;ENCODEURL(""Ya llegue. Codigo: ""&amp;A358&amp;"". Ubicacion: ""&amp;""https://www.google.com/maps/search/?api=1&amp;query=""&amp;SUBSTITUTE(F358,"" "","""")),""📲 Avisar al cliente"""&amp;"),"""")"),"")</f>
        <v/>
      </c>
      <c r="L358" s="5" t="str">
        <f>IFERROR(__xludf.DUMMYFUNCTION("IF(C358&lt;&gt;"""",""https://api.qrserver.com/v1/create-qr-code/?size=200x200&amp;data=""&amp;ENCODEURL(""https://wa.me/507""&amp;REGEXREPLACE(C358,""[^0-9]"","""")&amp;""?text=""&amp;ENCODEURL(""Ya llegue. Codigo: ""&amp;A358&amp;"". Ubicacion: ""&amp;""https://www.google.com/maps/search/?a"&amp;"pi=1&amp;query=""&amp;SUBSTITUTE(F358,"" "",""""))),"""")"),"")</f>
        <v/>
      </c>
      <c r="M358" s="5" t="str">
        <f t="shared" si="6"/>
        <v/>
      </c>
      <c r="N358" s="5" t="str">
        <f>IFERROR(__xludf.DUMMYFUNCTION("IF(AND(F358&lt;&gt;"""",REGEXMATCH(SUBSTITUTE(F358,"" "",""""),""^-?\d+(\.\d+)?,-?\d+(\.\d+)?$""),VALUE(REGEXEXTRACT(SUBSTITUTE(F358,"" "",""""),""^-?\d+(\.\d+)?""))&gt;=-90,VALUE(REGEXEXTRACT(SUBSTITUTE(F358,"" "",""""),""^-?\d+(\.\d+)?""))&lt;=90,VALUE(REGEXEXTRACT"&amp;"(SUBSTITUTE(F358,"" "",""""),""-?\d+(\.\d+)?$""))&gt;=-180,VALUE(REGEXEXTRACT(SUBSTITUTE(F358,"" "",""""),""-?\d+(\.\d+)?$""))&lt;=180),""OK"",""REVISAR"")"),"#N/A")</f>
        <v>#N/A</v>
      </c>
    </row>
    <row r="359" ht="15.75" customHeight="1">
      <c r="A359" s="5" t="str">
        <f t="shared" si="1"/>
        <v>AD507-0357</v>
      </c>
      <c r="C359" s="5"/>
      <c r="F359" s="5"/>
      <c r="G359" s="5" t="str">
        <f t="shared" si="2"/>
        <v/>
      </c>
      <c r="H359" s="5" t="str">
        <f t="shared" si="3"/>
        <v/>
      </c>
      <c r="I359" s="5" t="str">
        <f t="shared" si="4"/>
        <v/>
      </c>
      <c r="J359" s="5" t="str">
        <f t="shared" si="5"/>
        <v/>
      </c>
      <c r="K359" s="5" t="str">
        <f>IFERROR(__xludf.DUMMYFUNCTION("IF(C359&lt;&gt;"""",HYPERLINK(""https://wa.me/507""&amp;REGEXREPLACE(C359,""[^0-9]"","""")&amp;""?text=""&amp;ENCODEURL(""Ya llegue. Codigo: ""&amp;A359&amp;"". Ubicacion: ""&amp;""https://www.google.com/maps/search/?api=1&amp;query=""&amp;SUBSTITUTE(F359,"" "","""")),""📲 Avisar al cliente"""&amp;"),"""")"),"")</f>
        <v/>
      </c>
      <c r="L359" s="5" t="str">
        <f>IFERROR(__xludf.DUMMYFUNCTION("IF(C359&lt;&gt;"""",""https://api.qrserver.com/v1/create-qr-code/?size=200x200&amp;data=""&amp;ENCODEURL(""https://wa.me/507""&amp;REGEXREPLACE(C359,""[^0-9]"","""")&amp;""?text=""&amp;ENCODEURL(""Ya llegue. Codigo: ""&amp;A359&amp;"". Ubicacion: ""&amp;""https://www.google.com/maps/search/?a"&amp;"pi=1&amp;query=""&amp;SUBSTITUTE(F359,"" "",""""))),"""")"),"")</f>
        <v/>
      </c>
      <c r="M359" s="5" t="str">
        <f t="shared" si="6"/>
        <v/>
      </c>
      <c r="N359" s="5" t="str">
        <f>IFERROR(__xludf.DUMMYFUNCTION("IF(AND(F359&lt;&gt;"""",REGEXMATCH(SUBSTITUTE(F359,"" "",""""),""^-?\d+(\.\d+)?,-?\d+(\.\d+)?$""),VALUE(REGEXEXTRACT(SUBSTITUTE(F359,"" "",""""),""^-?\d+(\.\d+)?""))&gt;=-90,VALUE(REGEXEXTRACT(SUBSTITUTE(F359,"" "",""""),""^-?\d+(\.\d+)?""))&lt;=90,VALUE(REGEXEXTRACT"&amp;"(SUBSTITUTE(F359,"" "",""""),""-?\d+(\.\d+)?$""))&gt;=-180,VALUE(REGEXEXTRACT(SUBSTITUTE(F359,"" "",""""),""-?\d+(\.\d+)?$""))&lt;=180),""OK"",""REVISAR"")"),"#N/A")</f>
        <v>#N/A</v>
      </c>
    </row>
    <row r="360" ht="15.75" customHeight="1">
      <c r="A360" s="5" t="str">
        <f t="shared" si="1"/>
        <v>AD507-0358</v>
      </c>
      <c r="C360" s="5"/>
      <c r="F360" s="5"/>
      <c r="G360" s="5" t="str">
        <f t="shared" si="2"/>
        <v/>
      </c>
      <c r="H360" s="5" t="str">
        <f t="shared" si="3"/>
        <v/>
      </c>
      <c r="I360" s="5" t="str">
        <f t="shared" si="4"/>
        <v/>
      </c>
      <c r="J360" s="5" t="str">
        <f t="shared" si="5"/>
        <v/>
      </c>
      <c r="K360" s="5" t="str">
        <f>IFERROR(__xludf.DUMMYFUNCTION("IF(C360&lt;&gt;"""",HYPERLINK(""https://wa.me/507""&amp;REGEXREPLACE(C360,""[^0-9]"","""")&amp;""?text=""&amp;ENCODEURL(""Ya llegue. Codigo: ""&amp;A360&amp;"". Ubicacion: ""&amp;""https://www.google.com/maps/search/?api=1&amp;query=""&amp;SUBSTITUTE(F360,"" "","""")),""📲 Avisar al cliente"""&amp;"),"""")"),"")</f>
        <v/>
      </c>
      <c r="L360" s="5" t="str">
        <f>IFERROR(__xludf.DUMMYFUNCTION("IF(C360&lt;&gt;"""",""https://api.qrserver.com/v1/create-qr-code/?size=200x200&amp;data=""&amp;ENCODEURL(""https://wa.me/507""&amp;REGEXREPLACE(C360,""[^0-9]"","""")&amp;""?text=""&amp;ENCODEURL(""Ya llegue. Codigo: ""&amp;A360&amp;"". Ubicacion: ""&amp;""https://www.google.com/maps/search/?a"&amp;"pi=1&amp;query=""&amp;SUBSTITUTE(F360,"" "",""""))),"""")"),"")</f>
        <v/>
      </c>
      <c r="M360" s="5" t="str">
        <f t="shared" si="6"/>
        <v/>
      </c>
      <c r="N360" s="5" t="str">
        <f>IFERROR(__xludf.DUMMYFUNCTION("IF(AND(F360&lt;&gt;"""",REGEXMATCH(SUBSTITUTE(F360,"" "",""""),""^-?\d+(\.\d+)?,-?\d+(\.\d+)?$""),VALUE(REGEXEXTRACT(SUBSTITUTE(F360,"" "",""""),""^-?\d+(\.\d+)?""))&gt;=-90,VALUE(REGEXEXTRACT(SUBSTITUTE(F360,"" "",""""),""^-?\d+(\.\d+)?""))&lt;=90,VALUE(REGEXEXTRACT"&amp;"(SUBSTITUTE(F360,"" "",""""),""-?\d+(\.\d+)?$""))&gt;=-180,VALUE(REGEXEXTRACT(SUBSTITUTE(F360,"" "",""""),""-?\d+(\.\d+)?$""))&lt;=180),""OK"",""REVISAR"")"),"#N/A")</f>
        <v>#N/A</v>
      </c>
    </row>
    <row r="361" ht="15.75" customHeight="1">
      <c r="A361" s="5" t="str">
        <f t="shared" si="1"/>
        <v>AD507-0359</v>
      </c>
      <c r="C361" s="5"/>
      <c r="F361" s="5"/>
      <c r="G361" s="5" t="str">
        <f t="shared" si="2"/>
        <v/>
      </c>
      <c r="H361" s="5" t="str">
        <f t="shared" si="3"/>
        <v/>
      </c>
      <c r="I361" s="5" t="str">
        <f t="shared" si="4"/>
        <v/>
      </c>
      <c r="J361" s="5" t="str">
        <f t="shared" si="5"/>
        <v/>
      </c>
      <c r="K361" s="5" t="str">
        <f>IFERROR(__xludf.DUMMYFUNCTION("IF(C361&lt;&gt;"""",HYPERLINK(""https://wa.me/507""&amp;REGEXREPLACE(C361,""[^0-9]"","""")&amp;""?text=""&amp;ENCODEURL(""Ya llegue. Codigo: ""&amp;A361&amp;"". Ubicacion: ""&amp;""https://www.google.com/maps/search/?api=1&amp;query=""&amp;SUBSTITUTE(F361,"" "","""")),""📲 Avisar al cliente"""&amp;"),"""")"),"")</f>
        <v/>
      </c>
      <c r="L361" s="5" t="str">
        <f>IFERROR(__xludf.DUMMYFUNCTION("IF(C361&lt;&gt;"""",""https://api.qrserver.com/v1/create-qr-code/?size=200x200&amp;data=""&amp;ENCODEURL(""https://wa.me/507""&amp;REGEXREPLACE(C361,""[^0-9]"","""")&amp;""?text=""&amp;ENCODEURL(""Ya llegue. Codigo: ""&amp;A361&amp;"". Ubicacion: ""&amp;""https://www.google.com/maps/search/?a"&amp;"pi=1&amp;query=""&amp;SUBSTITUTE(F361,"" "",""""))),"""")"),"")</f>
        <v/>
      </c>
      <c r="M361" s="5" t="str">
        <f t="shared" si="6"/>
        <v/>
      </c>
      <c r="N361" s="5" t="str">
        <f>IFERROR(__xludf.DUMMYFUNCTION("IF(AND(F361&lt;&gt;"""",REGEXMATCH(SUBSTITUTE(F361,"" "",""""),""^-?\d+(\.\d+)?,-?\d+(\.\d+)?$""),VALUE(REGEXEXTRACT(SUBSTITUTE(F361,"" "",""""),""^-?\d+(\.\d+)?""))&gt;=-90,VALUE(REGEXEXTRACT(SUBSTITUTE(F361,"" "",""""),""^-?\d+(\.\d+)?""))&lt;=90,VALUE(REGEXEXTRACT"&amp;"(SUBSTITUTE(F361,"" "",""""),""-?\d+(\.\d+)?$""))&gt;=-180,VALUE(REGEXEXTRACT(SUBSTITUTE(F361,"" "",""""),""-?\d+(\.\d+)?$""))&lt;=180),""OK"",""REVISAR"")"),"#N/A")</f>
        <v>#N/A</v>
      </c>
    </row>
    <row r="362" ht="15.75" customHeight="1">
      <c r="A362" s="5" t="str">
        <f t="shared" si="1"/>
        <v>AD507-0360</v>
      </c>
      <c r="C362" s="5"/>
      <c r="F362" s="5"/>
      <c r="G362" s="5" t="str">
        <f t="shared" si="2"/>
        <v/>
      </c>
      <c r="H362" s="5" t="str">
        <f t="shared" si="3"/>
        <v/>
      </c>
      <c r="I362" s="5" t="str">
        <f t="shared" si="4"/>
        <v/>
      </c>
      <c r="J362" s="5" t="str">
        <f t="shared" si="5"/>
        <v/>
      </c>
      <c r="K362" s="5" t="str">
        <f>IFERROR(__xludf.DUMMYFUNCTION("IF(C362&lt;&gt;"""",HYPERLINK(""https://wa.me/507""&amp;REGEXREPLACE(C362,""[^0-9]"","""")&amp;""?text=""&amp;ENCODEURL(""Ya llegue. Codigo: ""&amp;A362&amp;"". Ubicacion: ""&amp;""https://www.google.com/maps/search/?api=1&amp;query=""&amp;SUBSTITUTE(F362,"" "","""")),""📲 Avisar al cliente"""&amp;"),"""")"),"")</f>
        <v/>
      </c>
      <c r="L362" s="5" t="str">
        <f>IFERROR(__xludf.DUMMYFUNCTION("IF(C362&lt;&gt;"""",""https://api.qrserver.com/v1/create-qr-code/?size=200x200&amp;data=""&amp;ENCODEURL(""https://wa.me/507""&amp;REGEXREPLACE(C362,""[^0-9]"","""")&amp;""?text=""&amp;ENCODEURL(""Ya llegue. Codigo: ""&amp;A362&amp;"". Ubicacion: ""&amp;""https://www.google.com/maps/search/?a"&amp;"pi=1&amp;query=""&amp;SUBSTITUTE(F362,"" "",""""))),"""")"),"")</f>
        <v/>
      </c>
      <c r="M362" s="5" t="str">
        <f t="shared" si="6"/>
        <v/>
      </c>
      <c r="N362" s="5" t="str">
        <f>IFERROR(__xludf.DUMMYFUNCTION("IF(AND(F362&lt;&gt;"""",REGEXMATCH(SUBSTITUTE(F362,"" "",""""),""^-?\d+(\.\d+)?,-?\d+(\.\d+)?$""),VALUE(REGEXEXTRACT(SUBSTITUTE(F362,"" "",""""),""^-?\d+(\.\d+)?""))&gt;=-90,VALUE(REGEXEXTRACT(SUBSTITUTE(F362,"" "",""""),""^-?\d+(\.\d+)?""))&lt;=90,VALUE(REGEXEXTRACT"&amp;"(SUBSTITUTE(F362,"" "",""""),""-?\d+(\.\d+)?$""))&gt;=-180,VALUE(REGEXEXTRACT(SUBSTITUTE(F362,"" "",""""),""-?\d+(\.\d+)?$""))&lt;=180),""OK"",""REVISAR"")"),"#N/A")</f>
        <v>#N/A</v>
      </c>
    </row>
    <row r="363" ht="15.75" customHeight="1">
      <c r="A363" s="5" t="str">
        <f t="shared" si="1"/>
        <v>AD507-0361</v>
      </c>
      <c r="C363" s="5"/>
      <c r="F363" s="5"/>
      <c r="G363" s="5" t="str">
        <f t="shared" si="2"/>
        <v/>
      </c>
      <c r="H363" s="5" t="str">
        <f t="shared" si="3"/>
        <v/>
      </c>
      <c r="I363" s="5" t="str">
        <f t="shared" si="4"/>
        <v/>
      </c>
      <c r="J363" s="5" t="str">
        <f t="shared" si="5"/>
        <v/>
      </c>
      <c r="K363" s="5" t="str">
        <f>IFERROR(__xludf.DUMMYFUNCTION("IF(C363&lt;&gt;"""",HYPERLINK(""https://wa.me/507""&amp;REGEXREPLACE(C363,""[^0-9]"","""")&amp;""?text=""&amp;ENCODEURL(""Ya llegue. Codigo: ""&amp;A363&amp;"". Ubicacion: ""&amp;""https://www.google.com/maps/search/?api=1&amp;query=""&amp;SUBSTITUTE(F363,"" "","""")),""📲 Avisar al cliente"""&amp;"),"""")"),"")</f>
        <v/>
      </c>
      <c r="L363" s="5" t="str">
        <f>IFERROR(__xludf.DUMMYFUNCTION("IF(C363&lt;&gt;"""",""https://api.qrserver.com/v1/create-qr-code/?size=200x200&amp;data=""&amp;ENCODEURL(""https://wa.me/507""&amp;REGEXREPLACE(C363,""[^0-9]"","""")&amp;""?text=""&amp;ENCODEURL(""Ya llegue. Codigo: ""&amp;A363&amp;"". Ubicacion: ""&amp;""https://www.google.com/maps/search/?a"&amp;"pi=1&amp;query=""&amp;SUBSTITUTE(F363,"" "",""""))),"""")"),"")</f>
        <v/>
      </c>
      <c r="M363" s="5" t="str">
        <f t="shared" si="6"/>
        <v/>
      </c>
      <c r="N363" s="5" t="str">
        <f>IFERROR(__xludf.DUMMYFUNCTION("IF(AND(F363&lt;&gt;"""",REGEXMATCH(SUBSTITUTE(F363,"" "",""""),""^-?\d+(\.\d+)?,-?\d+(\.\d+)?$""),VALUE(REGEXEXTRACT(SUBSTITUTE(F363,"" "",""""),""^-?\d+(\.\d+)?""))&gt;=-90,VALUE(REGEXEXTRACT(SUBSTITUTE(F363,"" "",""""),""^-?\d+(\.\d+)?""))&lt;=90,VALUE(REGEXEXTRACT"&amp;"(SUBSTITUTE(F363,"" "",""""),""-?\d+(\.\d+)?$""))&gt;=-180,VALUE(REGEXEXTRACT(SUBSTITUTE(F363,"" "",""""),""-?\d+(\.\d+)?$""))&lt;=180),""OK"",""REVISAR"")"),"#N/A")</f>
        <v>#N/A</v>
      </c>
    </row>
    <row r="364" ht="15.75" customHeight="1">
      <c r="A364" s="5" t="str">
        <f t="shared" si="1"/>
        <v>AD507-0362</v>
      </c>
      <c r="C364" s="5"/>
      <c r="F364" s="5"/>
      <c r="G364" s="5" t="str">
        <f t="shared" si="2"/>
        <v/>
      </c>
      <c r="H364" s="5" t="str">
        <f t="shared" si="3"/>
        <v/>
      </c>
      <c r="I364" s="5" t="str">
        <f t="shared" si="4"/>
        <v/>
      </c>
      <c r="J364" s="5" t="str">
        <f t="shared" si="5"/>
        <v/>
      </c>
      <c r="K364" s="5" t="str">
        <f>IFERROR(__xludf.DUMMYFUNCTION("IF(C364&lt;&gt;"""",HYPERLINK(""https://wa.me/507""&amp;REGEXREPLACE(C364,""[^0-9]"","""")&amp;""?text=""&amp;ENCODEURL(""Ya llegue. Codigo: ""&amp;A364&amp;"". Ubicacion: ""&amp;""https://www.google.com/maps/search/?api=1&amp;query=""&amp;SUBSTITUTE(F364,"" "","""")),""📲 Avisar al cliente"""&amp;"),"""")"),"")</f>
        <v/>
      </c>
      <c r="L364" s="5" t="str">
        <f>IFERROR(__xludf.DUMMYFUNCTION("IF(C364&lt;&gt;"""",""https://api.qrserver.com/v1/create-qr-code/?size=200x200&amp;data=""&amp;ENCODEURL(""https://wa.me/507""&amp;REGEXREPLACE(C364,""[^0-9]"","""")&amp;""?text=""&amp;ENCODEURL(""Ya llegue. Codigo: ""&amp;A364&amp;"". Ubicacion: ""&amp;""https://www.google.com/maps/search/?a"&amp;"pi=1&amp;query=""&amp;SUBSTITUTE(F364,"" "",""""))),"""")"),"")</f>
        <v/>
      </c>
      <c r="M364" s="5" t="str">
        <f t="shared" si="6"/>
        <v/>
      </c>
      <c r="N364" s="5" t="str">
        <f>IFERROR(__xludf.DUMMYFUNCTION("IF(AND(F364&lt;&gt;"""",REGEXMATCH(SUBSTITUTE(F364,"" "",""""),""^-?\d+(\.\d+)?,-?\d+(\.\d+)?$""),VALUE(REGEXEXTRACT(SUBSTITUTE(F364,"" "",""""),""^-?\d+(\.\d+)?""))&gt;=-90,VALUE(REGEXEXTRACT(SUBSTITUTE(F364,"" "",""""),""^-?\d+(\.\d+)?""))&lt;=90,VALUE(REGEXEXTRACT"&amp;"(SUBSTITUTE(F364,"" "",""""),""-?\d+(\.\d+)?$""))&gt;=-180,VALUE(REGEXEXTRACT(SUBSTITUTE(F364,"" "",""""),""-?\d+(\.\d+)?$""))&lt;=180),""OK"",""REVISAR"")"),"#N/A")</f>
        <v>#N/A</v>
      </c>
    </row>
    <row r="365" ht="15.75" customHeight="1">
      <c r="A365" s="5" t="str">
        <f t="shared" si="1"/>
        <v>AD507-0363</v>
      </c>
      <c r="C365" s="5"/>
      <c r="F365" s="5"/>
      <c r="G365" s="5" t="str">
        <f t="shared" si="2"/>
        <v/>
      </c>
      <c r="H365" s="5" t="str">
        <f t="shared" si="3"/>
        <v/>
      </c>
      <c r="I365" s="5" t="str">
        <f t="shared" si="4"/>
        <v/>
      </c>
      <c r="J365" s="5" t="str">
        <f t="shared" si="5"/>
        <v/>
      </c>
      <c r="K365" s="5" t="str">
        <f>IFERROR(__xludf.DUMMYFUNCTION("IF(C365&lt;&gt;"""",HYPERLINK(""https://wa.me/507""&amp;REGEXREPLACE(C365,""[^0-9]"","""")&amp;""?text=""&amp;ENCODEURL(""Ya llegue. Codigo: ""&amp;A365&amp;"". Ubicacion: ""&amp;""https://www.google.com/maps/search/?api=1&amp;query=""&amp;SUBSTITUTE(F365,"" "","""")),""📲 Avisar al cliente"""&amp;"),"""")"),"")</f>
        <v/>
      </c>
      <c r="L365" s="5" t="str">
        <f>IFERROR(__xludf.DUMMYFUNCTION("IF(C365&lt;&gt;"""",""https://api.qrserver.com/v1/create-qr-code/?size=200x200&amp;data=""&amp;ENCODEURL(""https://wa.me/507""&amp;REGEXREPLACE(C365,""[^0-9]"","""")&amp;""?text=""&amp;ENCODEURL(""Ya llegue. Codigo: ""&amp;A365&amp;"". Ubicacion: ""&amp;""https://www.google.com/maps/search/?a"&amp;"pi=1&amp;query=""&amp;SUBSTITUTE(F365,"" "",""""))),"""")"),"")</f>
        <v/>
      </c>
      <c r="M365" s="5" t="str">
        <f t="shared" si="6"/>
        <v/>
      </c>
      <c r="N365" s="5" t="str">
        <f>IFERROR(__xludf.DUMMYFUNCTION("IF(AND(F365&lt;&gt;"""",REGEXMATCH(SUBSTITUTE(F365,"" "",""""),""^-?\d+(\.\d+)?,-?\d+(\.\d+)?$""),VALUE(REGEXEXTRACT(SUBSTITUTE(F365,"" "",""""),""^-?\d+(\.\d+)?""))&gt;=-90,VALUE(REGEXEXTRACT(SUBSTITUTE(F365,"" "",""""),""^-?\d+(\.\d+)?""))&lt;=90,VALUE(REGEXEXTRACT"&amp;"(SUBSTITUTE(F365,"" "",""""),""-?\d+(\.\d+)?$""))&gt;=-180,VALUE(REGEXEXTRACT(SUBSTITUTE(F365,"" "",""""),""-?\d+(\.\d+)?$""))&lt;=180),""OK"",""REVISAR"")"),"#N/A")</f>
        <v>#N/A</v>
      </c>
    </row>
    <row r="366" ht="15.75" customHeight="1">
      <c r="A366" s="5" t="str">
        <f t="shared" si="1"/>
        <v>AD507-0364</v>
      </c>
      <c r="C366" s="5"/>
      <c r="F366" s="5"/>
      <c r="G366" s="5" t="str">
        <f t="shared" si="2"/>
        <v/>
      </c>
      <c r="H366" s="5" t="str">
        <f t="shared" si="3"/>
        <v/>
      </c>
      <c r="I366" s="5" t="str">
        <f t="shared" si="4"/>
        <v/>
      </c>
      <c r="J366" s="5" t="str">
        <f t="shared" si="5"/>
        <v/>
      </c>
      <c r="K366" s="5" t="str">
        <f>IFERROR(__xludf.DUMMYFUNCTION("IF(C366&lt;&gt;"""",HYPERLINK(""https://wa.me/507""&amp;REGEXREPLACE(C366,""[^0-9]"","""")&amp;""?text=""&amp;ENCODEURL(""Ya llegue. Codigo: ""&amp;A366&amp;"". Ubicacion: ""&amp;""https://www.google.com/maps/search/?api=1&amp;query=""&amp;SUBSTITUTE(F366,"" "","""")),""📲 Avisar al cliente"""&amp;"),"""")"),"")</f>
        <v/>
      </c>
      <c r="L366" s="5" t="str">
        <f>IFERROR(__xludf.DUMMYFUNCTION("IF(C366&lt;&gt;"""",""https://api.qrserver.com/v1/create-qr-code/?size=200x200&amp;data=""&amp;ENCODEURL(""https://wa.me/507""&amp;REGEXREPLACE(C366,""[^0-9]"","""")&amp;""?text=""&amp;ENCODEURL(""Ya llegue. Codigo: ""&amp;A366&amp;"". Ubicacion: ""&amp;""https://www.google.com/maps/search/?a"&amp;"pi=1&amp;query=""&amp;SUBSTITUTE(F366,"" "",""""))),"""")"),"")</f>
        <v/>
      </c>
      <c r="M366" s="5" t="str">
        <f t="shared" si="6"/>
        <v/>
      </c>
      <c r="N366" s="5" t="str">
        <f>IFERROR(__xludf.DUMMYFUNCTION("IF(AND(F366&lt;&gt;"""",REGEXMATCH(SUBSTITUTE(F366,"" "",""""),""^-?\d+(\.\d+)?,-?\d+(\.\d+)?$""),VALUE(REGEXEXTRACT(SUBSTITUTE(F366,"" "",""""),""^-?\d+(\.\d+)?""))&gt;=-90,VALUE(REGEXEXTRACT(SUBSTITUTE(F366,"" "",""""),""^-?\d+(\.\d+)?""))&lt;=90,VALUE(REGEXEXTRACT"&amp;"(SUBSTITUTE(F366,"" "",""""),""-?\d+(\.\d+)?$""))&gt;=-180,VALUE(REGEXEXTRACT(SUBSTITUTE(F366,"" "",""""),""-?\d+(\.\d+)?$""))&lt;=180),""OK"",""REVISAR"")"),"#N/A")</f>
        <v>#N/A</v>
      </c>
    </row>
    <row r="367" ht="15.75" customHeight="1">
      <c r="A367" s="5" t="str">
        <f t="shared" si="1"/>
        <v>AD507-0365</v>
      </c>
      <c r="C367" s="5"/>
      <c r="F367" s="5"/>
      <c r="G367" s="5" t="str">
        <f t="shared" si="2"/>
        <v/>
      </c>
      <c r="H367" s="5" t="str">
        <f t="shared" si="3"/>
        <v/>
      </c>
      <c r="I367" s="5" t="str">
        <f t="shared" si="4"/>
        <v/>
      </c>
      <c r="J367" s="5" t="str">
        <f t="shared" si="5"/>
        <v/>
      </c>
      <c r="K367" s="5" t="str">
        <f>IFERROR(__xludf.DUMMYFUNCTION("IF(C367&lt;&gt;"""",HYPERLINK(""https://wa.me/507""&amp;REGEXREPLACE(C367,""[^0-9]"","""")&amp;""?text=""&amp;ENCODEURL(""Ya llegue. Codigo: ""&amp;A367&amp;"". Ubicacion: ""&amp;""https://www.google.com/maps/search/?api=1&amp;query=""&amp;SUBSTITUTE(F367,"" "","""")),""📲 Avisar al cliente"""&amp;"),"""")"),"")</f>
        <v/>
      </c>
      <c r="L367" s="5" t="str">
        <f>IFERROR(__xludf.DUMMYFUNCTION("IF(C367&lt;&gt;"""",""https://api.qrserver.com/v1/create-qr-code/?size=200x200&amp;data=""&amp;ENCODEURL(""https://wa.me/507""&amp;REGEXREPLACE(C367,""[^0-9]"","""")&amp;""?text=""&amp;ENCODEURL(""Ya llegue. Codigo: ""&amp;A367&amp;"". Ubicacion: ""&amp;""https://www.google.com/maps/search/?a"&amp;"pi=1&amp;query=""&amp;SUBSTITUTE(F367,"" "",""""))),"""")"),"")</f>
        <v/>
      </c>
      <c r="M367" s="5" t="str">
        <f t="shared" si="6"/>
        <v/>
      </c>
      <c r="N367" s="5" t="str">
        <f>IFERROR(__xludf.DUMMYFUNCTION("IF(AND(F367&lt;&gt;"""",REGEXMATCH(SUBSTITUTE(F367,"" "",""""),""^-?\d+(\.\d+)?,-?\d+(\.\d+)?$""),VALUE(REGEXEXTRACT(SUBSTITUTE(F367,"" "",""""),""^-?\d+(\.\d+)?""))&gt;=-90,VALUE(REGEXEXTRACT(SUBSTITUTE(F367,"" "",""""),""^-?\d+(\.\d+)?""))&lt;=90,VALUE(REGEXEXTRACT"&amp;"(SUBSTITUTE(F367,"" "",""""),""-?\d+(\.\d+)?$""))&gt;=-180,VALUE(REGEXEXTRACT(SUBSTITUTE(F367,"" "",""""),""-?\d+(\.\d+)?$""))&lt;=180),""OK"",""REVISAR"")"),"#N/A")</f>
        <v>#N/A</v>
      </c>
    </row>
    <row r="368" ht="15.75" customHeight="1">
      <c r="A368" s="5" t="str">
        <f t="shared" si="1"/>
        <v>AD507-0366</v>
      </c>
      <c r="C368" s="5"/>
      <c r="F368" s="5"/>
      <c r="G368" s="5" t="str">
        <f t="shared" si="2"/>
        <v/>
      </c>
      <c r="H368" s="5" t="str">
        <f t="shared" si="3"/>
        <v/>
      </c>
      <c r="I368" s="5" t="str">
        <f t="shared" si="4"/>
        <v/>
      </c>
      <c r="J368" s="5" t="str">
        <f t="shared" si="5"/>
        <v/>
      </c>
      <c r="K368" s="5" t="str">
        <f>IFERROR(__xludf.DUMMYFUNCTION("IF(C368&lt;&gt;"""",HYPERLINK(""https://wa.me/507""&amp;REGEXREPLACE(C368,""[^0-9]"","""")&amp;""?text=""&amp;ENCODEURL(""Ya llegue. Codigo: ""&amp;A368&amp;"". Ubicacion: ""&amp;""https://www.google.com/maps/search/?api=1&amp;query=""&amp;SUBSTITUTE(F368,"" "","""")),""📲 Avisar al cliente"""&amp;"),"""")"),"")</f>
        <v/>
      </c>
      <c r="L368" s="5" t="str">
        <f>IFERROR(__xludf.DUMMYFUNCTION("IF(C368&lt;&gt;"""",""https://api.qrserver.com/v1/create-qr-code/?size=200x200&amp;data=""&amp;ENCODEURL(""https://wa.me/507""&amp;REGEXREPLACE(C368,""[^0-9]"","""")&amp;""?text=""&amp;ENCODEURL(""Ya llegue. Codigo: ""&amp;A368&amp;"". Ubicacion: ""&amp;""https://www.google.com/maps/search/?a"&amp;"pi=1&amp;query=""&amp;SUBSTITUTE(F368,"" "",""""))),"""")"),"")</f>
        <v/>
      </c>
      <c r="M368" s="5" t="str">
        <f t="shared" si="6"/>
        <v/>
      </c>
      <c r="N368" s="5" t="str">
        <f>IFERROR(__xludf.DUMMYFUNCTION("IF(AND(F368&lt;&gt;"""",REGEXMATCH(SUBSTITUTE(F368,"" "",""""),""^-?\d+(\.\d+)?,-?\d+(\.\d+)?$""),VALUE(REGEXEXTRACT(SUBSTITUTE(F368,"" "",""""),""^-?\d+(\.\d+)?""))&gt;=-90,VALUE(REGEXEXTRACT(SUBSTITUTE(F368,"" "",""""),""^-?\d+(\.\d+)?""))&lt;=90,VALUE(REGEXEXTRACT"&amp;"(SUBSTITUTE(F368,"" "",""""),""-?\d+(\.\d+)?$""))&gt;=-180,VALUE(REGEXEXTRACT(SUBSTITUTE(F368,"" "",""""),""-?\d+(\.\d+)?$""))&lt;=180),""OK"",""REVISAR"")"),"#N/A")</f>
        <v>#N/A</v>
      </c>
    </row>
    <row r="369" ht="15.75" customHeight="1">
      <c r="A369" s="5" t="str">
        <f t="shared" si="1"/>
        <v>AD507-0367</v>
      </c>
      <c r="C369" s="5"/>
      <c r="F369" s="5"/>
      <c r="G369" s="5" t="str">
        <f t="shared" si="2"/>
        <v/>
      </c>
      <c r="H369" s="5" t="str">
        <f t="shared" si="3"/>
        <v/>
      </c>
      <c r="I369" s="5" t="str">
        <f t="shared" si="4"/>
        <v/>
      </c>
      <c r="J369" s="5" t="str">
        <f t="shared" si="5"/>
        <v/>
      </c>
      <c r="K369" s="5" t="str">
        <f>IFERROR(__xludf.DUMMYFUNCTION("IF(C369&lt;&gt;"""",HYPERLINK(""https://wa.me/507""&amp;REGEXREPLACE(C369,""[^0-9]"","""")&amp;""?text=""&amp;ENCODEURL(""Ya llegue. Codigo: ""&amp;A369&amp;"". Ubicacion: ""&amp;""https://www.google.com/maps/search/?api=1&amp;query=""&amp;SUBSTITUTE(F369,"" "","""")),""📲 Avisar al cliente"""&amp;"),"""")"),"")</f>
        <v/>
      </c>
      <c r="L369" s="5" t="str">
        <f>IFERROR(__xludf.DUMMYFUNCTION("IF(C369&lt;&gt;"""",""https://api.qrserver.com/v1/create-qr-code/?size=200x200&amp;data=""&amp;ENCODEURL(""https://wa.me/507""&amp;REGEXREPLACE(C369,""[^0-9]"","""")&amp;""?text=""&amp;ENCODEURL(""Ya llegue. Codigo: ""&amp;A369&amp;"". Ubicacion: ""&amp;""https://www.google.com/maps/search/?a"&amp;"pi=1&amp;query=""&amp;SUBSTITUTE(F369,"" "",""""))),"""")"),"")</f>
        <v/>
      </c>
      <c r="M369" s="5" t="str">
        <f t="shared" si="6"/>
        <v/>
      </c>
      <c r="N369" s="5" t="str">
        <f>IFERROR(__xludf.DUMMYFUNCTION("IF(AND(F369&lt;&gt;"""",REGEXMATCH(SUBSTITUTE(F369,"" "",""""),""^-?\d+(\.\d+)?,-?\d+(\.\d+)?$""),VALUE(REGEXEXTRACT(SUBSTITUTE(F369,"" "",""""),""^-?\d+(\.\d+)?""))&gt;=-90,VALUE(REGEXEXTRACT(SUBSTITUTE(F369,"" "",""""),""^-?\d+(\.\d+)?""))&lt;=90,VALUE(REGEXEXTRACT"&amp;"(SUBSTITUTE(F369,"" "",""""),""-?\d+(\.\d+)?$""))&gt;=-180,VALUE(REGEXEXTRACT(SUBSTITUTE(F369,"" "",""""),""-?\d+(\.\d+)?$""))&lt;=180),""OK"",""REVISAR"")"),"#N/A")</f>
        <v>#N/A</v>
      </c>
    </row>
    <row r="370" ht="15.75" customHeight="1">
      <c r="A370" s="5" t="str">
        <f t="shared" si="1"/>
        <v>AD507-0368</v>
      </c>
      <c r="C370" s="5"/>
      <c r="F370" s="5"/>
      <c r="G370" s="5" t="str">
        <f t="shared" si="2"/>
        <v/>
      </c>
      <c r="H370" s="5" t="str">
        <f t="shared" si="3"/>
        <v/>
      </c>
      <c r="I370" s="5" t="str">
        <f t="shared" si="4"/>
        <v/>
      </c>
      <c r="J370" s="5" t="str">
        <f t="shared" si="5"/>
        <v/>
      </c>
      <c r="K370" s="5" t="str">
        <f>IFERROR(__xludf.DUMMYFUNCTION("IF(C370&lt;&gt;"""",HYPERLINK(""https://wa.me/507""&amp;REGEXREPLACE(C370,""[^0-9]"","""")&amp;""?text=""&amp;ENCODEURL(""Ya llegue. Codigo: ""&amp;A370&amp;"". Ubicacion: ""&amp;""https://www.google.com/maps/search/?api=1&amp;query=""&amp;SUBSTITUTE(F370,"" "","""")),""📲 Avisar al cliente"""&amp;"),"""")"),"")</f>
        <v/>
      </c>
      <c r="L370" s="5" t="str">
        <f>IFERROR(__xludf.DUMMYFUNCTION("IF(C370&lt;&gt;"""",""https://api.qrserver.com/v1/create-qr-code/?size=200x200&amp;data=""&amp;ENCODEURL(""https://wa.me/507""&amp;REGEXREPLACE(C370,""[^0-9]"","""")&amp;""?text=""&amp;ENCODEURL(""Ya llegue. Codigo: ""&amp;A370&amp;"". Ubicacion: ""&amp;""https://www.google.com/maps/search/?a"&amp;"pi=1&amp;query=""&amp;SUBSTITUTE(F370,"" "",""""))),"""")"),"")</f>
        <v/>
      </c>
      <c r="M370" s="5" t="str">
        <f t="shared" si="6"/>
        <v/>
      </c>
      <c r="N370" s="5" t="str">
        <f>IFERROR(__xludf.DUMMYFUNCTION("IF(AND(F370&lt;&gt;"""",REGEXMATCH(SUBSTITUTE(F370,"" "",""""),""^-?\d+(\.\d+)?,-?\d+(\.\d+)?$""),VALUE(REGEXEXTRACT(SUBSTITUTE(F370,"" "",""""),""^-?\d+(\.\d+)?""))&gt;=-90,VALUE(REGEXEXTRACT(SUBSTITUTE(F370,"" "",""""),""^-?\d+(\.\d+)?""))&lt;=90,VALUE(REGEXEXTRACT"&amp;"(SUBSTITUTE(F370,"" "",""""),""-?\d+(\.\d+)?$""))&gt;=-180,VALUE(REGEXEXTRACT(SUBSTITUTE(F370,"" "",""""),""-?\d+(\.\d+)?$""))&lt;=180),""OK"",""REVISAR"")"),"#N/A")</f>
        <v>#N/A</v>
      </c>
    </row>
    <row r="371" ht="15.75" customHeight="1">
      <c r="A371" s="5" t="str">
        <f t="shared" si="1"/>
        <v>AD507-0369</v>
      </c>
      <c r="C371" s="5"/>
      <c r="F371" s="5"/>
      <c r="G371" s="5" t="str">
        <f t="shared" si="2"/>
        <v/>
      </c>
      <c r="H371" s="5" t="str">
        <f t="shared" si="3"/>
        <v/>
      </c>
      <c r="I371" s="5" t="str">
        <f t="shared" si="4"/>
        <v/>
      </c>
      <c r="J371" s="5" t="str">
        <f t="shared" si="5"/>
        <v/>
      </c>
      <c r="K371" s="5" t="str">
        <f>IFERROR(__xludf.DUMMYFUNCTION("IF(C371&lt;&gt;"""",HYPERLINK(""https://wa.me/507""&amp;REGEXREPLACE(C371,""[^0-9]"","""")&amp;""?text=""&amp;ENCODEURL(""Ya llegue. Codigo: ""&amp;A371&amp;"". Ubicacion: ""&amp;""https://www.google.com/maps/search/?api=1&amp;query=""&amp;SUBSTITUTE(F371,"" "","""")),""📲 Avisar al cliente"""&amp;"),"""")"),"")</f>
        <v/>
      </c>
      <c r="L371" s="5" t="str">
        <f>IFERROR(__xludf.DUMMYFUNCTION("IF(C371&lt;&gt;"""",""https://api.qrserver.com/v1/create-qr-code/?size=200x200&amp;data=""&amp;ENCODEURL(""https://wa.me/507""&amp;REGEXREPLACE(C371,""[^0-9]"","""")&amp;""?text=""&amp;ENCODEURL(""Ya llegue. Codigo: ""&amp;A371&amp;"". Ubicacion: ""&amp;""https://www.google.com/maps/search/?a"&amp;"pi=1&amp;query=""&amp;SUBSTITUTE(F371,"" "",""""))),"""")"),"")</f>
        <v/>
      </c>
      <c r="M371" s="5" t="str">
        <f t="shared" si="6"/>
        <v/>
      </c>
      <c r="N371" s="5" t="str">
        <f>IFERROR(__xludf.DUMMYFUNCTION("IF(AND(F371&lt;&gt;"""",REGEXMATCH(SUBSTITUTE(F371,"" "",""""),""^-?\d+(\.\d+)?,-?\d+(\.\d+)?$""),VALUE(REGEXEXTRACT(SUBSTITUTE(F371,"" "",""""),""^-?\d+(\.\d+)?""))&gt;=-90,VALUE(REGEXEXTRACT(SUBSTITUTE(F371,"" "",""""),""^-?\d+(\.\d+)?""))&lt;=90,VALUE(REGEXEXTRACT"&amp;"(SUBSTITUTE(F371,"" "",""""),""-?\d+(\.\d+)?$""))&gt;=-180,VALUE(REGEXEXTRACT(SUBSTITUTE(F371,"" "",""""),""-?\d+(\.\d+)?$""))&lt;=180),""OK"",""REVISAR"")"),"#N/A")</f>
        <v>#N/A</v>
      </c>
    </row>
    <row r="372" ht="15.75" customHeight="1">
      <c r="A372" s="5" t="str">
        <f t="shared" si="1"/>
        <v>AD507-0370</v>
      </c>
      <c r="C372" s="5"/>
      <c r="F372" s="5"/>
      <c r="G372" s="5" t="str">
        <f t="shared" si="2"/>
        <v/>
      </c>
      <c r="H372" s="5" t="str">
        <f t="shared" si="3"/>
        <v/>
      </c>
      <c r="I372" s="5" t="str">
        <f t="shared" si="4"/>
        <v/>
      </c>
      <c r="J372" s="5" t="str">
        <f t="shared" si="5"/>
        <v/>
      </c>
      <c r="K372" s="5" t="str">
        <f>IFERROR(__xludf.DUMMYFUNCTION("IF(C372&lt;&gt;"""",HYPERLINK(""https://wa.me/507""&amp;REGEXREPLACE(C372,""[^0-9]"","""")&amp;""?text=""&amp;ENCODEURL(""Ya llegue. Codigo: ""&amp;A372&amp;"". Ubicacion: ""&amp;""https://www.google.com/maps/search/?api=1&amp;query=""&amp;SUBSTITUTE(F372,"" "","""")),""📲 Avisar al cliente"""&amp;"),"""")"),"")</f>
        <v/>
      </c>
      <c r="L372" s="5" t="str">
        <f>IFERROR(__xludf.DUMMYFUNCTION("IF(C372&lt;&gt;"""",""https://api.qrserver.com/v1/create-qr-code/?size=200x200&amp;data=""&amp;ENCODEURL(""https://wa.me/507""&amp;REGEXREPLACE(C372,""[^0-9]"","""")&amp;""?text=""&amp;ENCODEURL(""Ya llegue. Codigo: ""&amp;A372&amp;"". Ubicacion: ""&amp;""https://www.google.com/maps/search/?a"&amp;"pi=1&amp;query=""&amp;SUBSTITUTE(F372,"" "",""""))),"""")"),"")</f>
        <v/>
      </c>
      <c r="M372" s="5" t="str">
        <f t="shared" si="6"/>
        <v/>
      </c>
      <c r="N372" s="5" t="str">
        <f>IFERROR(__xludf.DUMMYFUNCTION("IF(AND(F372&lt;&gt;"""",REGEXMATCH(SUBSTITUTE(F372,"" "",""""),""^-?\d+(\.\d+)?,-?\d+(\.\d+)?$""),VALUE(REGEXEXTRACT(SUBSTITUTE(F372,"" "",""""),""^-?\d+(\.\d+)?""))&gt;=-90,VALUE(REGEXEXTRACT(SUBSTITUTE(F372,"" "",""""),""^-?\d+(\.\d+)?""))&lt;=90,VALUE(REGEXEXTRACT"&amp;"(SUBSTITUTE(F372,"" "",""""),""-?\d+(\.\d+)?$""))&gt;=-180,VALUE(REGEXEXTRACT(SUBSTITUTE(F372,"" "",""""),""-?\d+(\.\d+)?$""))&lt;=180),""OK"",""REVISAR"")"),"#N/A")</f>
        <v>#N/A</v>
      </c>
    </row>
    <row r="373" ht="15.75" customHeight="1">
      <c r="A373" s="5" t="str">
        <f t="shared" si="1"/>
        <v>AD507-0371</v>
      </c>
      <c r="C373" s="5"/>
      <c r="F373" s="5"/>
      <c r="G373" s="5" t="str">
        <f t="shared" si="2"/>
        <v/>
      </c>
      <c r="H373" s="5" t="str">
        <f t="shared" si="3"/>
        <v/>
      </c>
      <c r="I373" s="5" t="str">
        <f t="shared" si="4"/>
        <v/>
      </c>
      <c r="J373" s="5" t="str">
        <f t="shared" si="5"/>
        <v/>
      </c>
      <c r="K373" s="5" t="str">
        <f>IFERROR(__xludf.DUMMYFUNCTION("IF(C373&lt;&gt;"""",HYPERLINK(""https://wa.me/507""&amp;REGEXREPLACE(C373,""[^0-9]"","""")&amp;""?text=""&amp;ENCODEURL(""Ya llegue. Codigo: ""&amp;A373&amp;"". Ubicacion: ""&amp;""https://www.google.com/maps/search/?api=1&amp;query=""&amp;SUBSTITUTE(F373,"" "","""")),""📲 Avisar al cliente"""&amp;"),"""")"),"")</f>
        <v/>
      </c>
      <c r="L373" s="5" t="str">
        <f>IFERROR(__xludf.DUMMYFUNCTION("IF(C373&lt;&gt;"""",""https://api.qrserver.com/v1/create-qr-code/?size=200x200&amp;data=""&amp;ENCODEURL(""https://wa.me/507""&amp;REGEXREPLACE(C373,""[^0-9]"","""")&amp;""?text=""&amp;ENCODEURL(""Ya llegue. Codigo: ""&amp;A373&amp;"". Ubicacion: ""&amp;""https://www.google.com/maps/search/?a"&amp;"pi=1&amp;query=""&amp;SUBSTITUTE(F373,"" "",""""))),"""")"),"")</f>
        <v/>
      </c>
      <c r="M373" s="5" t="str">
        <f t="shared" si="6"/>
        <v/>
      </c>
      <c r="N373" s="5" t="str">
        <f>IFERROR(__xludf.DUMMYFUNCTION("IF(AND(F373&lt;&gt;"""",REGEXMATCH(SUBSTITUTE(F373,"" "",""""),""^-?\d+(\.\d+)?,-?\d+(\.\d+)?$""),VALUE(REGEXEXTRACT(SUBSTITUTE(F373,"" "",""""),""^-?\d+(\.\d+)?""))&gt;=-90,VALUE(REGEXEXTRACT(SUBSTITUTE(F373,"" "",""""),""^-?\d+(\.\d+)?""))&lt;=90,VALUE(REGEXEXTRACT"&amp;"(SUBSTITUTE(F373,"" "",""""),""-?\d+(\.\d+)?$""))&gt;=-180,VALUE(REGEXEXTRACT(SUBSTITUTE(F373,"" "",""""),""-?\d+(\.\d+)?$""))&lt;=180),""OK"",""REVISAR"")"),"#N/A")</f>
        <v>#N/A</v>
      </c>
    </row>
    <row r="374" ht="15.75" customHeight="1">
      <c r="A374" s="5" t="str">
        <f t="shared" si="1"/>
        <v>AD507-0372</v>
      </c>
      <c r="C374" s="5"/>
      <c r="F374" s="5"/>
      <c r="G374" s="5" t="str">
        <f t="shared" si="2"/>
        <v/>
      </c>
      <c r="H374" s="5" t="str">
        <f t="shared" si="3"/>
        <v/>
      </c>
      <c r="I374" s="5" t="str">
        <f t="shared" si="4"/>
        <v/>
      </c>
      <c r="J374" s="5" t="str">
        <f t="shared" si="5"/>
        <v/>
      </c>
      <c r="K374" s="5" t="str">
        <f>IFERROR(__xludf.DUMMYFUNCTION("IF(C374&lt;&gt;"""",HYPERLINK(""https://wa.me/507""&amp;REGEXREPLACE(C374,""[^0-9]"","""")&amp;""?text=""&amp;ENCODEURL(""Ya llegue. Codigo: ""&amp;A374&amp;"". Ubicacion: ""&amp;""https://www.google.com/maps/search/?api=1&amp;query=""&amp;SUBSTITUTE(F374,"" "","""")),""📲 Avisar al cliente"""&amp;"),"""")"),"")</f>
        <v/>
      </c>
      <c r="L374" s="5" t="str">
        <f>IFERROR(__xludf.DUMMYFUNCTION("IF(C374&lt;&gt;"""",""https://api.qrserver.com/v1/create-qr-code/?size=200x200&amp;data=""&amp;ENCODEURL(""https://wa.me/507""&amp;REGEXREPLACE(C374,""[^0-9]"","""")&amp;""?text=""&amp;ENCODEURL(""Ya llegue. Codigo: ""&amp;A374&amp;"". Ubicacion: ""&amp;""https://www.google.com/maps/search/?a"&amp;"pi=1&amp;query=""&amp;SUBSTITUTE(F374,"" "",""""))),"""")"),"")</f>
        <v/>
      </c>
      <c r="M374" s="5" t="str">
        <f t="shared" si="6"/>
        <v/>
      </c>
      <c r="N374" s="5" t="str">
        <f>IFERROR(__xludf.DUMMYFUNCTION("IF(AND(F374&lt;&gt;"""",REGEXMATCH(SUBSTITUTE(F374,"" "",""""),""^-?\d+(\.\d+)?,-?\d+(\.\d+)?$""),VALUE(REGEXEXTRACT(SUBSTITUTE(F374,"" "",""""),""^-?\d+(\.\d+)?""))&gt;=-90,VALUE(REGEXEXTRACT(SUBSTITUTE(F374,"" "",""""),""^-?\d+(\.\d+)?""))&lt;=90,VALUE(REGEXEXTRACT"&amp;"(SUBSTITUTE(F374,"" "",""""),""-?\d+(\.\d+)?$""))&gt;=-180,VALUE(REGEXEXTRACT(SUBSTITUTE(F374,"" "",""""),""-?\d+(\.\d+)?$""))&lt;=180),""OK"",""REVISAR"")"),"#N/A")</f>
        <v>#N/A</v>
      </c>
    </row>
    <row r="375" ht="15.75" customHeight="1">
      <c r="A375" s="5" t="str">
        <f t="shared" si="1"/>
        <v>AD507-0373</v>
      </c>
      <c r="C375" s="5"/>
      <c r="F375" s="5"/>
      <c r="G375" s="5" t="str">
        <f t="shared" si="2"/>
        <v/>
      </c>
      <c r="H375" s="5" t="str">
        <f t="shared" si="3"/>
        <v/>
      </c>
      <c r="I375" s="5" t="str">
        <f t="shared" si="4"/>
        <v/>
      </c>
      <c r="J375" s="5" t="str">
        <f t="shared" si="5"/>
        <v/>
      </c>
      <c r="K375" s="5" t="str">
        <f>IFERROR(__xludf.DUMMYFUNCTION("IF(C375&lt;&gt;"""",HYPERLINK(""https://wa.me/507""&amp;REGEXREPLACE(C375,""[^0-9]"","""")&amp;""?text=""&amp;ENCODEURL(""Ya llegue. Codigo: ""&amp;A375&amp;"". Ubicacion: ""&amp;""https://www.google.com/maps/search/?api=1&amp;query=""&amp;SUBSTITUTE(F375,"" "","""")),""📲 Avisar al cliente"""&amp;"),"""")"),"")</f>
        <v/>
      </c>
      <c r="L375" s="5" t="str">
        <f>IFERROR(__xludf.DUMMYFUNCTION("IF(C375&lt;&gt;"""",""https://api.qrserver.com/v1/create-qr-code/?size=200x200&amp;data=""&amp;ENCODEURL(""https://wa.me/507""&amp;REGEXREPLACE(C375,""[^0-9]"","""")&amp;""?text=""&amp;ENCODEURL(""Ya llegue. Codigo: ""&amp;A375&amp;"". Ubicacion: ""&amp;""https://www.google.com/maps/search/?a"&amp;"pi=1&amp;query=""&amp;SUBSTITUTE(F375,"" "",""""))),"""")"),"")</f>
        <v/>
      </c>
      <c r="M375" s="5" t="str">
        <f t="shared" si="6"/>
        <v/>
      </c>
      <c r="N375" s="5" t="str">
        <f>IFERROR(__xludf.DUMMYFUNCTION("IF(AND(F375&lt;&gt;"""",REGEXMATCH(SUBSTITUTE(F375,"" "",""""),""^-?\d+(\.\d+)?,-?\d+(\.\d+)?$""),VALUE(REGEXEXTRACT(SUBSTITUTE(F375,"" "",""""),""^-?\d+(\.\d+)?""))&gt;=-90,VALUE(REGEXEXTRACT(SUBSTITUTE(F375,"" "",""""),""^-?\d+(\.\d+)?""))&lt;=90,VALUE(REGEXEXTRACT"&amp;"(SUBSTITUTE(F375,"" "",""""),""-?\d+(\.\d+)?$""))&gt;=-180,VALUE(REGEXEXTRACT(SUBSTITUTE(F375,"" "",""""),""-?\d+(\.\d+)?$""))&lt;=180),""OK"",""REVISAR"")"),"#N/A")</f>
        <v>#N/A</v>
      </c>
    </row>
    <row r="376" ht="15.75" customHeight="1">
      <c r="A376" s="5" t="str">
        <f t="shared" si="1"/>
        <v>AD507-0374</v>
      </c>
      <c r="C376" s="5"/>
      <c r="F376" s="5"/>
      <c r="G376" s="5" t="str">
        <f t="shared" si="2"/>
        <v/>
      </c>
      <c r="H376" s="5" t="str">
        <f t="shared" si="3"/>
        <v/>
      </c>
      <c r="I376" s="5" t="str">
        <f t="shared" si="4"/>
        <v/>
      </c>
      <c r="J376" s="5" t="str">
        <f t="shared" si="5"/>
        <v/>
      </c>
      <c r="K376" s="5" t="str">
        <f>IFERROR(__xludf.DUMMYFUNCTION("IF(C376&lt;&gt;"""",HYPERLINK(""https://wa.me/507""&amp;REGEXREPLACE(C376,""[^0-9]"","""")&amp;""?text=""&amp;ENCODEURL(""Ya llegue. Codigo: ""&amp;A376&amp;"". Ubicacion: ""&amp;""https://www.google.com/maps/search/?api=1&amp;query=""&amp;SUBSTITUTE(F376,"" "","""")),""📲 Avisar al cliente"""&amp;"),"""")"),"")</f>
        <v/>
      </c>
      <c r="L376" s="5" t="str">
        <f>IFERROR(__xludf.DUMMYFUNCTION("IF(C376&lt;&gt;"""",""https://api.qrserver.com/v1/create-qr-code/?size=200x200&amp;data=""&amp;ENCODEURL(""https://wa.me/507""&amp;REGEXREPLACE(C376,""[^0-9]"","""")&amp;""?text=""&amp;ENCODEURL(""Ya llegue. Codigo: ""&amp;A376&amp;"". Ubicacion: ""&amp;""https://www.google.com/maps/search/?a"&amp;"pi=1&amp;query=""&amp;SUBSTITUTE(F376,"" "",""""))),"""")"),"")</f>
        <v/>
      </c>
      <c r="M376" s="5" t="str">
        <f t="shared" si="6"/>
        <v/>
      </c>
      <c r="N376" s="5" t="str">
        <f>IFERROR(__xludf.DUMMYFUNCTION("IF(AND(F376&lt;&gt;"""",REGEXMATCH(SUBSTITUTE(F376,"" "",""""),""^-?\d+(\.\d+)?,-?\d+(\.\d+)?$""),VALUE(REGEXEXTRACT(SUBSTITUTE(F376,"" "",""""),""^-?\d+(\.\d+)?""))&gt;=-90,VALUE(REGEXEXTRACT(SUBSTITUTE(F376,"" "",""""),""^-?\d+(\.\d+)?""))&lt;=90,VALUE(REGEXEXTRACT"&amp;"(SUBSTITUTE(F376,"" "",""""),""-?\d+(\.\d+)?$""))&gt;=-180,VALUE(REGEXEXTRACT(SUBSTITUTE(F376,"" "",""""),""-?\d+(\.\d+)?$""))&lt;=180),""OK"",""REVISAR"")"),"#N/A")</f>
        <v>#N/A</v>
      </c>
    </row>
    <row r="377" ht="15.75" customHeight="1">
      <c r="A377" s="5" t="str">
        <f t="shared" si="1"/>
        <v>AD507-0375</v>
      </c>
      <c r="C377" s="5"/>
      <c r="F377" s="5"/>
      <c r="G377" s="5" t="str">
        <f t="shared" si="2"/>
        <v/>
      </c>
      <c r="H377" s="5" t="str">
        <f t="shared" si="3"/>
        <v/>
      </c>
      <c r="I377" s="5" t="str">
        <f t="shared" si="4"/>
        <v/>
      </c>
      <c r="J377" s="5" t="str">
        <f t="shared" si="5"/>
        <v/>
      </c>
      <c r="K377" s="5" t="str">
        <f>IFERROR(__xludf.DUMMYFUNCTION("IF(C377&lt;&gt;"""",HYPERLINK(""https://wa.me/507""&amp;REGEXREPLACE(C377,""[^0-9]"","""")&amp;""?text=""&amp;ENCODEURL(""Ya llegue. Codigo: ""&amp;A377&amp;"". Ubicacion: ""&amp;""https://www.google.com/maps/search/?api=1&amp;query=""&amp;SUBSTITUTE(F377,"" "","""")),""📲 Avisar al cliente"""&amp;"),"""")"),"")</f>
        <v/>
      </c>
      <c r="L377" s="5" t="str">
        <f>IFERROR(__xludf.DUMMYFUNCTION("IF(C377&lt;&gt;"""",""https://api.qrserver.com/v1/create-qr-code/?size=200x200&amp;data=""&amp;ENCODEURL(""https://wa.me/507""&amp;REGEXREPLACE(C377,""[^0-9]"","""")&amp;""?text=""&amp;ENCODEURL(""Ya llegue. Codigo: ""&amp;A377&amp;"". Ubicacion: ""&amp;""https://www.google.com/maps/search/?a"&amp;"pi=1&amp;query=""&amp;SUBSTITUTE(F377,"" "",""""))),"""")"),"")</f>
        <v/>
      </c>
      <c r="M377" s="5" t="str">
        <f t="shared" si="6"/>
        <v/>
      </c>
      <c r="N377" s="5" t="str">
        <f>IFERROR(__xludf.DUMMYFUNCTION("IF(AND(F377&lt;&gt;"""",REGEXMATCH(SUBSTITUTE(F377,"" "",""""),""^-?\d+(\.\d+)?,-?\d+(\.\d+)?$""),VALUE(REGEXEXTRACT(SUBSTITUTE(F377,"" "",""""),""^-?\d+(\.\d+)?""))&gt;=-90,VALUE(REGEXEXTRACT(SUBSTITUTE(F377,"" "",""""),""^-?\d+(\.\d+)?""))&lt;=90,VALUE(REGEXEXTRACT"&amp;"(SUBSTITUTE(F377,"" "",""""),""-?\d+(\.\d+)?$""))&gt;=-180,VALUE(REGEXEXTRACT(SUBSTITUTE(F377,"" "",""""),""-?\d+(\.\d+)?$""))&lt;=180),""OK"",""REVISAR"")"),"#N/A")</f>
        <v>#N/A</v>
      </c>
    </row>
    <row r="378" ht="15.75" customHeight="1">
      <c r="A378" s="5" t="str">
        <f t="shared" si="1"/>
        <v>AD507-0376</v>
      </c>
      <c r="C378" s="5"/>
      <c r="F378" s="5"/>
      <c r="G378" s="5" t="str">
        <f t="shared" si="2"/>
        <v/>
      </c>
      <c r="H378" s="5" t="str">
        <f t="shared" si="3"/>
        <v/>
      </c>
      <c r="I378" s="5" t="str">
        <f t="shared" si="4"/>
        <v/>
      </c>
      <c r="J378" s="5" t="str">
        <f t="shared" si="5"/>
        <v/>
      </c>
      <c r="K378" s="5" t="str">
        <f>IFERROR(__xludf.DUMMYFUNCTION("IF(C378&lt;&gt;"""",HYPERLINK(""https://wa.me/507""&amp;REGEXREPLACE(C378,""[^0-9]"","""")&amp;""?text=""&amp;ENCODEURL(""Ya llegue. Codigo: ""&amp;A378&amp;"". Ubicacion: ""&amp;""https://www.google.com/maps/search/?api=1&amp;query=""&amp;SUBSTITUTE(F378,"" "","""")),""📲 Avisar al cliente"""&amp;"),"""")"),"")</f>
        <v/>
      </c>
      <c r="L378" s="5" t="str">
        <f>IFERROR(__xludf.DUMMYFUNCTION("IF(C378&lt;&gt;"""",""https://api.qrserver.com/v1/create-qr-code/?size=200x200&amp;data=""&amp;ENCODEURL(""https://wa.me/507""&amp;REGEXREPLACE(C378,""[^0-9]"","""")&amp;""?text=""&amp;ENCODEURL(""Ya llegue. Codigo: ""&amp;A378&amp;"". Ubicacion: ""&amp;""https://www.google.com/maps/search/?a"&amp;"pi=1&amp;query=""&amp;SUBSTITUTE(F378,"" "",""""))),"""")"),"")</f>
        <v/>
      </c>
      <c r="M378" s="5" t="str">
        <f t="shared" si="6"/>
        <v/>
      </c>
      <c r="N378" s="5" t="str">
        <f>IFERROR(__xludf.DUMMYFUNCTION("IF(AND(F378&lt;&gt;"""",REGEXMATCH(SUBSTITUTE(F378,"" "",""""),""^-?\d+(\.\d+)?,-?\d+(\.\d+)?$""),VALUE(REGEXEXTRACT(SUBSTITUTE(F378,"" "",""""),""^-?\d+(\.\d+)?""))&gt;=-90,VALUE(REGEXEXTRACT(SUBSTITUTE(F378,"" "",""""),""^-?\d+(\.\d+)?""))&lt;=90,VALUE(REGEXEXTRACT"&amp;"(SUBSTITUTE(F378,"" "",""""),""-?\d+(\.\d+)?$""))&gt;=-180,VALUE(REGEXEXTRACT(SUBSTITUTE(F378,"" "",""""),""-?\d+(\.\d+)?$""))&lt;=180),""OK"",""REVISAR"")"),"#N/A")</f>
        <v>#N/A</v>
      </c>
    </row>
    <row r="379" ht="15.75" customHeight="1">
      <c r="A379" s="5" t="str">
        <f t="shared" si="1"/>
        <v>AD507-0377</v>
      </c>
      <c r="C379" s="5"/>
      <c r="F379" s="5"/>
      <c r="G379" s="5" t="str">
        <f t="shared" si="2"/>
        <v/>
      </c>
      <c r="H379" s="5" t="str">
        <f t="shared" si="3"/>
        <v/>
      </c>
      <c r="I379" s="5" t="str">
        <f t="shared" si="4"/>
        <v/>
      </c>
      <c r="J379" s="5" t="str">
        <f t="shared" si="5"/>
        <v/>
      </c>
      <c r="K379" s="5" t="str">
        <f>IFERROR(__xludf.DUMMYFUNCTION("IF(C379&lt;&gt;"""",HYPERLINK(""https://wa.me/507""&amp;REGEXREPLACE(C379,""[^0-9]"","""")&amp;""?text=""&amp;ENCODEURL(""Ya llegue. Codigo: ""&amp;A379&amp;"". Ubicacion: ""&amp;""https://www.google.com/maps/search/?api=1&amp;query=""&amp;SUBSTITUTE(F379,"" "","""")),""📲 Avisar al cliente"""&amp;"),"""")"),"")</f>
        <v/>
      </c>
      <c r="L379" s="5" t="str">
        <f>IFERROR(__xludf.DUMMYFUNCTION("IF(C379&lt;&gt;"""",""https://api.qrserver.com/v1/create-qr-code/?size=200x200&amp;data=""&amp;ENCODEURL(""https://wa.me/507""&amp;REGEXREPLACE(C379,""[^0-9]"","""")&amp;""?text=""&amp;ENCODEURL(""Ya llegue. Codigo: ""&amp;A379&amp;"". Ubicacion: ""&amp;""https://www.google.com/maps/search/?a"&amp;"pi=1&amp;query=""&amp;SUBSTITUTE(F379,"" "",""""))),"""")"),"")</f>
        <v/>
      </c>
      <c r="M379" s="5" t="str">
        <f t="shared" si="6"/>
        <v/>
      </c>
      <c r="N379" s="5" t="str">
        <f>IFERROR(__xludf.DUMMYFUNCTION("IF(AND(F379&lt;&gt;"""",REGEXMATCH(SUBSTITUTE(F379,"" "",""""),""^-?\d+(\.\d+)?,-?\d+(\.\d+)?$""),VALUE(REGEXEXTRACT(SUBSTITUTE(F379,"" "",""""),""^-?\d+(\.\d+)?""))&gt;=-90,VALUE(REGEXEXTRACT(SUBSTITUTE(F379,"" "",""""),""^-?\d+(\.\d+)?""))&lt;=90,VALUE(REGEXEXTRACT"&amp;"(SUBSTITUTE(F379,"" "",""""),""-?\d+(\.\d+)?$""))&gt;=-180,VALUE(REGEXEXTRACT(SUBSTITUTE(F379,"" "",""""),""-?\d+(\.\d+)?$""))&lt;=180),""OK"",""REVISAR"")"),"#N/A")</f>
        <v>#N/A</v>
      </c>
    </row>
    <row r="380" ht="15.75" customHeight="1">
      <c r="A380" s="5" t="str">
        <f t="shared" si="1"/>
        <v>AD507-0378</v>
      </c>
      <c r="C380" s="5"/>
      <c r="F380" s="5"/>
      <c r="G380" s="5" t="str">
        <f t="shared" si="2"/>
        <v/>
      </c>
      <c r="H380" s="5" t="str">
        <f t="shared" si="3"/>
        <v/>
      </c>
      <c r="I380" s="5" t="str">
        <f t="shared" si="4"/>
        <v/>
      </c>
      <c r="J380" s="5" t="str">
        <f t="shared" si="5"/>
        <v/>
      </c>
      <c r="K380" s="5" t="str">
        <f>IFERROR(__xludf.DUMMYFUNCTION("IF(C380&lt;&gt;"""",HYPERLINK(""https://wa.me/507""&amp;REGEXREPLACE(C380,""[^0-9]"","""")&amp;""?text=""&amp;ENCODEURL(""Ya llegue. Codigo: ""&amp;A380&amp;"". Ubicacion: ""&amp;""https://www.google.com/maps/search/?api=1&amp;query=""&amp;SUBSTITUTE(F380,"" "","""")),""📲 Avisar al cliente"""&amp;"),"""")"),"")</f>
        <v/>
      </c>
      <c r="L380" s="5" t="str">
        <f>IFERROR(__xludf.DUMMYFUNCTION("IF(C380&lt;&gt;"""",""https://api.qrserver.com/v1/create-qr-code/?size=200x200&amp;data=""&amp;ENCODEURL(""https://wa.me/507""&amp;REGEXREPLACE(C380,""[^0-9]"","""")&amp;""?text=""&amp;ENCODEURL(""Ya llegue. Codigo: ""&amp;A380&amp;"". Ubicacion: ""&amp;""https://www.google.com/maps/search/?a"&amp;"pi=1&amp;query=""&amp;SUBSTITUTE(F380,"" "",""""))),"""")"),"")</f>
        <v/>
      </c>
      <c r="M380" s="5" t="str">
        <f t="shared" si="6"/>
        <v/>
      </c>
      <c r="N380" s="5" t="str">
        <f>IFERROR(__xludf.DUMMYFUNCTION("IF(AND(F380&lt;&gt;"""",REGEXMATCH(SUBSTITUTE(F380,"" "",""""),""^-?\d+(\.\d+)?,-?\d+(\.\d+)?$""),VALUE(REGEXEXTRACT(SUBSTITUTE(F380,"" "",""""),""^-?\d+(\.\d+)?""))&gt;=-90,VALUE(REGEXEXTRACT(SUBSTITUTE(F380,"" "",""""),""^-?\d+(\.\d+)?""))&lt;=90,VALUE(REGEXEXTRACT"&amp;"(SUBSTITUTE(F380,"" "",""""),""-?\d+(\.\d+)?$""))&gt;=-180,VALUE(REGEXEXTRACT(SUBSTITUTE(F380,"" "",""""),""-?\d+(\.\d+)?$""))&lt;=180),""OK"",""REVISAR"")"),"#N/A")</f>
        <v>#N/A</v>
      </c>
    </row>
    <row r="381" ht="15.75" customHeight="1">
      <c r="A381" s="5" t="str">
        <f t="shared" si="1"/>
        <v>AD507-0379</v>
      </c>
      <c r="C381" s="5"/>
      <c r="F381" s="5"/>
      <c r="G381" s="5" t="str">
        <f t="shared" si="2"/>
        <v/>
      </c>
      <c r="H381" s="5" t="str">
        <f t="shared" si="3"/>
        <v/>
      </c>
      <c r="I381" s="5" t="str">
        <f t="shared" si="4"/>
        <v/>
      </c>
      <c r="J381" s="5" t="str">
        <f t="shared" si="5"/>
        <v/>
      </c>
      <c r="K381" s="5" t="str">
        <f>IFERROR(__xludf.DUMMYFUNCTION("IF(C381&lt;&gt;"""",HYPERLINK(""https://wa.me/507""&amp;REGEXREPLACE(C381,""[^0-9]"","""")&amp;""?text=""&amp;ENCODEURL(""Ya llegue. Codigo: ""&amp;A381&amp;"". Ubicacion: ""&amp;""https://www.google.com/maps/search/?api=1&amp;query=""&amp;SUBSTITUTE(F381,"" "","""")),""📲 Avisar al cliente"""&amp;"),"""")"),"")</f>
        <v/>
      </c>
      <c r="L381" s="5" t="str">
        <f>IFERROR(__xludf.DUMMYFUNCTION("IF(C381&lt;&gt;"""",""https://api.qrserver.com/v1/create-qr-code/?size=200x200&amp;data=""&amp;ENCODEURL(""https://wa.me/507""&amp;REGEXREPLACE(C381,""[^0-9]"","""")&amp;""?text=""&amp;ENCODEURL(""Ya llegue. Codigo: ""&amp;A381&amp;"". Ubicacion: ""&amp;""https://www.google.com/maps/search/?a"&amp;"pi=1&amp;query=""&amp;SUBSTITUTE(F381,"" "",""""))),"""")"),"")</f>
        <v/>
      </c>
      <c r="M381" s="5" t="str">
        <f t="shared" si="6"/>
        <v/>
      </c>
      <c r="N381" s="5" t="str">
        <f>IFERROR(__xludf.DUMMYFUNCTION("IF(AND(F381&lt;&gt;"""",REGEXMATCH(SUBSTITUTE(F381,"" "",""""),""^-?\d+(\.\d+)?,-?\d+(\.\d+)?$""),VALUE(REGEXEXTRACT(SUBSTITUTE(F381,"" "",""""),""^-?\d+(\.\d+)?""))&gt;=-90,VALUE(REGEXEXTRACT(SUBSTITUTE(F381,"" "",""""),""^-?\d+(\.\d+)?""))&lt;=90,VALUE(REGEXEXTRACT"&amp;"(SUBSTITUTE(F381,"" "",""""),""-?\d+(\.\d+)?$""))&gt;=-180,VALUE(REGEXEXTRACT(SUBSTITUTE(F381,"" "",""""),""-?\d+(\.\d+)?$""))&lt;=180),""OK"",""REVISAR"")"),"#N/A")</f>
        <v>#N/A</v>
      </c>
    </row>
    <row r="382" ht="15.75" customHeight="1">
      <c r="A382" s="5" t="str">
        <f t="shared" si="1"/>
        <v>AD507-0380</v>
      </c>
      <c r="C382" s="5"/>
      <c r="F382" s="5"/>
      <c r="G382" s="5" t="str">
        <f t="shared" si="2"/>
        <v/>
      </c>
      <c r="H382" s="5" t="str">
        <f t="shared" si="3"/>
        <v/>
      </c>
      <c r="I382" s="5" t="str">
        <f t="shared" si="4"/>
        <v/>
      </c>
      <c r="J382" s="5" t="str">
        <f t="shared" si="5"/>
        <v/>
      </c>
      <c r="K382" s="5" t="str">
        <f>IFERROR(__xludf.DUMMYFUNCTION("IF(C382&lt;&gt;"""",HYPERLINK(""https://wa.me/507""&amp;REGEXREPLACE(C382,""[^0-9]"","""")&amp;""?text=""&amp;ENCODEURL(""Ya llegue. Codigo: ""&amp;A382&amp;"". Ubicacion: ""&amp;""https://www.google.com/maps/search/?api=1&amp;query=""&amp;SUBSTITUTE(F382,"" "","""")),""📲 Avisar al cliente"""&amp;"),"""")"),"")</f>
        <v/>
      </c>
      <c r="L382" s="5" t="str">
        <f>IFERROR(__xludf.DUMMYFUNCTION("IF(C382&lt;&gt;"""",""https://api.qrserver.com/v1/create-qr-code/?size=200x200&amp;data=""&amp;ENCODEURL(""https://wa.me/507""&amp;REGEXREPLACE(C382,""[^0-9]"","""")&amp;""?text=""&amp;ENCODEURL(""Ya llegue. Codigo: ""&amp;A382&amp;"". Ubicacion: ""&amp;""https://www.google.com/maps/search/?a"&amp;"pi=1&amp;query=""&amp;SUBSTITUTE(F382,"" "",""""))),"""")"),"")</f>
        <v/>
      </c>
      <c r="M382" s="5" t="str">
        <f t="shared" si="6"/>
        <v/>
      </c>
      <c r="N382" s="5" t="str">
        <f>IFERROR(__xludf.DUMMYFUNCTION("IF(AND(F382&lt;&gt;"""",REGEXMATCH(SUBSTITUTE(F382,"" "",""""),""^-?\d+(\.\d+)?,-?\d+(\.\d+)?$""),VALUE(REGEXEXTRACT(SUBSTITUTE(F382,"" "",""""),""^-?\d+(\.\d+)?""))&gt;=-90,VALUE(REGEXEXTRACT(SUBSTITUTE(F382,"" "",""""),""^-?\d+(\.\d+)?""))&lt;=90,VALUE(REGEXEXTRACT"&amp;"(SUBSTITUTE(F382,"" "",""""),""-?\d+(\.\d+)?$""))&gt;=-180,VALUE(REGEXEXTRACT(SUBSTITUTE(F382,"" "",""""),""-?\d+(\.\d+)?$""))&lt;=180),""OK"",""REVISAR"")"),"#N/A")</f>
        <v>#N/A</v>
      </c>
    </row>
    <row r="383" ht="15.75" customHeight="1">
      <c r="A383" s="5" t="str">
        <f t="shared" si="1"/>
        <v>AD507-0381</v>
      </c>
      <c r="C383" s="5"/>
      <c r="F383" s="5"/>
      <c r="G383" s="5" t="str">
        <f t="shared" si="2"/>
        <v/>
      </c>
      <c r="H383" s="5" t="str">
        <f t="shared" si="3"/>
        <v/>
      </c>
      <c r="I383" s="5" t="str">
        <f t="shared" si="4"/>
        <v/>
      </c>
      <c r="J383" s="5" t="str">
        <f t="shared" si="5"/>
        <v/>
      </c>
      <c r="K383" s="5" t="str">
        <f>IFERROR(__xludf.DUMMYFUNCTION("IF(C383&lt;&gt;"""",HYPERLINK(""https://wa.me/507""&amp;REGEXREPLACE(C383,""[^0-9]"","""")&amp;""?text=""&amp;ENCODEURL(""Ya llegue. Codigo: ""&amp;A383&amp;"". Ubicacion: ""&amp;""https://www.google.com/maps/search/?api=1&amp;query=""&amp;SUBSTITUTE(F383,"" "","""")),""📲 Avisar al cliente"""&amp;"),"""")"),"")</f>
        <v/>
      </c>
      <c r="L383" s="5" t="str">
        <f>IFERROR(__xludf.DUMMYFUNCTION("IF(C383&lt;&gt;"""",""https://api.qrserver.com/v1/create-qr-code/?size=200x200&amp;data=""&amp;ENCODEURL(""https://wa.me/507""&amp;REGEXREPLACE(C383,""[^0-9]"","""")&amp;""?text=""&amp;ENCODEURL(""Ya llegue. Codigo: ""&amp;A383&amp;"". Ubicacion: ""&amp;""https://www.google.com/maps/search/?a"&amp;"pi=1&amp;query=""&amp;SUBSTITUTE(F383,"" "",""""))),"""")"),"")</f>
        <v/>
      </c>
      <c r="M383" s="5" t="str">
        <f t="shared" si="6"/>
        <v/>
      </c>
      <c r="N383" s="5" t="str">
        <f>IFERROR(__xludf.DUMMYFUNCTION("IF(AND(F383&lt;&gt;"""",REGEXMATCH(SUBSTITUTE(F383,"" "",""""),""^-?\d+(\.\d+)?,-?\d+(\.\d+)?$""),VALUE(REGEXEXTRACT(SUBSTITUTE(F383,"" "",""""),""^-?\d+(\.\d+)?""))&gt;=-90,VALUE(REGEXEXTRACT(SUBSTITUTE(F383,"" "",""""),""^-?\d+(\.\d+)?""))&lt;=90,VALUE(REGEXEXTRACT"&amp;"(SUBSTITUTE(F383,"" "",""""),""-?\d+(\.\d+)?$""))&gt;=-180,VALUE(REGEXEXTRACT(SUBSTITUTE(F383,"" "",""""),""-?\d+(\.\d+)?$""))&lt;=180),""OK"",""REVISAR"")"),"#N/A")</f>
        <v>#N/A</v>
      </c>
    </row>
    <row r="384" ht="15.75" customHeight="1">
      <c r="A384" s="5" t="str">
        <f t="shared" si="1"/>
        <v>AD507-0382</v>
      </c>
      <c r="C384" s="5"/>
      <c r="F384" s="5"/>
      <c r="G384" s="5" t="str">
        <f t="shared" si="2"/>
        <v/>
      </c>
      <c r="H384" s="5" t="str">
        <f t="shared" si="3"/>
        <v/>
      </c>
      <c r="I384" s="5" t="str">
        <f t="shared" si="4"/>
        <v/>
      </c>
      <c r="J384" s="5" t="str">
        <f t="shared" si="5"/>
        <v/>
      </c>
      <c r="K384" s="5" t="str">
        <f>IFERROR(__xludf.DUMMYFUNCTION("IF(C384&lt;&gt;"""",HYPERLINK(""https://wa.me/507""&amp;REGEXREPLACE(C384,""[^0-9]"","""")&amp;""?text=""&amp;ENCODEURL(""Ya llegue. Codigo: ""&amp;A384&amp;"". Ubicacion: ""&amp;""https://www.google.com/maps/search/?api=1&amp;query=""&amp;SUBSTITUTE(F384,"" "","""")),""📲 Avisar al cliente"""&amp;"),"""")"),"")</f>
        <v/>
      </c>
      <c r="L384" s="5" t="str">
        <f>IFERROR(__xludf.DUMMYFUNCTION("IF(C384&lt;&gt;"""",""https://api.qrserver.com/v1/create-qr-code/?size=200x200&amp;data=""&amp;ENCODEURL(""https://wa.me/507""&amp;REGEXREPLACE(C384,""[^0-9]"","""")&amp;""?text=""&amp;ENCODEURL(""Ya llegue. Codigo: ""&amp;A384&amp;"". Ubicacion: ""&amp;""https://www.google.com/maps/search/?a"&amp;"pi=1&amp;query=""&amp;SUBSTITUTE(F384,"" "",""""))),"""")"),"")</f>
        <v/>
      </c>
      <c r="M384" s="5" t="str">
        <f t="shared" si="6"/>
        <v/>
      </c>
      <c r="N384" s="5" t="str">
        <f>IFERROR(__xludf.DUMMYFUNCTION("IF(AND(F384&lt;&gt;"""",REGEXMATCH(SUBSTITUTE(F384,"" "",""""),""^-?\d+(\.\d+)?,-?\d+(\.\d+)?$""),VALUE(REGEXEXTRACT(SUBSTITUTE(F384,"" "",""""),""^-?\d+(\.\d+)?""))&gt;=-90,VALUE(REGEXEXTRACT(SUBSTITUTE(F384,"" "",""""),""^-?\d+(\.\d+)?""))&lt;=90,VALUE(REGEXEXTRACT"&amp;"(SUBSTITUTE(F384,"" "",""""),""-?\d+(\.\d+)?$""))&gt;=-180,VALUE(REGEXEXTRACT(SUBSTITUTE(F384,"" "",""""),""-?\d+(\.\d+)?$""))&lt;=180),""OK"",""REVISAR"")"),"#N/A")</f>
        <v>#N/A</v>
      </c>
    </row>
    <row r="385" ht="15.75" customHeight="1">
      <c r="A385" s="5" t="str">
        <f t="shared" si="1"/>
        <v>AD507-0383</v>
      </c>
      <c r="C385" s="5"/>
      <c r="F385" s="5"/>
      <c r="G385" s="5" t="str">
        <f t="shared" si="2"/>
        <v/>
      </c>
      <c r="H385" s="5" t="str">
        <f t="shared" si="3"/>
        <v/>
      </c>
      <c r="I385" s="5" t="str">
        <f t="shared" si="4"/>
        <v/>
      </c>
      <c r="J385" s="5" t="str">
        <f t="shared" si="5"/>
        <v/>
      </c>
      <c r="K385" s="5" t="str">
        <f>IFERROR(__xludf.DUMMYFUNCTION("IF(C385&lt;&gt;"""",HYPERLINK(""https://wa.me/507""&amp;REGEXREPLACE(C385,""[^0-9]"","""")&amp;""?text=""&amp;ENCODEURL(""Ya llegue. Codigo: ""&amp;A385&amp;"". Ubicacion: ""&amp;""https://www.google.com/maps/search/?api=1&amp;query=""&amp;SUBSTITUTE(F385,"" "","""")),""📲 Avisar al cliente"""&amp;"),"""")"),"")</f>
        <v/>
      </c>
      <c r="L385" s="5" t="str">
        <f>IFERROR(__xludf.DUMMYFUNCTION("IF(C385&lt;&gt;"""",""https://api.qrserver.com/v1/create-qr-code/?size=200x200&amp;data=""&amp;ENCODEURL(""https://wa.me/507""&amp;REGEXREPLACE(C385,""[^0-9]"","""")&amp;""?text=""&amp;ENCODEURL(""Ya llegue. Codigo: ""&amp;A385&amp;"". Ubicacion: ""&amp;""https://www.google.com/maps/search/?a"&amp;"pi=1&amp;query=""&amp;SUBSTITUTE(F385,"" "",""""))),"""")"),"")</f>
        <v/>
      </c>
      <c r="M385" s="5" t="str">
        <f t="shared" si="6"/>
        <v/>
      </c>
      <c r="N385" s="5" t="str">
        <f>IFERROR(__xludf.DUMMYFUNCTION("IF(AND(F385&lt;&gt;"""",REGEXMATCH(SUBSTITUTE(F385,"" "",""""),""^-?\d+(\.\d+)?,-?\d+(\.\d+)?$""),VALUE(REGEXEXTRACT(SUBSTITUTE(F385,"" "",""""),""^-?\d+(\.\d+)?""))&gt;=-90,VALUE(REGEXEXTRACT(SUBSTITUTE(F385,"" "",""""),""^-?\d+(\.\d+)?""))&lt;=90,VALUE(REGEXEXTRACT"&amp;"(SUBSTITUTE(F385,"" "",""""),""-?\d+(\.\d+)?$""))&gt;=-180,VALUE(REGEXEXTRACT(SUBSTITUTE(F385,"" "",""""),""-?\d+(\.\d+)?$""))&lt;=180),""OK"",""REVISAR"")"),"#N/A")</f>
        <v>#N/A</v>
      </c>
    </row>
    <row r="386" ht="15.75" customHeight="1">
      <c r="A386" s="5" t="str">
        <f t="shared" si="1"/>
        <v>AD507-0384</v>
      </c>
      <c r="C386" s="5"/>
      <c r="F386" s="5"/>
      <c r="G386" s="5" t="str">
        <f t="shared" si="2"/>
        <v/>
      </c>
      <c r="H386" s="5" t="str">
        <f t="shared" si="3"/>
        <v/>
      </c>
      <c r="I386" s="5" t="str">
        <f t="shared" si="4"/>
        <v/>
      </c>
      <c r="J386" s="5" t="str">
        <f t="shared" si="5"/>
        <v/>
      </c>
      <c r="K386" s="5" t="str">
        <f>IFERROR(__xludf.DUMMYFUNCTION("IF(C386&lt;&gt;"""",HYPERLINK(""https://wa.me/507""&amp;REGEXREPLACE(C386,""[^0-9]"","""")&amp;""?text=""&amp;ENCODEURL(""Ya llegue. Codigo: ""&amp;A386&amp;"". Ubicacion: ""&amp;""https://www.google.com/maps/search/?api=1&amp;query=""&amp;SUBSTITUTE(F386,"" "","""")),""📲 Avisar al cliente"""&amp;"),"""")"),"")</f>
        <v/>
      </c>
      <c r="L386" s="5" t="str">
        <f>IFERROR(__xludf.DUMMYFUNCTION("IF(C386&lt;&gt;"""",""https://api.qrserver.com/v1/create-qr-code/?size=200x200&amp;data=""&amp;ENCODEURL(""https://wa.me/507""&amp;REGEXREPLACE(C386,""[^0-9]"","""")&amp;""?text=""&amp;ENCODEURL(""Ya llegue. Codigo: ""&amp;A386&amp;"". Ubicacion: ""&amp;""https://www.google.com/maps/search/?a"&amp;"pi=1&amp;query=""&amp;SUBSTITUTE(F386,"" "",""""))),"""")"),"")</f>
        <v/>
      </c>
      <c r="M386" s="5" t="str">
        <f t="shared" si="6"/>
        <v/>
      </c>
      <c r="N386" s="5" t="str">
        <f>IFERROR(__xludf.DUMMYFUNCTION("IF(AND(F386&lt;&gt;"""",REGEXMATCH(SUBSTITUTE(F386,"" "",""""),""^-?\d+(\.\d+)?,-?\d+(\.\d+)?$""),VALUE(REGEXEXTRACT(SUBSTITUTE(F386,"" "",""""),""^-?\d+(\.\d+)?""))&gt;=-90,VALUE(REGEXEXTRACT(SUBSTITUTE(F386,"" "",""""),""^-?\d+(\.\d+)?""))&lt;=90,VALUE(REGEXEXTRACT"&amp;"(SUBSTITUTE(F386,"" "",""""),""-?\d+(\.\d+)?$""))&gt;=-180,VALUE(REGEXEXTRACT(SUBSTITUTE(F386,"" "",""""),""-?\d+(\.\d+)?$""))&lt;=180),""OK"",""REVISAR"")"),"#N/A")</f>
        <v>#N/A</v>
      </c>
    </row>
    <row r="387" ht="15.75" customHeight="1">
      <c r="A387" s="5" t="str">
        <f t="shared" si="1"/>
        <v>AD507-0385</v>
      </c>
      <c r="C387" s="5"/>
      <c r="F387" s="5"/>
      <c r="G387" s="5" t="str">
        <f t="shared" si="2"/>
        <v/>
      </c>
      <c r="H387" s="5" t="str">
        <f t="shared" si="3"/>
        <v/>
      </c>
      <c r="I387" s="5" t="str">
        <f t="shared" si="4"/>
        <v/>
      </c>
      <c r="J387" s="5" t="str">
        <f t="shared" si="5"/>
        <v/>
      </c>
      <c r="K387" s="5" t="str">
        <f>IFERROR(__xludf.DUMMYFUNCTION("IF(C387&lt;&gt;"""",HYPERLINK(""https://wa.me/507""&amp;REGEXREPLACE(C387,""[^0-9]"","""")&amp;""?text=""&amp;ENCODEURL(""Ya llegue. Codigo: ""&amp;A387&amp;"". Ubicacion: ""&amp;""https://www.google.com/maps/search/?api=1&amp;query=""&amp;SUBSTITUTE(F387,"" "","""")),""📲 Avisar al cliente"""&amp;"),"""")"),"")</f>
        <v/>
      </c>
      <c r="L387" s="5" t="str">
        <f>IFERROR(__xludf.DUMMYFUNCTION("IF(C387&lt;&gt;"""",""https://api.qrserver.com/v1/create-qr-code/?size=200x200&amp;data=""&amp;ENCODEURL(""https://wa.me/507""&amp;REGEXREPLACE(C387,""[^0-9]"","""")&amp;""?text=""&amp;ENCODEURL(""Ya llegue. Codigo: ""&amp;A387&amp;"". Ubicacion: ""&amp;""https://www.google.com/maps/search/?a"&amp;"pi=1&amp;query=""&amp;SUBSTITUTE(F387,"" "",""""))),"""")"),"")</f>
        <v/>
      </c>
      <c r="M387" s="5" t="str">
        <f t="shared" si="6"/>
        <v/>
      </c>
      <c r="N387" s="5" t="str">
        <f>IFERROR(__xludf.DUMMYFUNCTION("IF(AND(F387&lt;&gt;"""",REGEXMATCH(SUBSTITUTE(F387,"" "",""""),""^-?\d+(\.\d+)?,-?\d+(\.\d+)?$""),VALUE(REGEXEXTRACT(SUBSTITUTE(F387,"" "",""""),""^-?\d+(\.\d+)?""))&gt;=-90,VALUE(REGEXEXTRACT(SUBSTITUTE(F387,"" "",""""),""^-?\d+(\.\d+)?""))&lt;=90,VALUE(REGEXEXTRACT"&amp;"(SUBSTITUTE(F387,"" "",""""),""-?\d+(\.\d+)?$""))&gt;=-180,VALUE(REGEXEXTRACT(SUBSTITUTE(F387,"" "",""""),""-?\d+(\.\d+)?$""))&lt;=180),""OK"",""REVISAR"")"),"#N/A")</f>
        <v>#N/A</v>
      </c>
    </row>
    <row r="388" ht="15.75" customHeight="1">
      <c r="A388" s="5" t="str">
        <f t="shared" si="1"/>
        <v>AD507-0386</v>
      </c>
      <c r="C388" s="5"/>
      <c r="F388" s="5"/>
      <c r="G388" s="5" t="str">
        <f t="shared" si="2"/>
        <v/>
      </c>
      <c r="H388" s="5" t="str">
        <f t="shared" si="3"/>
        <v/>
      </c>
      <c r="I388" s="5" t="str">
        <f t="shared" si="4"/>
        <v/>
      </c>
      <c r="J388" s="5" t="str">
        <f t="shared" si="5"/>
        <v/>
      </c>
      <c r="K388" s="5" t="str">
        <f>IFERROR(__xludf.DUMMYFUNCTION("IF(C388&lt;&gt;"""",HYPERLINK(""https://wa.me/507""&amp;REGEXREPLACE(C388,""[^0-9]"","""")&amp;""?text=""&amp;ENCODEURL(""Ya llegue. Codigo: ""&amp;A388&amp;"". Ubicacion: ""&amp;""https://www.google.com/maps/search/?api=1&amp;query=""&amp;SUBSTITUTE(F388,"" "","""")),""📲 Avisar al cliente"""&amp;"),"""")"),"")</f>
        <v/>
      </c>
      <c r="L388" s="5" t="str">
        <f>IFERROR(__xludf.DUMMYFUNCTION("IF(C388&lt;&gt;"""",""https://api.qrserver.com/v1/create-qr-code/?size=200x200&amp;data=""&amp;ENCODEURL(""https://wa.me/507""&amp;REGEXREPLACE(C388,""[^0-9]"","""")&amp;""?text=""&amp;ENCODEURL(""Ya llegue. Codigo: ""&amp;A388&amp;"". Ubicacion: ""&amp;""https://www.google.com/maps/search/?a"&amp;"pi=1&amp;query=""&amp;SUBSTITUTE(F388,"" "",""""))),"""")"),"")</f>
        <v/>
      </c>
      <c r="M388" s="5" t="str">
        <f t="shared" si="6"/>
        <v/>
      </c>
      <c r="N388" s="5" t="str">
        <f>IFERROR(__xludf.DUMMYFUNCTION("IF(AND(F388&lt;&gt;"""",REGEXMATCH(SUBSTITUTE(F388,"" "",""""),""^-?\d+(\.\d+)?,-?\d+(\.\d+)?$""),VALUE(REGEXEXTRACT(SUBSTITUTE(F388,"" "",""""),""^-?\d+(\.\d+)?""))&gt;=-90,VALUE(REGEXEXTRACT(SUBSTITUTE(F388,"" "",""""),""^-?\d+(\.\d+)?""))&lt;=90,VALUE(REGEXEXTRACT"&amp;"(SUBSTITUTE(F388,"" "",""""),""-?\d+(\.\d+)?$""))&gt;=-180,VALUE(REGEXEXTRACT(SUBSTITUTE(F388,"" "",""""),""-?\d+(\.\d+)?$""))&lt;=180),""OK"",""REVISAR"")"),"#N/A")</f>
        <v>#N/A</v>
      </c>
    </row>
    <row r="389" ht="15.75" customHeight="1">
      <c r="A389" s="5" t="str">
        <f t="shared" si="1"/>
        <v>AD507-0387</v>
      </c>
      <c r="C389" s="5"/>
      <c r="F389" s="5"/>
      <c r="G389" s="5" t="str">
        <f t="shared" si="2"/>
        <v/>
      </c>
      <c r="H389" s="5" t="str">
        <f t="shared" si="3"/>
        <v/>
      </c>
      <c r="I389" s="5" t="str">
        <f t="shared" si="4"/>
        <v/>
      </c>
      <c r="J389" s="5" t="str">
        <f t="shared" si="5"/>
        <v/>
      </c>
      <c r="K389" s="5" t="str">
        <f>IFERROR(__xludf.DUMMYFUNCTION("IF(C389&lt;&gt;"""",HYPERLINK(""https://wa.me/507""&amp;REGEXREPLACE(C389,""[^0-9]"","""")&amp;""?text=""&amp;ENCODEURL(""Ya llegue. Codigo: ""&amp;A389&amp;"". Ubicacion: ""&amp;""https://www.google.com/maps/search/?api=1&amp;query=""&amp;SUBSTITUTE(F389,"" "","""")),""📲 Avisar al cliente"""&amp;"),"""")"),"")</f>
        <v/>
      </c>
      <c r="L389" s="5" t="str">
        <f>IFERROR(__xludf.DUMMYFUNCTION("IF(C389&lt;&gt;"""",""https://api.qrserver.com/v1/create-qr-code/?size=200x200&amp;data=""&amp;ENCODEURL(""https://wa.me/507""&amp;REGEXREPLACE(C389,""[^0-9]"","""")&amp;""?text=""&amp;ENCODEURL(""Ya llegue. Codigo: ""&amp;A389&amp;"". Ubicacion: ""&amp;""https://www.google.com/maps/search/?a"&amp;"pi=1&amp;query=""&amp;SUBSTITUTE(F389,"" "",""""))),"""")"),"")</f>
        <v/>
      </c>
      <c r="M389" s="5" t="str">
        <f t="shared" si="6"/>
        <v/>
      </c>
      <c r="N389" s="5" t="str">
        <f>IFERROR(__xludf.DUMMYFUNCTION("IF(AND(F389&lt;&gt;"""",REGEXMATCH(SUBSTITUTE(F389,"" "",""""),""^-?\d+(\.\d+)?,-?\d+(\.\d+)?$""),VALUE(REGEXEXTRACT(SUBSTITUTE(F389,"" "",""""),""^-?\d+(\.\d+)?""))&gt;=-90,VALUE(REGEXEXTRACT(SUBSTITUTE(F389,"" "",""""),""^-?\d+(\.\d+)?""))&lt;=90,VALUE(REGEXEXTRACT"&amp;"(SUBSTITUTE(F389,"" "",""""),""-?\d+(\.\d+)?$""))&gt;=-180,VALUE(REGEXEXTRACT(SUBSTITUTE(F389,"" "",""""),""-?\d+(\.\d+)?$""))&lt;=180),""OK"",""REVISAR"")"),"#N/A")</f>
        <v>#N/A</v>
      </c>
    </row>
    <row r="390" ht="15.75" customHeight="1">
      <c r="A390" s="5" t="str">
        <f t="shared" si="1"/>
        <v>AD507-0388</v>
      </c>
      <c r="C390" s="5"/>
      <c r="F390" s="5"/>
      <c r="G390" s="5" t="str">
        <f t="shared" si="2"/>
        <v/>
      </c>
      <c r="H390" s="5" t="str">
        <f t="shared" si="3"/>
        <v/>
      </c>
      <c r="I390" s="5" t="str">
        <f t="shared" si="4"/>
        <v/>
      </c>
      <c r="J390" s="5" t="str">
        <f t="shared" si="5"/>
        <v/>
      </c>
      <c r="K390" s="5" t="str">
        <f>IFERROR(__xludf.DUMMYFUNCTION("IF(C390&lt;&gt;"""",HYPERLINK(""https://wa.me/507""&amp;REGEXREPLACE(C390,""[^0-9]"","""")&amp;""?text=""&amp;ENCODEURL(""Ya llegue. Codigo: ""&amp;A390&amp;"". Ubicacion: ""&amp;""https://www.google.com/maps/search/?api=1&amp;query=""&amp;SUBSTITUTE(F390,"" "","""")),""📲 Avisar al cliente"""&amp;"),"""")"),"")</f>
        <v/>
      </c>
      <c r="L390" s="5" t="str">
        <f>IFERROR(__xludf.DUMMYFUNCTION("IF(C390&lt;&gt;"""",""https://api.qrserver.com/v1/create-qr-code/?size=200x200&amp;data=""&amp;ENCODEURL(""https://wa.me/507""&amp;REGEXREPLACE(C390,""[^0-9]"","""")&amp;""?text=""&amp;ENCODEURL(""Ya llegue. Codigo: ""&amp;A390&amp;"". Ubicacion: ""&amp;""https://www.google.com/maps/search/?a"&amp;"pi=1&amp;query=""&amp;SUBSTITUTE(F390,"" "",""""))),"""")"),"")</f>
        <v/>
      </c>
      <c r="M390" s="5" t="str">
        <f t="shared" si="6"/>
        <v/>
      </c>
      <c r="N390" s="5" t="str">
        <f>IFERROR(__xludf.DUMMYFUNCTION("IF(AND(F390&lt;&gt;"""",REGEXMATCH(SUBSTITUTE(F390,"" "",""""),""^-?\d+(\.\d+)?,-?\d+(\.\d+)?$""),VALUE(REGEXEXTRACT(SUBSTITUTE(F390,"" "",""""),""^-?\d+(\.\d+)?""))&gt;=-90,VALUE(REGEXEXTRACT(SUBSTITUTE(F390,"" "",""""),""^-?\d+(\.\d+)?""))&lt;=90,VALUE(REGEXEXTRACT"&amp;"(SUBSTITUTE(F390,"" "",""""),""-?\d+(\.\d+)?$""))&gt;=-180,VALUE(REGEXEXTRACT(SUBSTITUTE(F390,"" "",""""),""-?\d+(\.\d+)?$""))&lt;=180),""OK"",""REVISAR"")"),"#N/A")</f>
        <v>#N/A</v>
      </c>
    </row>
    <row r="391" ht="15.75" customHeight="1">
      <c r="A391" s="5" t="str">
        <f t="shared" si="1"/>
        <v>AD507-0389</v>
      </c>
      <c r="C391" s="5"/>
      <c r="F391" s="5"/>
      <c r="G391" s="5" t="str">
        <f t="shared" si="2"/>
        <v/>
      </c>
      <c r="H391" s="5" t="str">
        <f t="shared" si="3"/>
        <v/>
      </c>
      <c r="I391" s="5" t="str">
        <f t="shared" si="4"/>
        <v/>
      </c>
      <c r="J391" s="5" t="str">
        <f t="shared" si="5"/>
        <v/>
      </c>
      <c r="K391" s="5" t="str">
        <f>IFERROR(__xludf.DUMMYFUNCTION("IF(C391&lt;&gt;"""",HYPERLINK(""https://wa.me/507""&amp;REGEXREPLACE(C391,""[^0-9]"","""")&amp;""?text=""&amp;ENCODEURL(""Ya llegue. Codigo: ""&amp;A391&amp;"". Ubicacion: ""&amp;""https://www.google.com/maps/search/?api=1&amp;query=""&amp;SUBSTITUTE(F391,"" "","""")),""📲 Avisar al cliente"""&amp;"),"""")"),"")</f>
        <v/>
      </c>
      <c r="L391" s="5" t="str">
        <f>IFERROR(__xludf.DUMMYFUNCTION("IF(C391&lt;&gt;"""",""https://api.qrserver.com/v1/create-qr-code/?size=200x200&amp;data=""&amp;ENCODEURL(""https://wa.me/507""&amp;REGEXREPLACE(C391,""[^0-9]"","""")&amp;""?text=""&amp;ENCODEURL(""Ya llegue. Codigo: ""&amp;A391&amp;"". Ubicacion: ""&amp;""https://www.google.com/maps/search/?a"&amp;"pi=1&amp;query=""&amp;SUBSTITUTE(F391,"" "",""""))),"""")"),"")</f>
        <v/>
      </c>
      <c r="M391" s="5" t="str">
        <f t="shared" si="6"/>
        <v/>
      </c>
      <c r="N391" s="5" t="str">
        <f>IFERROR(__xludf.DUMMYFUNCTION("IF(AND(F391&lt;&gt;"""",REGEXMATCH(SUBSTITUTE(F391,"" "",""""),""^-?\d+(\.\d+)?,-?\d+(\.\d+)?$""),VALUE(REGEXEXTRACT(SUBSTITUTE(F391,"" "",""""),""^-?\d+(\.\d+)?""))&gt;=-90,VALUE(REGEXEXTRACT(SUBSTITUTE(F391,"" "",""""),""^-?\d+(\.\d+)?""))&lt;=90,VALUE(REGEXEXTRACT"&amp;"(SUBSTITUTE(F391,"" "",""""),""-?\d+(\.\d+)?$""))&gt;=-180,VALUE(REGEXEXTRACT(SUBSTITUTE(F391,"" "",""""),""-?\d+(\.\d+)?$""))&lt;=180),""OK"",""REVISAR"")"),"#N/A")</f>
        <v>#N/A</v>
      </c>
    </row>
    <row r="392" ht="15.75" customHeight="1">
      <c r="A392" s="5" t="str">
        <f t="shared" si="1"/>
        <v>AD507-0390</v>
      </c>
      <c r="C392" s="5"/>
      <c r="F392" s="5"/>
      <c r="G392" s="5" t="str">
        <f t="shared" si="2"/>
        <v/>
      </c>
      <c r="H392" s="5" t="str">
        <f t="shared" si="3"/>
        <v/>
      </c>
      <c r="I392" s="5" t="str">
        <f t="shared" si="4"/>
        <v/>
      </c>
      <c r="J392" s="5" t="str">
        <f t="shared" si="5"/>
        <v/>
      </c>
      <c r="K392" s="5" t="str">
        <f>IFERROR(__xludf.DUMMYFUNCTION("IF(C392&lt;&gt;"""",HYPERLINK(""https://wa.me/507""&amp;REGEXREPLACE(C392,""[^0-9]"","""")&amp;""?text=""&amp;ENCODEURL(""Ya llegue. Codigo: ""&amp;A392&amp;"". Ubicacion: ""&amp;""https://www.google.com/maps/search/?api=1&amp;query=""&amp;SUBSTITUTE(F392,"" "","""")),""📲 Avisar al cliente"""&amp;"),"""")"),"")</f>
        <v/>
      </c>
      <c r="L392" s="5" t="str">
        <f>IFERROR(__xludf.DUMMYFUNCTION("IF(C392&lt;&gt;"""",""https://api.qrserver.com/v1/create-qr-code/?size=200x200&amp;data=""&amp;ENCODEURL(""https://wa.me/507""&amp;REGEXREPLACE(C392,""[^0-9]"","""")&amp;""?text=""&amp;ENCODEURL(""Ya llegue. Codigo: ""&amp;A392&amp;"". Ubicacion: ""&amp;""https://www.google.com/maps/search/?a"&amp;"pi=1&amp;query=""&amp;SUBSTITUTE(F392,"" "",""""))),"""")"),"")</f>
        <v/>
      </c>
      <c r="M392" s="5" t="str">
        <f t="shared" si="6"/>
        <v/>
      </c>
      <c r="N392" s="5" t="str">
        <f>IFERROR(__xludf.DUMMYFUNCTION("IF(AND(F392&lt;&gt;"""",REGEXMATCH(SUBSTITUTE(F392,"" "",""""),""^-?\d+(\.\d+)?,-?\d+(\.\d+)?$""),VALUE(REGEXEXTRACT(SUBSTITUTE(F392,"" "",""""),""^-?\d+(\.\d+)?""))&gt;=-90,VALUE(REGEXEXTRACT(SUBSTITUTE(F392,"" "",""""),""^-?\d+(\.\d+)?""))&lt;=90,VALUE(REGEXEXTRACT"&amp;"(SUBSTITUTE(F392,"" "",""""),""-?\d+(\.\d+)?$""))&gt;=-180,VALUE(REGEXEXTRACT(SUBSTITUTE(F392,"" "",""""),""-?\d+(\.\d+)?$""))&lt;=180),""OK"",""REVISAR"")"),"#N/A")</f>
        <v>#N/A</v>
      </c>
    </row>
    <row r="393" ht="15.75" customHeight="1">
      <c r="A393" s="5" t="str">
        <f t="shared" si="1"/>
        <v>AD507-0391</v>
      </c>
      <c r="C393" s="5"/>
      <c r="F393" s="5"/>
      <c r="G393" s="5" t="str">
        <f t="shared" si="2"/>
        <v/>
      </c>
      <c r="H393" s="5" t="str">
        <f t="shared" si="3"/>
        <v/>
      </c>
      <c r="I393" s="5" t="str">
        <f t="shared" si="4"/>
        <v/>
      </c>
      <c r="J393" s="5" t="str">
        <f t="shared" si="5"/>
        <v/>
      </c>
      <c r="K393" s="5" t="str">
        <f>IFERROR(__xludf.DUMMYFUNCTION("IF(C393&lt;&gt;"""",HYPERLINK(""https://wa.me/507""&amp;REGEXREPLACE(C393,""[^0-9]"","""")&amp;""?text=""&amp;ENCODEURL(""Ya llegue. Codigo: ""&amp;A393&amp;"". Ubicacion: ""&amp;""https://www.google.com/maps/search/?api=1&amp;query=""&amp;SUBSTITUTE(F393,"" "","""")),""📲 Avisar al cliente"""&amp;"),"""")"),"")</f>
        <v/>
      </c>
      <c r="L393" s="5" t="str">
        <f>IFERROR(__xludf.DUMMYFUNCTION("IF(C393&lt;&gt;"""",""https://api.qrserver.com/v1/create-qr-code/?size=200x200&amp;data=""&amp;ENCODEURL(""https://wa.me/507""&amp;REGEXREPLACE(C393,""[^0-9]"","""")&amp;""?text=""&amp;ENCODEURL(""Ya llegue. Codigo: ""&amp;A393&amp;"". Ubicacion: ""&amp;""https://www.google.com/maps/search/?a"&amp;"pi=1&amp;query=""&amp;SUBSTITUTE(F393,"" "",""""))),"""")"),"")</f>
        <v/>
      </c>
      <c r="M393" s="5" t="str">
        <f t="shared" si="6"/>
        <v/>
      </c>
      <c r="N393" s="5" t="str">
        <f>IFERROR(__xludf.DUMMYFUNCTION("IF(AND(F393&lt;&gt;"""",REGEXMATCH(SUBSTITUTE(F393,"" "",""""),""^-?\d+(\.\d+)?,-?\d+(\.\d+)?$""),VALUE(REGEXEXTRACT(SUBSTITUTE(F393,"" "",""""),""^-?\d+(\.\d+)?""))&gt;=-90,VALUE(REGEXEXTRACT(SUBSTITUTE(F393,"" "",""""),""^-?\d+(\.\d+)?""))&lt;=90,VALUE(REGEXEXTRACT"&amp;"(SUBSTITUTE(F393,"" "",""""),""-?\d+(\.\d+)?$""))&gt;=-180,VALUE(REGEXEXTRACT(SUBSTITUTE(F393,"" "",""""),""-?\d+(\.\d+)?$""))&lt;=180),""OK"",""REVISAR"")"),"#N/A")</f>
        <v>#N/A</v>
      </c>
    </row>
    <row r="394" ht="15.75" customHeight="1">
      <c r="A394" s="5" t="str">
        <f t="shared" si="1"/>
        <v>AD507-0392</v>
      </c>
      <c r="C394" s="5"/>
      <c r="F394" s="5"/>
      <c r="G394" s="5" t="str">
        <f t="shared" si="2"/>
        <v/>
      </c>
      <c r="H394" s="5" t="str">
        <f t="shared" si="3"/>
        <v/>
      </c>
      <c r="I394" s="5" t="str">
        <f t="shared" si="4"/>
        <v/>
      </c>
      <c r="J394" s="5" t="str">
        <f t="shared" si="5"/>
        <v/>
      </c>
      <c r="K394" s="5" t="str">
        <f>IFERROR(__xludf.DUMMYFUNCTION("IF(C394&lt;&gt;"""",HYPERLINK(""https://wa.me/507""&amp;REGEXREPLACE(C394,""[^0-9]"","""")&amp;""?text=""&amp;ENCODEURL(""Ya llegue. Codigo: ""&amp;A394&amp;"". Ubicacion: ""&amp;""https://www.google.com/maps/search/?api=1&amp;query=""&amp;SUBSTITUTE(F394,"" "","""")),""📲 Avisar al cliente"""&amp;"),"""")"),"")</f>
        <v/>
      </c>
      <c r="L394" s="5" t="str">
        <f>IFERROR(__xludf.DUMMYFUNCTION("IF(C394&lt;&gt;"""",""https://api.qrserver.com/v1/create-qr-code/?size=200x200&amp;data=""&amp;ENCODEURL(""https://wa.me/507""&amp;REGEXREPLACE(C394,""[^0-9]"","""")&amp;""?text=""&amp;ENCODEURL(""Ya llegue. Codigo: ""&amp;A394&amp;"". Ubicacion: ""&amp;""https://www.google.com/maps/search/?a"&amp;"pi=1&amp;query=""&amp;SUBSTITUTE(F394,"" "",""""))),"""")"),"")</f>
        <v/>
      </c>
      <c r="M394" s="5" t="str">
        <f t="shared" si="6"/>
        <v/>
      </c>
      <c r="N394" s="5" t="str">
        <f>IFERROR(__xludf.DUMMYFUNCTION("IF(AND(F394&lt;&gt;"""",REGEXMATCH(SUBSTITUTE(F394,"" "",""""),""^-?\d+(\.\d+)?,-?\d+(\.\d+)?$""),VALUE(REGEXEXTRACT(SUBSTITUTE(F394,"" "",""""),""^-?\d+(\.\d+)?""))&gt;=-90,VALUE(REGEXEXTRACT(SUBSTITUTE(F394,"" "",""""),""^-?\d+(\.\d+)?""))&lt;=90,VALUE(REGEXEXTRACT"&amp;"(SUBSTITUTE(F394,"" "",""""),""-?\d+(\.\d+)?$""))&gt;=-180,VALUE(REGEXEXTRACT(SUBSTITUTE(F394,"" "",""""),""-?\d+(\.\d+)?$""))&lt;=180),""OK"",""REVISAR"")"),"#N/A")</f>
        <v>#N/A</v>
      </c>
    </row>
    <row r="395" ht="15.75" customHeight="1">
      <c r="A395" s="5" t="str">
        <f t="shared" si="1"/>
        <v>AD507-0393</v>
      </c>
      <c r="C395" s="5"/>
      <c r="F395" s="5"/>
      <c r="G395" s="5" t="str">
        <f t="shared" si="2"/>
        <v/>
      </c>
      <c r="H395" s="5" t="str">
        <f t="shared" si="3"/>
        <v/>
      </c>
      <c r="I395" s="5" t="str">
        <f t="shared" si="4"/>
        <v/>
      </c>
      <c r="J395" s="5" t="str">
        <f t="shared" si="5"/>
        <v/>
      </c>
      <c r="K395" s="5" t="str">
        <f>IFERROR(__xludf.DUMMYFUNCTION("IF(C395&lt;&gt;"""",HYPERLINK(""https://wa.me/507""&amp;REGEXREPLACE(C395,""[^0-9]"","""")&amp;""?text=""&amp;ENCODEURL(""Ya llegue. Codigo: ""&amp;A395&amp;"". Ubicacion: ""&amp;""https://www.google.com/maps/search/?api=1&amp;query=""&amp;SUBSTITUTE(F395,"" "","""")),""📲 Avisar al cliente"""&amp;"),"""")"),"")</f>
        <v/>
      </c>
      <c r="L395" s="5" t="str">
        <f>IFERROR(__xludf.DUMMYFUNCTION("IF(C395&lt;&gt;"""",""https://api.qrserver.com/v1/create-qr-code/?size=200x200&amp;data=""&amp;ENCODEURL(""https://wa.me/507""&amp;REGEXREPLACE(C395,""[^0-9]"","""")&amp;""?text=""&amp;ENCODEURL(""Ya llegue. Codigo: ""&amp;A395&amp;"". Ubicacion: ""&amp;""https://www.google.com/maps/search/?a"&amp;"pi=1&amp;query=""&amp;SUBSTITUTE(F395,"" "",""""))),"""")"),"")</f>
        <v/>
      </c>
      <c r="M395" s="5" t="str">
        <f t="shared" si="6"/>
        <v/>
      </c>
      <c r="N395" s="5" t="str">
        <f>IFERROR(__xludf.DUMMYFUNCTION("IF(AND(F395&lt;&gt;"""",REGEXMATCH(SUBSTITUTE(F395,"" "",""""),""^-?\d+(\.\d+)?,-?\d+(\.\d+)?$""),VALUE(REGEXEXTRACT(SUBSTITUTE(F395,"" "",""""),""^-?\d+(\.\d+)?""))&gt;=-90,VALUE(REGEXEXTRACT(SUBSTITUTE(F395,"" "",""""),""^-?\d+(\.\d+)?""))&lt;=90,VALUE(REGEXEXTRACT"&amp;"(SUBSTITUTE(F395,"" "",""""),""-?\d+(\.\d+)?$""))&gt;=-180,VALUE(REGEXEXTRACT(SUBSTITUTE(F395,"" "",""""),""-?\d+(\.\d+)?$""))&lt;=180),""OK"",""REVISAR"")"),"#N/A")</f>
        <v>#N/A</v>
      </c>
    </row>
    <row r="396" ht="15.75" customHeight="1">
      <c r="A396" s="5" t="str">
        <f t="shared" si="1"/>
        <v>AD507-0394</v>
      </c>
      <c r="C396" s="5"/>
      <c r="F396" s="5"/>
      <c r="G396" s="5" t="str">
        <f t="shared" si="2"/>
        <v/>
      </c>
      <c r="H396" s="5" t="str">
        <f t="shared" si="3"/>
        <v/>
      </c>
      <c r="I396" s="5" t="str">
        <f t="shared" si="4"/>
        <v/>
      </c>
      <c r="J396" s="5" t="str">
        <f t="shared" si="5"/>
        <v/>
      </c>
      <c r="K396" s="5" t="str">
        <f>IFERROR(__xludf.DUMMYFUNCTION("IF(C396&lt;&gt;"""",HYPERLINK(""https://wa.me/507""&amp;REGEXREPLACE(C396,""[^0-9]"","""")&amp;""?text=""&amp;ENCODEURL(""Ya llegue. Codigo: ""&amp;A396&amp;"". Ubicacion: ""&amp;""https://www.google.com/maps/search/?api=1&amp;query=""&amp;SUBSTITUTE(F396,"" "","""")),""📲 Avisar al cliente"""&amp;"),"""")"),"")</f>
        <v/>
      </c>
      <c r="L396" s="5" t="str">
        <f>IFERROR(__xludf.DUMMYFUNCTION("IF(C396&lt;&gt;"""",""https://api.qrserver.com/v1/create-qr-code/?size=200x200&amp;data=""&amp;ENCODEURL(""https://wa.me/507""&amp;REGEXREPLACE(C396,""[^0-9]"","""")&amp;""?text=""&amp;ENCODEURL(""Ya llegue. Codigo: ""&amp;A396&amp;"". Ubicacion: ""&amp;""https://www.google.com/maps/search/?a"&amp;"pi=1&amp;query=""&amp;SUBSTITUTE(F396,"" "",""""))),"""")"),"")</f>
        <v/>
      </c>
      <c r="M396" s="5" t="str">
        <f t="shared" si="6"/>
        <v/>
      </c>
      <c r="N396" s="5" t="str">
        <f>IFERROR(__xludf.DUMMYFUNCTION("IF(AND(F396&lt;&gt;"""",REGEXMATCH(SUBSTITUTE(F396,"" "",""""),""^-?\d+(\.\d+)?,-?\d+(\.\d+)?$""),VALUE(REGEXEXTRACT(SUBSTITUTE(F396,"" "",""""),""^-?\d+(\.\d+)?""))&gt;=-90,VALUE(REGEXEXTRACT(SUBSTITUTE(F396,"" "",""""),""^-?\d+(\.\d+)?""))&lt;=90,VALUE(REGEXEXTRACT"&amp;"(SUBSTITUTE(F396,"" "",""""),""-?\d+(\.\d+)?$""))&gt;=-180,VALUE(REGEXEXTRACT(SUBSTITUTE(F396,"" "",""""),""-?\d+(\.\d+)?$""))&lt;=180),""OK"",""REVISAR"")"),"#N/A")</f>
        <v>#N/A</v>
      </c>
    </row>
    <row r="397" ht="15.75" customHeight="1">
      <c r="A397" s="5" t="str">
        <f t="shared" si="1"/>
        <v>AD507-0395</v>
      </c>
      <c r="C397" s="5"/>
      <c r="F397" s="5"/>
      <c r="G397" s="5" t="str">
        <f t="shared" si="2"/>
        <v/>
      </c>
      <c r="H397" s="5" t="str">
        <f t="shared" si="3"/>
        <v/>
      </c>
      <c r="I397" s="5" t="str">
        <f t="shared" si="4"/>
        <v/>
      </c>
      <c r="J397" s="5" t="str">
        <f t="shared" si="5"/>
        <v/>
      </c>
      <c r="K397" s="5" t="str">
        <f>IFERROR(__xludf.DUMMYFUNCTION("IF(C397&lt;&gt;"""",HYPERLINK(""https://wa.me/507""&amp;REGEXREPLACE(C397,""[^0-9]"","""")&amp;""?text=""&amp;ENCODEURL(""Ya llegue. Codigo: ""&amp;A397&amp;"". Ubicacion: ""&amp;""https://www.google.com/maps/search/?api=1&amp;query=""&amp;SUBSTITUTE(F397,"" "","""")),""📲 Avisar al cliente"""&amp;"),"""")"),"")</f>
        <v/>
      </c>
      <c r="L397" s="5" t="str">
        <f>IFERROR(__xludf.DUMMYFUNCTION("IF(C397&lt;&gt;"""",""https://api.qrserver.com/v1/create-qr-code/?size=200x200&amp;data=""&amp;ENCODEURL(""https://wa.me/507""&amp;REGEXREPLACE(C397,""[^0-9]"","""")&amp;""?text=""&amp;ENCODEURL(""Ya llegue. Codigo: ""&amp;A397&amp;"". Ubicacion: ""&amp;""https://www.google.com/maps/search/?a"&amp;"pi=1&amp;query=""&amp;SUBSTITUTE(F397,"" "",""""))),"""")"),"")</f>
        <v/>
      </c>
      <c r="M397" s="5" t="str">
        <f t="shared" si="6"/>
        <v/>
      </c>
      <c r="N397" s="5" t="str">
        <f>IFERROR(__xludf.DUMMYFUNCTION("IF(AND(F397&lt;&gt;"""",REGEXMATCH(SUBSTITUTE(F397,"" "",""""),""^-?\d+(\.\d+)?,-?\d+(\.\d+)?$""),VALUE(REGEXEXTRACT(SUBSTITUTE(F397,"" "",""""),""^-?\d+(\.\d+)?""))&gt;=-90,VALUE(REGEXEXTRACT(SUBSTITUTE(F397,"" "",""""),""^-?\d+(\.\d+)?""))&lt;=90,VALUE(REGEXEXTRACT"&amp;"(SUBSTITUTE(F397,"" "",""""),""-?\d+(\.\d+)?$""))&gt;=-180,VALUE(REGEXEXTRACT(SUBSTITUTE(F397,"" "",""""),""-?\d+(\.\d+)?$""))&lt;=180),""OK"",""REVISAR"")"),"#N/A")</f>
        <v>#N/A</v>
      </c>
    </row>
    <row r="398" ht="15.75" customHeight="1">
      <c r="A398" s="5" t="str">
        <f t="shared" si="1"/>
        <v>AD507-0396</v>
      </c>
      <c r="C398" s="5"/>
      <c r="F398" s="5"/>
      <c r="G398" s="5" t="str">
        <f t="shared" si="2"/>
        <v/>
      </c>
      <c r="H398" s="5" t="str">
        <f t="shared" si="3"/>
        <v/>
      </c>
      <c r="I398" s="5" t="str">
        <f t="shared" si="4"/>
        <v/>
      </c>
      <c r="J398" s="5" t="str">
        <f t="shared" si="5"/>
        <v/>
      </c>
      <c r="K398" s="5" t="str">
        <f>IFERROR(__xludf.DUMMYFUNCTION("IF(C398&lt;&gt;"""",HYPERLINK(""https://wa.me/507""&amp;REGEXREPLACE(C398,""[^0-9]"","""")&amp;""?text=""&amp;ENCODEURL(""Ya llegue. Codigo: ""&amp;A398&amp;"". Ubicacion: ""&amp;""https://www.google.com/maps/search/?api=1&amp;query=""&amp;SUBSTITUTE(F398,"" "","""")),""📲 Avisar al cliente"""&amp;"),"""")"),"")</f>
        <v/>
      </c>
      <c r="L398" s="5" t="str">
        <f>IFERROR(__xludf.DUMMYFUNCTION("IF(C398&lt;&gt;"""",""https://api.qrserver.com/v1/create-qr-code/?size=200x200&amp;data=""&amp;ENCODEURL(""https://wa.me/507""&amp;REGEXREPLACE(C398,""[^0-9]"","""")&amp;""?text=""&amp;ENCODEURL(""Ya llegue. Codigo: ""&amp;A398&amp;"". Ubicacion: ""&amp;""https://www.google.com/maps/search/?a"&amp;"pi=1&amp;query=""&amp;SUBSTITUTE(F398,"" "",""""))),"""")"),"")</f>
        <v/>
      </c>
      <c r="M398" s="5" t="str">
        <f t="shared" si="6"/>
        <v/>
      </c>
      <c r="N398" s="5" t="str">
        <f>IFERROR(__xludf.DUMMYFUNCTION("IF(AND(F398&lt;&gt;"""",REGEXMATCH(SUBSTITUTE(F398,"" "",""""),""^-?\d+(\.\d+)?,-?\d+(\.\d+)?$""),VALUE(REGEXEXTRACT(SUBSTITUTE(F398,"" "",""""),""^-?\d+(\.\d+)?""))&gt;=-90,VALUE(REGEXEXTRACT(SUBSTITUTE(F398,"" "",""""),""^-?\d+(\.\d+)?""))&lt;=90,VALUE(REGEXEXTRACT"&amp;"(SUBSTITUTE(F398,"" "",""""),""-?\d+(\.\d+)?$""))&gt;=-180,VALUE(REGEXEXTRACT(SUBSTITUTE(F398,"" "",""""),""-?\d+(\.\d+)?$""))&lt;=180),""OK"",""REVISAR"")"),"#N/A")</f>
        <v>#N/A</v>
      </c>
    </row>
    <row r="399" ht="15.75" customHeight="1">
      <c r="A399" s="5" t="str">
        <f t="shared" si="1"/>
        <v>AD507-0397</v>
      </c>
      <c r="C399" s="5"/>
      <c r="F399" s="5"/>
      <c r="G399" s="5" t="str">
        <f t="shared" si="2"/>
        <v/>
      </c>
      <c r="H399" s="5" t="str">
        <f t="shared" si="3"/>
        <v/>
      </c>
      <c r="I399" s="5" t="str">
        <f t="shared" si="4"/>
        <v/>
      </c>
      <c r="J399" s="5" t="str">
        <f t="shared" si="5"/>
        <v/>
      </c>
      <c r="K399" s="5" t="str">
        <f>IFERROR(__xludf.DUMMYFUNCTION("IF(C399&lt;&gt;"""",HYPERLINK(""https://wa.me/507""&amp;REGEXREPLACE(C399,""[^0-9]"","""")&amp;""?text=""&amp;ENCODEURL(""Ya llegue. Codigo: ""&amp;A399&amp;"". Ubicacion: ""&amp;""https://www.google.com/maps/search/?api=1&amp;query=""&amp;SUBSTITUTE(F399,"" "","""")),""📲 Avisar al cliente"""&amp;"),"""")"),"")</f>
        <v/>
      </c>
      <c r="L399" s="5" t="str">
        <f>IFERROR(__xludf.DUMMYFUNCTION("IF(C399&lt;&gt;"""",""https://api.qrserver.com/v1/create-qr-code/?size=200x200&amp;data=""&amp;ENCODEURL(""https://wa.me/507""&amp;REGEXREPLACE(C399,""[^0-9]"","""")&amp;""?text=""&amp;ENCODEURL(""Ya llegue. Codigo: ""&amp;A399&amp;"". Ubicacion: ""&amp;""https://www.google.com/maps/search/?a"&amp;"pi=1&amp;query=""&amp;SUBSTITUTE(F399,"" "",""""))),"""")"),"")</f>
        <v/>
      </c>
      <c r="M399" s="5" t="str">
        <f t="shared" si="6"/>
        <v/>
      </c>
      <c r="N399" s="5" t="str">
        <f>IFERROR(__xludf.DUMMYFUNCTION("IF(AND(F399&lt;&gt;"""",REGEXMATCH(SUBSTITUTE(F399,"" "",""""),""^-?\d+(\.\d+)?,-?\d+(\.\d+)?$""),VALUE(REGEXEXTRACT(SUBSTITUTE(F399,"" "",""""),""^-?\d+(\.\d+)?""))&gt;=-90,VALUE(REGEXEXTRACT(SUBSTITUTE(F399,"" "",""""),""^-?\d+(\.\d+)?""))&lt;=90,VALUE(REGEXEXTRACT"&amp;"(SUBSTITUTE(F399,"" "",""""),""-?\d+(\.\d+)?$""))&gt;=-180,VALUE(REGEXEXTRACT(SUBSTITUTE(F399,"" "",""""),""-?\d+(\.\d+)?$""))&lt;=180),""OK"",""REVISAR"")"),"#N/A")</f>
        <v>#N/A</v>
      </c>
    </row>
    <row r="400" ht="15.75" customHeight="1">
      <c r="A400" s="5" t="str">
        <f t="shared" si="1"/>
        <v>AD507-0398</v>
      </c>
      <c r="C400" s="5"/>
      <c r="F400" s="5"/>
      <c r="G400" s="5" t="str">
        <f t="shared" si="2"/>
        <v/>
      </c>
      <c r="H400" s="5" t="str">
        <f t="shared" si="3"/>
        <v/>
      </c>
      <c r="I400" s="5" t="str">
        <f t="shared" si="4"/>
        <v/>
      </c>
      <c r="J400" s="5" t="str">
        <f t="shared" si="5"/>
        <v/>
      </c>
      <c r="K400" s="5" t="str">
        <f>IFERROR(__xludf.DUMMYFUNCTION("IF(C400&lt;&gt;"""",HYPERLINK(""https://wa.me/507""&amp;REGEXREPLACE(C400,""[^0-9]"","""")&amp;""?text=""&amp;ENCODEURL(""Ya llegue. Codigo: ""&amp;A400&amp;"". Ubicacion: ""&amp;""https://www.google.com/maps/search/?api=1&amp;query=""&amp;SUBSTITUTE(F400,"" "","""")),""📲 Avisar al cliente"""&amp;"),"""")"),"")</f>
        <v/>
      </c>
      <c r="L400" s="5" t="str">
        <f>IFERROR(__xludf.DUMMYFUNCTION("IF(C400&lt;&gt;"""",""https://api.qrserver.com/v1/create-qr-code/?size=200x200&amp;data=""&amp;ENCODEURL(""https://wa.me/507""&amp;REGEXREPLACE(C400,""[^0-9]"","""")&amp;""?text=""&amp;ENCODEURL(""Ya llegue. Codigo: ""&amp;A400&amp;"". Ubicacion: ""&amp;""https://www.google.com/maps/search/?a"&amp;"pi=1&amp;query=""&amp;SUBSTITUTE(F400,"" "",""""))),"""")"),"")</f>
        <v/>
      </c>
      <c r="M400" s="5" t="str">
        <f t="shared" si="6"/>
        <v/>
      </c>
      <c r="N400" s="5" t="str">
        <f>IFERROR(__xludf.DUMMYFUNCTION("IF(AND(F400&lt;&gt;"""",REGEXMATCH(SUBSTITUTE(F400,"" "",""""),""^-?\d+(\.\d+)?,-?\d+(\.\d+)?$""),VALUE(REGEXEXTRACT(SUBSTITUTE(F400,"" "",""""),""^-?\d+(\.\d+)?""))&gt;=-90,VALUE(REGEXEXTRACT(SUBSTITUTE(F400,"" "",""""),""^-?\d+(\.\d+)?""))&lt;=90,VALUE(REGEXEXTRACT"&amp;"(SUBSTITUTE(F400,"" "",""""),""-?\d+(\.\d+)?$""))&gt;=-180,VALUE(REGEXEXTRACT(SUBSTITUTE(F400,"" "",""""),""-?\d+(\.\d+)?$""))&lt;=180),""OK"",""REVISAR"")"),"#N/A")</f>
        <v>#N/A</v>
      </c>
    </row>
    <row r="401" ht="15.75" customHeight="1">
      <c r="A401" s="5" t="str">
        <f t="shared" si="1"/>
        <v>AD507-0399</v>
      </c>
      <c r="C401" s="5"/>
      <c r="F401" s="5"/>
      <c r="G401" s="5" t="str">
        <f t="shared" si="2"/>
        <v/>
      </c>
      <c r="H401" s="5" t="str">
        <f t="shared" si="3"/>
        <v/>
      </c>
      <c r="I401" s="5" t="str">
        <f t="shared" si="4"/>
        <v/>
      </c>
      <c r="J401" s="5" t="str">
        <f t="shared" si="5"/>
        <v/>
      </c>
      <c r="K401" s="5" t="str">
        <f>IFERROR(__xludf.DUMMYFUNCTION("IF(C401&lt;&gt;"""",HYPERLINK(""https://wa.me/507""&amp;REGEXREPLACE(C401,""[^0-9]"","""")&amp;""?text=""&amp;ENCODEURL(""Ya llegue. Codigo: ""&amp;A401&amp;"". Ubicacion: ""&amp;""https://www.google.com/maps/search/?api=1&amp;query=""&amp;SUBSTITUTE(F401,"" "","""")),""📲 Avisar al cliente"""&amp;"),"""")"),"")</f>
        <v/>
      </c>
      <c r="L401" s="5" t="str">
        <f>IFERROR(__xludf.DUMMYFUNCTION("IF(C401&lt;&gt;"""",""https://api.qrserver.com/v1/create-qr-code/?size=200x200&amp;data=""&amp;ENCODEURL(""https://wa.me/507""&amp;REGEXREPLACE(C401,""[^0-9]"","""")&amp;""?text=""&amp;ENCODEURL(""Ya llegue. Codigo: ""&amp;A401&amp;"". Ubicacion: ""&amp;""https://www.google.com/maps/search/?a"&amp;"pi=1&amp;query=""&amp;SUBSTITUTE(F401,"" "",""""))),"""")"),"")</f>
        <v/>
      </c>
      <c r="M401" s="5" t="str">
        <f t="shared" si="6"/>
        <v/>
      </c>
      <c r="N401" s="5" t="str">
        <f>IFERROR(__xludf.DUMMYFUNCTION("IF(AND(F401&lt;&gt;"""",REGEXMATCH(SUBSTITUTE(F401,"" "",""""),""^-?\d+(\.\d+)?,-?\d+(\.\d+)?$""),VALUE(REGEXEXTRACT(SUBSTITUTE(F401,"" "",""""),""^-?\d+(\.\d+)?""))&gt;=-90,VALUE(REGEXEXTRACT(SUBSTITUTE(F401,"" "",""""),""^-?\d+(\.\d+)?""))&lt;=90,VALUE(REGEXEXTRACT"&amp;"(SUBSTITUTE(F401,"" "",""""),""-?\d+(\.\d+)?$""))&gt;=-180,VALUE(REGEXEXTRACT(SUBSTITUTE(F401,"" "",""""),""-?\d+(\.\d+)?$""))&lt;=180),""OK"",""REVISAR"")"),"#N/A")</f>
        <v>#N/A</v>
      </c>
    </row>
    <row r="402" ht="15.75" customHeight="1">
      <c r="A402" s="5" t="str">
        <f t="shared" si="1"/>
        <v>AD507-0400</v>
      </c>
      <c r="C402" s="5"/>
      <c r="F402" s="5"/>
      <c r="G402" s="5" t="str">
        <f t="shared" si="2"/>
        <v/>
      </c>
      <c r="H402" s="5" t="str">
        <f t="shared" si="3"/>
        <v/>
      </c>
      <c r="I402" s="5" t="str">
        <f t="shared" si="4"/>
        <v/>
      </c>
      <c r="J402" s="5" t="str">
        <f t="shared" si="5"/>
        <v/>
      </c>
      <c r="K402" s="5" t="str">
        <f>IFERROR(__xludf.DUMMYFUNCTION("IF(C402&lt;&gt;"""",HYPERLINK(""https://wa.me/507""&amp;REGEXREPLACE(C402,""[^0-9]"","""")&amp;""?text=""&amp;ENCODEURL(""Ya llegue. Codigo: ""&amp;A402&amp;"". Ubicacion: ""&amp;""https://www.google.com/maps/search/?api=1&amp;query=""&amp;SUBSTITUTE(F402,"" "","""")),""📲 Avisar al cliente"""&amp;"),"""")"),"")</f>
        <v/>
      </c>
      <c r="L402" s="5" t="str">
        <f>IFERROR(__xludf.DUMMYFUNCTION("IF(C402&lt;&gt;"""",""https://api.qrserver.com/v1/create-qr-code/?size=200x200&amp;data=""&amp;ENCODEURL(""https://wa.me/507""&amp;REGEXREPLACE(C402,""[^0-9]"","""")&amp;""?text=""&amp;ENCODEURL(""Ya llegue. Codigo: ""&amp;A402&amp;"". Ubicacion: ""&amp;""https://www.google.com/maps/search/?a"&amp;"pi=1&amp;query=""&amp;SUBSTITUTE(F402,"" "",""""))),"""")"),"")</f>
        <v/>
      </c>
      <c r="M402" s="5" t="str">
        <f t="shared" si="6"/>
        <v/>
      </c>
      <c r="N402" s="5" t="str">
        <f>IFERROR(__xludf.DUMMYFUNCTION("IF(AND(F402&lt;&gt;"""",REGEXMATCH(SUBSTITUTE(F402,"" "",""""),""^-?\d+(\.\d+)?,-?\d+(\.\d+)?$""),VALUE(REGEXEXTRACT(SUBSTITUTE(F402,"" "",""""),""^-?\d+(\.\d+)?""))&gt;=-90,VALUE(REGEXEXTRACT(SUBSTITUTE(F402,"" "",""""),""^-?\d+(\.\d+)?""))&lt;=90,VALUE(REGEXEXTRACT"&amp;"(SUBSTITUTE(F402,"" "",""""),""-?\d+(\.\d+)?$""))&gt;=-180,VALUE(REGEXEXTRACT(SUBSTITUTE(F402,"" "",""""),""-?\d+(\.\d+)?$""))&lt;=180),""OK"",""REVISAR"")"),"#N/A")</f>
        <v>#N/A</v>
      </c>
    </row>
    <row r="403" ht="15.75" customHeight="1">
      <c r="A403" s="5" t="str">
        <f t="shared" si="1"/>
        <v>AD507-0401</v>
      </c>
      <c r="C403" s="5"/>
      <c r="F403" s="5"/>
      <c r="G403" s="5" t="str">
        <f t="shared" si="2"/>
        <v/>
      </c>
      <c r="H403" s="5" t="str">
        <f t="shared" si="3"/>
        <v/>
      </c>
      <c r="I403" s="5" t="str">
        <f t="shared" si="4"/>
        <v/>
      </c>
      <c r="J403" s="5" t="str">
        <f t="shared" si="5"/>
        <v/>
      </c>
      <c r="K403" s="5" t="str">
        <f>IFERROR(__xludf.DUMMYFUNCTION("IF(C403&lt;&gt;"""",HYPERLINK(""https://wa.me/507""&amp;REGEXREPLACE(C403,""[^0-9]"","""")&amp;""?text=""&amp;ENCODEURL(""Ya llegue. Codigo: ""&amp;A403&amp;"". Ubicacion: ""&amp;""https://www.google.com/maps/search/?api=1&amp;query=""&amp;SUBSTITUTE(F403,"" "","""")),""📲 Avisar al cliente"""&amp;"),"""")"),"")</f>
        <v/>
      </c>
      <c r="L403" s="5" t="str">
        <f>IFERROR(__xludf.DUMMYFUNCTION("IF(C403&lt;&gt;"""",""https://api.qrserver.com/v1/create-qr-code/?size=200x200&amp;data=""&amp;ENCODEURL(""https://wa.me/507""&amp;REGEXREPLACE(C403,""[^0-9]"","""")&amp;""?text=""&amp;ENCODEURL(""Ya llegue. Codigo: ""&amp;A403&amp;"". Ubicacion: ""&amp;""https://www.google.com/maps/search/?a"&amp;"pi=1&amp;query=""&amp;SUBSTITUTE(F403,"" "",""""))),"""")"),"")</f>
        <v/>
      </c>
      <c r="M403" s="5" t="str">
        <f t="shared" si="6"/>
        <v/>
      </c>
      <c r="N403" s="5" t="str">
        <f>IFERROR(__xludf.DUMMYFUNCTION("IF(AND(F403&lt;&gt;"""",REGEXMATCH(SUBSTITUTE(F403,"" "",""""),""^-?\d+(\.\d+)?,-?\d+(\.\d+)?$""),VALUE(REGEXEXTRACT(SUBSTITUTE(F403,"" "",""""),""^-?\d+(\.\d+)?""))&gt;=-90,VALUE(REGEXEXTRACT(SUBSTITUTE(F403,"" "",""""),""^-?\d+(\.\d+)?""))&lt;=90,VALUE(REGEXEXTRACT"&amp;"(SUBSTITUTE(F403,"" "",""""),""-?\d+(\.\d+)?$""))&gt;=-180,VALUE(REGEXEXTRACT(SUBSTITUTE(F403,"" "",""""),""-?\d+(\.\d+)?$""))&lt;=180),""OK"",""REVISAR"")"),"#N/A")</f>
        <v>#N/A</v>
      </c>
    </row>
    <row r="404" ht="15.75" customHeight="1">
      <c r="A404" s="5" t="str">
        <f t="shared" si="1"/>
        <v>AD507-0402</v>
      </c>
      <c r="C404" s="5"/>
      <c r="F404" s="5"/>
      <c r="G404" s="5" t="str">
        <f t="shared" si="2"/>
        <v/>
      </c>
      <c r="H404" s="5" t="str">
        <f t="shared" si="3"/>
        <v/>
      </c>
      <c r="I404" s="5" t="str">
        <f t="shared" si="4"/>
        <v/>
      </c>
      <c r="J404" s="5" t="str">
        <f t="shared" si="5"/>
        <v/>
      </c>
      <c r="K404" s="5" t="str">
        <f>IFERROR(__xludf.DUMMYFUNCTION("IF(C404&lt;&gt;"""",HYPERLINK(""https://wa.me/507""&amp;REGEXREPLACE(C404,""[^0-9]"","""")&amp;""?text=""&amp;ENCODEURL(""Ya llegue. Codigo: ""&amp;A404&amp;"". Ubicacion: ""&amp;""https://www.google.com/maps/search/?api=1&amp;query=""&amp;SUBSTITUTE(F404,"" "","""")),""📲 Avisar al cliente"""&amp;"),"""")"),"")</f>
        <v/>
      </c>
      <c r="L404" s="5" t="str">
        <f>IFERROR(__xludf.DUMMYFUNCTION("IF(C404&lt;&gt;"""",""https://api.qrserver.com/v1/create-qr-code/?size=200x200&amp;data=""&amp;ENCODEURL(""https://wa.me/507""&amp;REGEXREPLACE(C404,""[^0-9]"","""")&amp;""?text=""&amp;ENCODEURL(""Ya llegue. Codigo: ""&amp;A404&amp;"". Ubicacion: ""&amp;""https://www.google.com/maps/search/?a"&amp;"pi=1&amp;query=""&amp;SUBSTITUTE(F404,"" "",""""))),"""")"),"")</f>
        <v/>
      </c>
      <c r="M404" s="5" t="str">
        <f t="shared" si="6"/>
        <v/>
      </c>
      <c r="N404" s="5" t="str">
        <f>IFERROR(__xludf.DUMMYFUNCTION("IF(AND(F404&lt;&gt;"""",REGEXMATCH(SUBSTITUTE(F404,"" "",""""),""^-?\d+(\.\d+)?,-?\d+(\.\d+)?$""),VALUE(REGEXEXTRACT(SUBSTITUTE(F404,"" "",""""),""^-?\d+(\.\d+)?""))&gt;=-90,VALUE(REGEXEXTRACT(SUBSTITUTE(F404,"" "",""""),""^-?\d+(\.\d+)?""))&lt;=90,VALUE(REGEXEXTRACT"&amp;"(SUBSTITUTE(F404,"" "",""""),""-?\d+(\.\d+)?$""))&gt;=-180,VALUE(REGEXEXTRACT(SUBSTITUTE(F404,"" "",""""),""-?\d+(\.\d+)?$""))&lt;=180),""OK"",""REVISAR"")"),"#N/A")</f>
        <v>#N/A</v>
      </c>
    </row>
    <row r="405" ht="15.75" customHeight="1">
      <c r="A405" s="5" t="str">
        <f t="shared" si="1"/>
        <v>AD507-0403</v>
      </c>
      <c r="C405" s="5"/>
      <c r="F405" s="5"/>
      <c r="G405" s="5" t="str">
        <f t="shared" si="2"/>
        <v/>
      </c>
      <c r="H405" s="5" t="str">
        <f t="shared" si="3"/>
        <v/>
      </c>
      <c r="I405" s="5" t="str">
        <f t="shared" si="4"/>
        <v/>
      </c>
      <c r="J405" s="5" t="str">
        <f t="shared" si="5"/>
        <v/>
      </c>
      <c r="K405" s="5" t="str">
        <f>IFERROR(__xludf.DUMMYFUNCTION("IF(C405&lt;&gt;"""",HYPERLINK(""https://wa.me/507""&amp;REGEXREPLACE(C405,""[^0-9]"","""")&amp;""?text=""&amp;ENCODEURL(""Ya llegue. Codigo: ""&amp;A405&amp;"". Ubicacion: ""&amp;""https://www.google.com/maps/search/?api=1&amp;query=""&amp;SUBSTITUTE(F405,"" "","""")),""📲 Avisar al cliente"""&amp;"),"""")"),"")</f>
        <v/>
      </c>
      <c r="L405" s="5" t="str">
        <f>IFERROR(__xludf.DUMMYFUNCTION("IF(C405&lt;&gt;"""",""https://api.qrserver.com/v1/create-qr-code/?size=200x200&amp;data=""&amp;ENCODEURL(""https://wa.me/507""&amp;REGEXREPLACE(C405,""[^0-9]"","""")&amp;""?text=""&amp;ENCODEURL(""Ya llegue. Codigo: ""&amp;A405&amp;"". Ubicacion: ""&amp;""https://www.google.com/maps/search/?a"&amp;"pi=1&amp;query=""&amp;SUBSTITUTE(F405,"" "",""""))),"""")"),"")</f>
        <v/>
      </c>
      <c r="M405" s="5" t="str">
        <f t="shared" si="6"/>
        <v/>
      </c>
      <c r="N405" s="5" t="str">
        <f>IFERROR(__xludf.DUMMYFUNCTION("IF(AND(F405&lt;&gt;"""",REGEXMATCH(SUBSTITUTE(F405,"" "",""""),""^-?\d+(\.\d+)?,-?\d+(\.\d+)?$""),VALUE(REGEXEXTRACT(SUBSTITUTE(F405,"" "",""""),""^-?\d+(\.\d+)?""))&gt;=-90,VALUE(REGEXEXTRACT(SUBSTITUTE(F405,"" "",""""),""^-?\d+(\.\d+)?""))&lt;=90,VALUE(REGEXEXTRACT"&amp;"(SUBSTITUTE(F405,"" "",""""),""-?\d+(\.\d+)?$""))&gt;=-180,VALUE(REGEXEXTRACT(SUBSTITUTE(F405,"" "",""""),""-?\d+(\.\d+)?$""))&lt;=180),""OK"",""REVISAR"")"),"#N/A")</f>
        <v>#N/A</v>
      </c>
    </row>
    <row r="406" ht="15.75" customHeight="1">
      <c r="A406" s="5" t="str">
        <f t="shared" si="1"/>
        <v>AD507-0404</v>
      </c>
      <c r="C406" s="5"/>
      <c r="F406" s="5"/>
      <c r="G406" s="5" t="str">
        <f t="shared" si="2"/>
        <v/>
      </c>
      <c r="H406" s="5" t="str">
        <f t="shared" si="3"/>
        <v/>
      </c>
      <c r="I406" s="5" t="str">
        <f t="shared" si="4"/>
        <v/>
      </c>
      <c r="J406" s="5" t="str">
        <f t="shared" si="5"/>
        <v/>
      </c>
      <c r="K406" s="5" t="str">
        <f>IFERROR(__xludf.DUMMYFUNCTION("IF(C406&lt;&gt;"""",HYPERLINK(""https://wa.me/507""&amp;REGEXREPLACE(C406,""[^0-9]"","""")&amp;""?text=""&amp;ENCODEURL(""Ya llegue. Codigo: ""&amp;A406&amp;"". Ubicacion: ""&amp;""https://www.google.com/maps/search/?api=1&amp;query=""&amp;SUBSTITUTE(F406,"" "","""")),""📲 Avisar al cliente"""&amp;"),"""")"),"")</f>
        <v/>
      </c>
      <c r="L406" s="5" t="str">
        <f>IFERROR(__xludf.DUMMYFUNCTION("IF(C406&lt;&gt;"""",""https://api.qrserver.com/v1/create-qr-code/?size=200x200&amp;data=""&amp;ENCODEURL(""https://wa.me/507""&amp;REGEXREPLACE(C406,""[^0-9]"","""")&amp;""?text=""&amp;ENCODEURL(""Ya llegue. Codigo: ""&amp;A406&amp;"". Ubicacion: ""&amp;""https://www.google.com/maps/search/?a"&amp;"pi=1&amp;query=""&amp;SUBSTITUTE(F406,"" "",""""))),"""")"),"")</f>
        <v/>
      </c>
      <c r="M406" s="5" t="str">
        <f t="shared" si="6"/>
        <v/>
      </c>
      <c r="N406" s="5" t="str">
        <f>IFERROR(__xludf.DUMMYFUNCTION("IF(AND(F406&lt;&gt;"""",REGEXMATCH(SUBSTITUTE(F406,"" "",""""),""^-?\d+(\.\d+)?,-?\d+(\.\d+)?$""),VALUE(REGEXEXTRACT(SUBSTITUTE(F406,"" "",""""),""^-?\d+(\.\d+)?""))&gt;=-90,VALUE(REGEXEXTRACT(SUBSTITUTE(F406,"" "",""""),""^-?\d+(\.\d+)?""))&lt;=90,VALUE(REGEXEXTRACT"&amp;"(SUBSTITUTE(F406,"" "",""""),""-?\d+(\.\d+)?$""))&gt;=-180,VALUE(REGEXEXTRACT(SUBSTITUTE(F406,"" "",""""),""-?\d+(\.\d+)?$""))&lt;=180),""OK"",""REVISAR"")"),"#N/A")</f>
        <v>#N/A</v>
      </c>
    </row>
    <row r="407" ht="15.75" customHeight="1">
      <c r="A407" s="5" t="str">
        <f t="shared" si="1"/>
        <v>AD507-0405</v>
      </c>
      <c r="C407" s="5"/>
      <c r="F407" s="5"/>
      <c r="G407" s="5" t="str">
        <f t="shared" si="2"/>
        <v/>
      </c>
      <c r="H407" s="5" t="str">
        <f t="shared" si="3"/>
        <v/>
      </c>
      <c r="I407" s="5" t="str">
        <f t="shared" si="4"/>
        <v/>
      </c>
      <c r="J407" s="5" t="str">
        <f t="shared" si="5"/>
        <v/>
      </c>
      <c r="K407" s="5" t="str">
        <f>IFERROR(__xludf.DUMMYFUNCTION("IF(C407&lt;&gt;"""",HYPERLINK(""https://wa.me/507""&amp;REGEXREPLACE(C407,""[^0-9]"","""")&amp;""?text=""&amp;ENCODEURL(""Ya llegue. Codigo: ""&amp;A407&amp;"". Ubicacion: ""&amp;""https://www.google.com/maps/search/?api=1&amp;query=""&amp;SUBSTITUTE(F407,"" "","""")),""📲 Avisar al cliente"""&amp;"),"""")"),"")</f>
        <v/>
      </c>
      <c r="L407" s="5" t="str">
        <f>IFERROR(__xludf.DUMMYFUNCTION("IF(C407&lt;&gt;"""",""https://api.qrserver.com/v1/create-qr-code/?size=200x200&amp;data=""&amp;ENCODEURL(""https://wa.me/507""&amp;REGEXREPLACE(C407,""[^0-9]"","""")&amp;""?text=""&amp;ENCODEURL(""Ya llegue. Codigo: ""&amp;A407&amp;"". Ubicacion: ""&amp;""https://www.google.com/maps/search/?a"&amp;"pi=1&amp;query=""&amp;SUBSTITUTE(F407,"" "",""""))),"""")"),"")</f>
        <v/>
      </c>
      <c r="M407" s="5" t="str">
        <f t="shared" si="6"/>
        <v/>
      </c>
      <c r="N407" s="5" t="str">
        <f>IFERROR(__xludf.DUMMYFUNCTION("IF(AND(F407&lt;&gt;"""",REGEXMATCH(SUBSTITUTE(F407,"" "",""""),""^-?\d+(\.\d+)?,-?\d+(\.\d+)?$""),VALUE(REGEXEXTRACT(SUBSTITUTE(F407,"" "",""""),""^-?\d+(\.\d+)?""))&gt;=-90,VALUE(REGEXEXTRACT(SUBSTITUTE(F407,"" "",""""),""^-?\d+(\.\d+)?""))&lt;=90,VALUE(REGEXEXTRACT"&amp;"(SUBSTITUTE(F407,"" "",""""),""-?\d+(\.\d+)?$""))&gt;=-180,VALUE(REGEXEXTRACT(SUBSTITUTE(F407,"" "",""""),""-?\d+(\.\d+)?$""))&lt;=180),""OK"",""REVISAR"")"),"#N/A")</f>
        <v>#N/A</v>
      </c>
    </row>
    <row r="408" ht="15.75" customHeight="1">
      <c r="A408" s="5" t="str">
        <f t="shared" si="1"/>
        <v>AD507-0406</v>
      </c>
      <c r="C408" s="5"/>
      <c r="F408" s="5"/>
      <c r="G408" s="5" t="str">
        <f t="shared" si="2"/>
        <v/>
      </c>
      <c r="H408" s="5" t="str">
        <f t="shared" si="3"/>
        <v/>
      </c>
      <c r="I408" s="5" t="str">
        <f t="shared" si="4"/>
        <v/>
      </c>
      <c r="J408" s="5" t="str">
        <f t="shared" si="5"/>
        <v/>
      </c>
      <c r="K408" s="5" t="str">
        <f>IFERROR(__xludf.DUMMYFUNCTION("IF(C408&lt;&gt;"""",HYPERLINK(""https://wa.me/507""&amp;REGEXREPLACE(C408,""[^0-9]"","""")&amp;""?text=""&amp;ENCODEURL(""Ya llegue. Codigo: ""&amp;A408&amp;"". Ubicacion: ""&amp;""https://www.google.com/maps/search/?api=1&amp;query=""&amp;SUBSTITUTE(F408,"" "","""")),""📲 Avisar al cliente"""&amp;"),"""")"),"")</f>
        <v/>
      </c>
      <c r="L408" s="5" t="str">
        <f>IFERROR(__xludf.DUMMYFUNCTION("IF(C408&lt;&gt;"""",""https://api.qrserver.com/v1/create-qr-code/?size=200x200&amp;data=""&amp;ENCODEURL(""https://wa.me/507""&amp;REGEXREPLACE(C408,""[^0-9]"","""")&amp;""?text=""&amp;ENCODEURL(""Ya llegue. Codigo: ""&amp;A408&amp;"". Ubicacion: ""&amp;""https://www.google.com/maps/search/?a"&amp;"pi=1&amp;query=""&amp;SUBSTITUTE(F408,"" "",""""))),"""")"),"")</f>
        <v/>
      </c>
      <c r="M408" s="5" t="str">
        <f t="shared" si="6"/>
        <v/>
      </c>
      <c r="N408" s="5" t="str">
        <f>IFERROR(__xludf.DUMMYFUNCTION("IF(AND(F408&lt;&gt;"""",REGEXMATCH(SUBSTITUTE(F408,"" "",""""),""^-?\d+(\.\d+)?,-?\d+(\.\d+)?$""),VALUE(REGEXEXTRACT(SUBSTITUTE(F408,"" "",""""),""^-?\d+(\.\d+)?""))&gt;=-90,VALUE(REGEXEXTRACT(SUBSTITUTE(F408,"" "",""""),""^-?\d+(\.\d+)?""))&lt;=90,VALUE(REGEXEXTRACT"&amp;"(SUBSTITUTE(F408,"" "",""""),""-?\d+(\.\d+)?$""))&gt;=-180,VALUE(REGEXEXTRACT(SUBSTITUTE(F408,"" "",""""),""-?\d+(\.\d+)?$""))&lt;=180),""OK"",""REVISAR"")"),"#N/A")</f>
        <v>#N/A</v>
      </c>
    </row>
    <row r="409" ht="15.75" customHeight="1">
      <c r="A409" s="5" t="str">
        <f t="shared" si="1"/>
        <v>AD507-0407</v>
      </c>
      <c r="C409" s="5"/>
      <c r="F409" s="5"/>
      <c r="G409" s="5" t="str">
        <f t="shared" si="2"/>
        <v/>
      </c>
      <c r="H409" s="5" t="str">
        <f t="shared" si="3"/>
        <v/>
      </c>
      <c r="I409" s="5" t="str">
        <f t="shared" si="4"/>
        <v/>
      </c>
      <c r="J409" s="5" t="str">
        <f t="shared" si="5"/>
        <v/>
      </c>
      <c r="K409" s="5" t="str">
        <f>IFERROR(__xludf.DUMMYFUNCTION("IF(C409&lt;&gt;"""",HYPERLINK(""https://wa.me/507""&amp;REGEXREPLACE(C409,""[^0-9]"","""")&amp;""?text=""&amp;ENCODEURL(""Ya llegue. Codigo: ""&amp;A409&amp;"". Ubicacion: ""&amp;""https://www.google.com/maps/search/?api=1&amp;query=""&amp;SUBSTITUTE(F409,"" "","""")),""📲 Avisar al cliente"""&amp;"),"""")"),"")</f>
        <v/>
      </c>
      <c r="L409" s="5" t="str">
        <f>IFERROR(__xludf.DUMMYFUNCTION("IF(C409&lt;&gt;"""",""https://api.qrserver.com/v1/create-qr-code/?size=200x200&amp;data=""&amp;ENCODEURL(""https://wa.me/507""&amp;REGEXREPLACE(C409,""[^0-9]"","""")&amp;""?text=""&amp;ENCODEURL(""Ya llegue. Codigo: ""&amp;A409&amp;"". Ubicacion: ""&amp;""https://www.google.com/maps/search/?a"&amp;"pi=1&amp;query=""&amp;SUBSTITUTE(F409,"" "",""""))),"""")"),"")</f>
        <v/>
      </c>
      <c r="M409" s="5" t="str">
        <f t="shared" si="6"/>
        <v/>
      </c>
      <c r="N409" s="5" t="str">
        <f>IFERROR(__xludf.DUMMYFUNCTION("IF(AND(F409&lt;&gt;"""",REGEXMATCH(SUBSTITUTE(F409,"" "",""""),""^-?\d+(\.\d+)?,-?\d+(\.\d+)?$""),VALUE(REGEXEXTRACT(SUBSTITUTE(F409,"" "",""""),""^-?\d+(\.\d+)?""))&gt;=-90,VALUE(REGEXEXTRACT(SUBSTITUTE(F409,"" "",""""),""^-?\d+(\.\d+)?""))&lt;=90,VALUE(REGEXEXTRACT"&amp;"(SUBSTITUTE(F409,"" "",""""),""-?\d+(\.\d+)?$""))&gt;=-180,VALUE(REGEXEXTRACT(SUBSTITUTE(F409,"" "",""""),""-?\d+(\.\d+)?$""))&lt;=180),""OK"",""REVISAR"")"),"#N/A")</f>
        <v>#N/A</v>
      </c>
    </row>
    <row r="410" ht="15.75" customHeight="1">
      <c r="A410" s="5" t="str">
        <f t="shared" si="1"/>
        <v>AD507-0408</v>
      </c>
      <c r="C410" s="5"/>
      <c r="F410" s="5"/>
      <c r="G410" s="5" t="str">
        <f t="shared" si="2"/>
        <v/>
      </c>
      <c r="H410" s="5" t="str">
        <f t="shared" si="3"/>
        <v/>
      </c>
      <c r="I410" s="5" t="str">
        <f t="shared" si="4"/>
        <v/>
      </c>
      <c r="J410" s="5" t="str">
        <f t="shared" si="5"/>
        <v/>
      </c>
      <c r="K410" s="5" t="str">
        <f>IFERROR(__xludf.DUMMYFUNCTION("IF(C410&lt;&gt;"""",HYPERLINK(""https://wa.me/507""&amp;REGEXREPLACE(C410,""[^0-9]"","""")&amp;""?text=""&amp;ENCODEURL(""Ya llegue. Codigo: ""&amp;A410&amp;"". Ubicacion: ""&amp;""https://www.google.com/maps/search/?api=1&amp;query=""&amp;SUBSTITUTE(F410,"" "","""")),""📲 Avisar al cliente"""&amp;"),"""")"),"")</f>
        <v/>
      </c>
      <c r="L410" s="5" t="str">
        <f>IFERROR(__xludf.DUMMYFUNCTION("IF(C410&lt;&gt;"""",""https://api.qrserver.com/v1/create-qr-code/?size=200x200&amp;data=""&amp;ENCODEURL(""https://wa.me/507""&amp;REGEXREPLACE(C410,""[^0-9]"","""")&amp;""?text=""&amp;ENCODEURL(""Ya llegue. Codigo: ""&amp;A410&amp;"". Ubicacion: ""&amp;""https://www.google.com/maps/search/?a"&amp;"pi=1&amp;query=""&amp;SUBSTITUTE(F410,"" "",""""))),"""")"),"")</f>
        <v/>
      </c>
      <c r="M410" s="5" t="str">
        <f t="shared" si="6"/>
        <v/>
      </c>
      <c r="N410" s="5" t="str">
        <f>IFERROR(__xludf.DUMMYFUNCTION("IF(AND(F410&lt;&gt;"""",REGEXMATCH(SUBSTITUTE(F410,"" "",""""),""^-?\d+(\.\d+)?,-?\d+(\.\d+)?$""),VALUE(REGEXEXTRACT(SUBSTITUTE(F410,"" "",""""),""^-?\d+(\.\d+)?""))&gt;=-90,VALUE(REGEXEXTRACT(SUBSTITUTE(F410,"" "",""""),""^-?\d+(\.\d+)?""))&lt;=90,VALUE(REGEXEXTRACT"&amp;"(SUBSTITUTE(F410,"" "",""""),""-?\d+(\.\d+)?$""))&gt;=-180,VALUE(REGEXEXTRACT(SUBSTITUTE(F410,"" "",""""),""-?\d+(\.\d+)?$""))&lt;=180),""OK"",""REVISAR"")"),"#N/A")</f>
        <v>#N/A</v>
      </c>
    </row>
    <row r="411" ht="15.75" customHeight="1">
      <c r="A411" s="5" t="str">
        <f t="shared" si="1"/>
        <v>AD507-0409</v>
      </c>
      <c r="C411" s="5"/>
      <c r="F411" s="5"/>
      <c r="G411" s="5" t="str">
        <f t="shared" si="2"/>
        <v/>
      </c>
      <c r="H411" s="5" t="str">
        <f t="shared" si="3"/>
        <v/>
      </c>
      <c r="I411" s="5" t="str">
        <f t="shared" si="4"/>
        <v/>
      </c>
      <c r="J411" s="5" t="str">
        <f t="shared" si="5"/>
        <v/>
      </c>
      <c r="K411" s="5" t="str">
        <f>IFERROR(__xludf.DUMMYFUNCTION("IF(C411&lt;&gt;"""",HYPERLINK(""https://wa.me/507""&amp;REGEXREPLACE(C411,""[^0-9]"","""")&amp;""?text=""&amp;ENCODEURL(""Ya llegue. Codigo: ""&amp;A411&amp;"". Ubicacion: ""&amp;""https://www.google.com/maps/search/?api=1&amp;query=""&amp;SUBSTITUTE(F411,"" "","""")),""📲 Avisar al cliente"""&amp;"),"""")"),"")</f>
        <v/>
      </c>
      <c r="L411" s="5" t="str">
        <f>IFERROR(__xludf.DUMMYFUNCTION("IF(C411&lt;&gt;"""",""https://api.qrserver.com/v1/create-qr-code/?size=200x200&amp;data=""&amp;ENCODEURL(""https://wa.me/507""&amp;REGEXREPLACE(C411,""[^0-9]"","""")&amp;""?text=""&amp;ENCODEURL(""Ya llegue. Codigo: ""&amp;A411&amp;"". Ubicacion: ""&amp;""https://www.google.com/maps/search/?a"&amp;"pi=1&amp;query=""&amp;SUBSTITUTE(F411,"" "",""""))),"""")"),"")</f>
        <v/>
      </c>
      <c r="M411" s="5" t="str">
        <f t="shared" si="6"/>
        <v/>
      </c>
      <c r="N411" s="5" t="str">
        <f>IFERROR(__xludf.DUMMYFUNCTION("IF(AND(F411&lt;&gt;"""",REGEXMATCH(SUBSTITUTE(F411,"" "",""""),""^-?\d+(\.\d+)?,-?\d+(\.\d+)?$""),VALUE(REGEXEXTRACT(SUBSTITUTE(F411,"" "",""""),""^-?\d+(\.\d+)?""))&gt;=-90,VALUE(REGEXEXTRACT(SUBSTITUTE(F411,"" "",""""),""^-?\d+(\.\d+)?""))&lt;=90,VALUE(REGEXEXTRACT"&amp;"(SUBSTITUTE(F411,"" "",""""),""-?\d+(\.\d+)?$""))&gt;=-180,VALUE(REGEXEXTRACT(SUBSTITUTE(F411,"" "",""""),""-?\d+(\.\d+)?$""))&lt;=180),""OK"",""REVISAR"")"),"#N/A")</f>
        <v>#N/A</v>
      </c>
    </row>
    <row r="412" ht="15.75" customHeight="1">
      <c r="A412" s="5" t="str">
        <f t="shared" si="1"/>
        <v>AD507-0410</v>
      </c>
      <c r="C412" s="5"/>
      <c r="F412" s="5"/>
      <c r="G412" s="5" t="str">
        <f t="shared" si="2"/>
        <v/>
      </c>
      <c r="H412" s="5" t="str">
        <f t="shared" si="3"/>
        <v/>
      </c>
      <c r="I412" s="5" t="str">
        <f t="shared" si="4"/>
        <v/>
      </c>
      <c r="J412" s="5" t="str">
        <f t="shared" si="5"/>
        <v/>
      </c>
      <c r="K412" s="5" t="str">
        <f>IFERROR(__xludf.DUMMYFUNCTION("IF(C412&lt;&gt;"""",HYPERLINK(""https://wa.me/507""&amp;REGEXREPLACE(C412,""[^0-9]"","""")&amp;""?text=""&amp;ENCODEURL(""Ya llegue. Codigo: ""&amp;A412&amp;"". Ubicacion: ""&amp;""https://www.google.com/maps/search/?api=1&amp;query=""&amp;SUBSTITUTE(F412,"" "","""")),""📲 Avisar al cliente"""&amp;"),"""")"),"")</f>
        <v/>
      </c>
      <c r="L412" s="5" t="str">
        <f>IFERROR(__xludf.DUMMYFUNCTION("IF(C412&lt;&gt;"""",""https://api.qrserver.com/v1/create-qr-code/?size=200x200&amp;data=""&amp;ENCODEURL(""https://wa.me/507""&amp;REGEXREPLACE(C412,""[^0-9]"","""")&amp;""?text=""&amp;ENCODEURL(""Ya llegue. Codigo: ""&amp;A412&amp;"". Ubicacion: ""&amp;""https://www.google.com/maps/search/?a"&amp;"pi=1&amp;query=""&amp;SUBSTITUTE(F412,"" "",""""))),"""")"),"")</f>
        <v/>
      </c>
      <c r="M412" s="5" t="str">
        <f t="shared" si="6"/>
        <v/>
      </c>
      <c r="N412" s="5" t="str">
        <f>IFERROR(__xludf.DUMMYFUNCTION("IF(AND(F412&lt;&gt;"""",REGEXMATCH(SUBSTITUTE(F412,"" "",""""),""^-?\d+(\.\d+)?,-?\d+(\.\d+)?$""),VALUE(REGEXEXTRACT(SUBSTITUTE(F412,"" "",""""),""^-?\d+(\.\d+)?""))&gt;=-90,VALUE(REGEXEXTRACT(SUBSTITUTE(F412,"" "",""""),""^-?\d+(\.\d+)?""))&lt;=90,VALUE(REGEXEXTRACT"&amp;"(SUBSTITUTE(F412,"" "",""""),""-?\d+(\.\d+)?$""))&gt;=-180,VALUE(REGEXEXTRACT(SUBSTITUTE(F412,"" "",""""),""-?\d+(\.\d+)?$""))&lt;=180),""OK"",""REVISAR"")"),"#N/A")</f>
        <v>#N/A</v>
      </c>
    </row>
    <row r="413" ht="15.75" customHeight="1">
      <c r="A413" s="5" t="str">
        <f t="shared" si="1"/>
        <v>AD507-0411</v>
      </c>
      <c r="C413" s="5"/>
      <c r="F413" s="5"/>
      <c r="G413" s="5" t="str">
        <f t="shared" si="2"/>
        <v/>
      </c>
      <c r="H413" s="5" t="str">
        <f t="shared" si="3"/>
        <v/>
      </c>
      <c r="I413" s="5" t="str">
        <f t="shared" si="4"/>
        <v/>
      </c>
      <c r="J413" s="5" t="str">
        <f t="shared" si="5"/>
        <v/>
      </c>
      <c r="K413" s="5" t="str">
        <f>IFERROR(__xludf.DUMMYFUNCTION("IF(C413&lt;&gt;"""",HYPERLINK(""https://wa.me/507""&amp;REGEXREPLACE(C413,""[^0-9]"","""")&amp;""?text=""&amp;ENCODEURL(""Ya llegue. Codigo: ""&amp;A413&amp;"". Ubicacion: ""&amp;""https://www.google.com/maps/search/?api=1&amp;query=""&amp;SUBSTITUTE(F413,"" "","""")),""📲 Avisar al cliente"""&amp;"),"""")"),"")</f>
        <v/>
      </c>
      <c r="L413" s="5" t="str">
        <f>IFERROR(__xludf.DUMMYFUNCTION("IF(C413&lt;&gt;"""",""https://api.qrserver.com/v1/create-qr-code/?size=200x200&amp;data=""&amp;ENCODEURL(""https://wa.me/507""&amp;REGEXREPLACE(C413,""[^0-9]"","""")&amp;""?text=""&amp;ENCODEURL(""Ya llegue. Codigo: ""&amp;A413&amp;"". Ubicacion: ""&amp;""https://www.google.com/maps/search/?a"&amp;"pi=1&amp;query=""&amp;SUBSTITUTE(F413,"" "",""""))),"""")"),"")</f>
        <v/>
      </c>
      <c r="M413" s="5" t="str">
        <f t="shared" si="6"/>
        <v/>
      </c>
      <c r="N413" s="5" t="str">
        <f>IFERROR(__xludf.DUMMYFUNCTION("IF(AND(F413&lt;&gt;"""",REGEXMATCH(SUBSTITUTE(F413,"" "",""""),""^-?\d+(\.\d+)?,-?\d+(\.\d+)?$""),VALUE(REGEXEXTRACT(SUBSTITUTE(F413,"" "",""""),""^-?\d+(\.\d+)?""))&gt;=-90,VALUE(REGEXEXTRACT(SUBSTITUTE(F413,"" "",""""),""^-?\d+(\.\d+)?""))&lt;=90,VALUE(REGEXEXTRACT"&amp;"(SUBSTITUTE(F413,"" "",""""),""-?\d+(\.\d+)?$""))&gt;=-180,VALUE(REGEXEXTRACT(SUBSTITUTE(F413,"" "",""""),""-?\d+(\.\d+)?$""))&lt;=180),""OK"",""REVISAR"")"),"#N/A")</f>
        <v>#N/A</v>
      </c>
    </row>
    <row r="414" ht="15.75" customHeight="1">
      <c r="A414" s="5" t="str">
        <f t="shared" si="1"/>
        <v>AD507-0412</v>
      </c>
      <c r="C414" s="5"/>
      <c r="F414" s="5"/>
      <c r="G414" s="5" t="str">
        <f t="shared" si="2"/>
        <v/>
      </c>
      <c r="H414" s="5" t="str">
        <f t="shared" si="3"/>
        <v/>
      </c>
      <c r="I414" s="5" t="str">
        <f t="shared" si="4"/>
        <v/>
      </c>
      <c r="J414" s="5" t="str">
        <f t="shared" si="5"/>
        <v/>
      </c>
      <c r="K414" s="5" t="str">
        <f>IFERROR(__xludf.DUMMYFUNCTION("IF(C414&lt;&gt;"""",HYPERLINK(""https://wa.me/507""&amp;REGEXREPLACE(C414,""[^0-9]"","""")&amp;""?text=""&amp;ENCODEURL(""Ya llegue. Codigo: ""&amp;A414&amp;"". Ubicacion: ""&amp;""https://www.google.com/maps/search/?api=1&amp;query=""&amp;SUBSTITUTE(F414,"" "","""")),""📲 Avisar al cliente"""&amp;"),"""")"),"")</f>
        <v/>
      </c>
      <c r="L414" s="5" t="str">
        <f>IFERROR(__xludf.DUMMYFUNCTION("IF(C414&lt;&gt;"""",""https://api.qrserver.com/v1/create-qr-code/?size=200x200&amp;data=""&amp;ENCODEURL(""https://wa.me/507""&amp;REGEXREPLACE(C414,""[^0-9]"","""")&amp;""?text=""&amp;ENCODEURL(""Ya llegue. Codigo: ""&amp;A414&amp;"". Ubicacion: ""&amp;""https://www.google.com/maps/search/?a"&amp;"pi=1&amp;query=""&amp;SUBSTITUTE(F414,"" "",""""))),"""")"),"")</f>
        <v/>
      </c>
      <c r="M414" s="5" t="str">
        <f t="shared" si="6"/>
        <v/>
      </c>
      <c r="N414" s="5" t="str">
        <f>IFERROR(__xludf.DUMMYFUNCTION("IF(AND(F414&lt;&gt;"""",REGEXMATCH(SUBSTITUTE(F414,"" "",""""),""^-?\d+(\.\d+)?,-?\d+(\.\d+)?$""),VALUE(REGEXEXTRACT(SUBSTITUTE(F414,"" "",""""),""^-?\d+(\.\d+)?""))&gt;=-90,VALUE(REGEXEXTRACT(SUBSTITUTE(F414,"" "",""""),""^-?\d+(\.\d+)?""))&lt;=90,VALUE(REGEXEXTRACT"&amp;"(SUBSTITUTE(F414,"" "",""""),""-?\d+(\.\d+)?$""))&gt;=-180,VALUE(REGEXEXTRACT(SUBSTITUTE(F414,"" "",""""),""-?\d+(\.\d+)?$""))&lt;=180),""OK"",""REVISAR"")"),"#N/A")</f>
        <v>#N/A</v>
      </c>
    </row>
    <row r="415" ht="15.75" customHeight="1">
      <c r="A415" s="5" t="str">
        <f t="shared" si="1"/>
        <v>AD507-0413</v>
      </c>
      <c r="C415" s="5"/>
      <c r="F415" s="5"/>
      <c r="G415" s="5" t="str">
        <f t="shared" si="2"/>
        <v/>
      </c>
      <c r="H415" s="5" t="str">
        <f t="shared" si="3"/>
        <v/>
      </c>
      <c r="I415" s="5" t="str">
        <f t="shared" si="4"/>
        <v/>
      </c>
      <c r="J415" s="5" t="str">
        <f t="shared" si="5"/>
        <v/>
      </c>
      <c r="K415" s="5" t="str">
        <f>IFERROR(__xludf.DUMMYFUNCTION("IF(C415&lt;&gt;"""",HYPERLINK(""https://wa.me/507""&amp;REGEXREPLACE(C415,""[^0-9]"","""")&amp;""?text=""&amp;ENCODEURL(""Ya llegue. Codigo: ""&amp;A415&amp;"". Ubicacion: ""&amp;""https://www.google.com/maps/search/?api=1&amp;query=""&amp;SUBSTITUTE(F415,"" "","""")),""📲 Avisar al cliente"""&amp;"),"""")"),"")</f>
        <v/>
      </c>
      <c r="L415" s="5" t="str">
        <f>IFERROR(__xludf.DUMMYFUNCTION("IF(C415&lt;&gt;"""",""https://api.qrserver.com/v1/create-qr-code/?size=200x200&amp;data=""&amp;ENCODEURL(""https://wa.me/507""&amp;REGEXREPLACE(C415,""[^0-9]"","""")&amp;""?text=""&amp;ENCODEURL(""Ya llegue. Codigo: ""&amp;A415&amp;"". Ubicacion: ""&amp;""https://www.google.com/maps/search/?a"&amp;"pi=1&amp;query=""&amp;SUBSTITUTE(F415,"" "",""""))),"""")"),"")</f>
        <v/>
      </c>
      <c r="M415" s="5" t="str">
        <f t="shared" si="6"/>
        <v/>
      </c>
      <c r="N415" s="5" t="str">
        <f>IFERROR(__xludf.DUMMYFUNCTION("IF(AND(F415&lt;&gt;"""",REGEXMATCH(SUBSTITUTE(F415,"" "",""""),""^-?\d+(\.\d+)?,-?\d+(\.\d+)?$""),VALUE(REGEXEXTRACT(SUBSTITUTE(F415,"" "",""""),""^-?\d+(\.\d+)?""))&gt;=-90,VALUE(REGEXEXTRACT(SUBSTITUTE(F415,"" "",""""),""^-?\d+(\.\d+)?""))&lt;=90,VALUE(REGEXEXTRACT"&amp;"(SUBSTITUTE(F415,"" "",""""),""-?\d+(\.\d+)?$""))&gt;=-180,VALUE(REGEXEXTRACT(SUBSTITUTE(F415,"" "",""""),""-?\d+(\.\d+)?$""))&lt;=180),""OK"",""REVISAR"")"),"#N/A")</f>
        <v>#N/A</v>
      </c>
    </row>
    <row r="416" ht="15.75" customHeight="1">
      <c r="A416" s="5" t="str">
        <f t="shared" si="1"/>
        <v>AD507-0414</v>
      </c>
      <c r="C416" s="5"/>
      <c r="F416" s="5"/>
      <c r="G416" s="5" t="str">
        <f t="shared" si="2"/>
        <v/>
      </c>
      <c r="H416" s="5" t="str">
        <f t="shared" si="3"/>
        <v/>
      </c>
      <c r="I416" s="5" t="str">
        <f t="shared" si="4"/>
        <v/>
      </c>
      <c r="J416" s="5" t="str">
        <f t="shared" si="5"/>
        <v/>
      </c>
      <c r="K416" s="5" t="str">
        <f>IFERROR(__xludf.DUMMYFUNCTION("IF(C416&lt;&gt;"""",HYPERLINK(""https://wa.me/507""&amp;REGEXREPLACE(C416,""[^0-9]"","""")&amp;""?text=""&amp;ENCODEURL(""Ya llegue. Codigo: ""&amp;A416&amp;"". Ubicacion: ""&amp;""https://www.google.com/maps/search/?api=1&amp;query=""&amp;SUBSTITUTE(F416,"" "","""")),""📲 Avisar al cliente"""&amp;"),"""")"),"")</f>
        <v/>
      </c>
      <c r="L416" s="5" t="str">
        <f>IFERROR(__xludf.DUMMYFUNCTION("IF(C416&lt;&gt;"""",""https://api.qrserver.com/v1/create-qr-code/?size=200x200&amp;data=""&amp;ENCODEURL(""https://wa.me/507""&amp;REGEXREPLACE(C416,""[^0-9]"","""")&amp;""?text=""&amp;ENCODEURL(""Ya llegue. Codigo: ""&amp;A416&amp;"". Ubicacion: ""&amp;""https://www.google.com/maps/search/?a"&amp;"pi=1&amp;query=""&amp;SUBSTITUTE(F416,"" "",""""))),"""")"),"")</f>
        <v/>
      </c>
      <c r="M416" s="5" t="str">
        <f t="shared" si="6"/>
        <v/>
      </c>
      <c r="N416" s="5" t="str">
        <f>IFERROR(__xludf.DUMMYFUNCTION("IF(AND(F416&lt;&gt;"""",REGEXMATCH(SUBSTITUTE(F416,"" "",""""),""^-?\d+(\.\d+)?,-?\d+(\.\d+)?$""),VALUE(REGEXEXTRACT(SUBSTITUTE(F416,"" "",""""),""^-?\d+(\.\d+)?""))&gt;=-90,VALUE(REGEXEXTRACT(SUBSTITUTE(F416,"" "",""""),""^-?\d+(\.\d+)?""))&lt;=90,VALUE(REGEXEXTRACT"&amp;"(SUBSTITUTE(F416,"" "",""""),""-?\d+(\.\d+)?$""))&gt;=-180,VALUE(REGEXEXTRACT(SUBSTITUTE(F416,"" "",""""),""-?\d+(\.\d+)?$""))&lt;=180),""OK"",""REVISAR"")"),"#N/A")</f>
        <v>#N/A</v>
      </c>
    </row>
    <row r="417" ht="15.75" customHeight="1">
      <c r="A417" s="5" t="str">
        <f t="shared" si="1"/>
        <v>AD507-0415</v>
      </c>
      <c r="C417" s="5"/>
      <c r="F417" s="5"/>
      <c r="G417" s="5" t="str">
        <f t="shared" si="2"/>
        <v/>
      </c>
      <c r="H417" s="5" t="str">
        <f t="shared" si="3"/>
        <v/>
      </c>
      <c r="I417" s="5" t="str">
        <f t="shared" si="4"/>
        <v/>
      </c>
      <c r="J417" s="5" t="str">
        <f t="shared" si="5"/>
        <v/>
      </c>
      <c r="K417" s="5" t="str">
        <f>IFERROR(__xludf.DUMMYFUNCTION("IF(C417&lt;&gt;"""",HYPERLINK(""https://wa.me/507""&amp;REGEXREPLACE(C417,""[^0-9]"","""")&amp;""?text=""&amp;ENCODEURL(""Ya llegue. Codigo: ""&amp;A417&amp;"". Ubicacion: ""&amp;""https://www.google.com/maps/search/?api=1&amp;query=""&amp;SUBSTITUTE(F417,"" "","""")),""📲 Avisar al cliente"""&amp;"),"""")"),"")</f>
        <v/>
      </c>
      <c r="L417" s="5" t="str">
        <f>IFERROR(__xludf.DUMMYFUNCTION("IF(C417&lt;&gt;"""",""https://api.qrserver.com/v1/create-qr-code/?size=200x200&amp;data=""&amp;ENCODEURL(""https://wa.me/507""&amp;REGEXREPLACE(C417,""[^0-9]"","""")&amp;""?text=""&amp;ENCODEURL(""Ya llegue. Codigo: ""&amp;A417&amp;"". Ubicacion: ""&amp;""https://www.google.com/maps/search/?a"&amp;"pi=1&amp;query=""&amp;SUBSTITUTE(F417,"" "",""""))),"""")"),"")</f>
        <v/>
      </c>
      <c r="M417" s="5" t="str">
        <f t="shared" si="6"/>
        <v/>
      </c>
      <c r="N417" s="5" t="str">
        <f>IFERROR(__xludf.DUMMYFUNCTION("IF(AND(F417&lt;&gt;"""",REGEXMATCH(SUBSTITUTE(F417,"" "",""""),""^-?\d+(\.\d+)?,-?\d+(\.\d+)?$""),VALUE(REGEXEXTRACT(SUBSTITUTE(F417,"" "",""""),""^-?\d+(\.\d+)?""))&gt;=-90,VALUE(REGEXEXTRACT(SUBSTITUTE(F417,"" "",""""),""^-?\d+(\.\d+)?""))&lt;=90,VALUE(REGEXEXTRACT"&amp;"(SUBSTITUTE(F417,"" "",""""),""-?\d+(\.\d+)?$""))&gt;=-180,VALUE(REGEXEXTRACT(SUBSTITUTE(F417,"" "",""""),""-?\d+(\.\d+)?$""))&lt;=180),""OK"",""REVISAR"")"),"#N/A")</f>
        <v>#N/A</v>
      </c>
    </row>
    <row r="418" ht="15.75" customHeight="1">
      <c r="A418" s="5" t="str">
        <f t="shared" si="1"/>
        <v>AD507-0416</v>
      </c>
      <c r="C418" s="5"/>
      <c r="F418" s="5"/>
      <c r="G418" s="5" t="str">
        <f t="shared" si="2"/>
        <v/>
      </c>
      <c r="H418" s="5" t="str">
        <f t="shared" si="3"/>
        <v/>
      </c>
      <c r="I418" s="5" t="str">
        <f t="shared" si="4"/>
        <v/>
      </c>
      <c r="J418" s="5" t="str">
        <f t="shared" si="5"/>
        <v/>
      </c>
      <c r="K418" s="5" t="str">
        <f>IFERROR(__xludf.DUMMYFUNCTION("IF(C418&lt;&gt;"""",HYPERLINK(""https://wa.me/507""&amp;REGEXREPLACE(C418,""[^0-9]"","""")&amp;""?text=""&amp;ENCODEURL(""Ya llegue. Codigo: ""&amp;A418&amp;"". Ubicacion: ""&amp;""https://www.google.com/maps/search/?api=1&amp;query=""&amp;SUBSTITUTE(F418,"" "","""")),""📲 Avisar al cliente"""&amp;"),"""")"),"")</f>
        <v/>
      </c>
      <c r="L418" s="5" t="str">
        <f>IFERROR(__xludf.DUMMYFUNCTION("IF(C418&lt;&gt;"""",""https://api.qrserver.com/v1/create-qr-code/?size=200x200&amp;data=""&amp;ENCODEURL(""https://wa.me/507""&amp;REGEXREPLACE(C418,""[^0-9]"","""")&amp;""?text=""&amp;ENCODEURL(""Ya llegue. Codigo: ""&amp;A418&amp;"". Ubicacion: ""&amp;""https://www.google.com/maps/search/?a"&amp;"pi=1&amp;query=""&amp;SUBSTITUTE(F418,"" "",""""))),"""")"),"")</f>
        <v/>
      </c>
      <c r="M418" s="5" t="str">
        <f t="shared" si="6"/>
        <v/>
      </c>
      <c r="N418" s="5" t="str">
        <f>IFERROR(__xludf.DUMMYFUNCTION("IF(AND(F418&lt;&gt;"""",REGEXMATCH(SUBSTITUTE(F418,"" "",""""),""^-?\d+(\.\d+)?,-?\d+(\.\d+)?$""),VALUE(REGEXEXTRACT(SUBSTITUTE(F418,"" "",""""),""^-?\d+(\.\d+)?""))&gt;=-90,VALUE(REGEXEXTRACT(SUBSTITUTE(F418,"" "",""""),""^-?\d+(\.\d+)?""))&lt;=90,VALUE(REGEXEXTRACT"&amp;"(SUBSTITUTE(F418,"" "",""""),""-?\d+(\.\d+)?$""))&gt;=-180,VALUE(REGEXEXTRACT(SUBSTITUTE(F418,"" "",""""),""-?\d+(\.\d+)?$""))&lt;=180),""OK"",""REVISAR"")"),"#N/A")</f>
        <v>#N/A</v>
      </c>
    </row>
    <row r="419" ht="15.75" customHeight="1">
      <c r="A419" s="5" t="str">
        <f t="shared" si="1"/>
        <v>AD507-0417</v>
      </c>
      <c r="C419" s="5"/>
      <c r="F419" s="5"/>
      <c r="G419" s="5" t="str">
        <f t="shared" si="2"/>
        <v/>
      </c>
      <c r="H419" s="5" t="str">
        <f t="shared" si="3"/>
        <v/>
      </c>
      <c r="I419" s="5" t="str">
        <f t="shared" si="4"/>
        <v/>
      </c>
      <c r="J419" s="5" t="str">
        <f t="shared" si="5"/>
        <v/>
      </c>
      <c r="K419" s="5" t="str">
        <f>IFERROR(__xludf.DUMMYFUNCTION("IF(C419&lt;&gt;"""",HYPERLINK(""https://wa.me/507""&amp;REGEXREPLACE(C419,""[^0-9]"","""")&amp;""?text=""&amp;ENCODEURL(""Ya llegue. Codigo: ""&amp;A419&amp;"". Ubicacion: ""&amp;""https://www.google.com/maps/search/?api=1&amp;query=""&amp;SUBSTITUTE(F419,"" "","""")),""📲 Avisar al cliente"""&amp;"),"""")"),"")</f>
        <v/>
      </c>
      <c r="L419" s="5" t="str">
        <f>IFERROR(__xludf.DUMMYFUNCTION("IF(C419&lt;&gt;"""",""https://api.qrserver.com/v1/create-qr-code/?size=200x200&amp;data=""&amp;ENCODEURL(""https://wa.me/507""&amp;REGEXREPLACE(C419,""[^0-9]"","""")&amp;""?text=""&amp;ENCODEURL(""Ya llegue. Codigo: ""&amp;A419&amp;"". Ubicacion: ""&amp;""https://www.google.com/maps/search/?a"&amp;"pi=1&amp;query=""&amp;SUBSTITUTE(F419,"" "",""""))),"""")"),"")</f>
        <v/>
      </c>
      <c r="M419" s="5" t="str">
        <f t="shared" si="6"/>
        <v/>
      </c>
      <c r="N419" s="5" t="str">
        <f>IFERROR(__xludf.DUMMYFUNCTION("IF(AND(F419&lt;&gt;"""",REGEXMATCH(SUBSTITUTE(F419,"" "",""""),""^-?\d+(\.\d+)?,-?\d+(\.\d+)?$""),VALUE(REGEXEXTRACT(SUBSTITUTE(F419,"" "",""""),""^-?\d+(\.\d+)?""))&gt;=-90,VALUE(REGEXEXTRACT(SUBSTITUTE(F419,"" "",""""),""^-?\d+(\.\d+)?""))&lt;=90,VALUE(REGEXEXTRACT"&amp;"(SUBSTITUTE(F419,"" "",""""),""-?\d+(\.\d+)?$""))&gt;=-180,VALUE(REGEXEXTRACT(SUBSTITUTE(F419,"" "",""""),""-?\d+(\.\d+)?$""))&lt;=180),""OK"",""REVISAR"")"),"#N/A")</f>
        <v>#N/A</v>
      </c>
    </row>
    <row r="420" ht="15.75" customHeight="1">
      <c r="A420" s="5" t="str">
        <f t="shared" si="1"/>
        <v>AD507-0418</v>
      </c>
      <c r="C420" s="5"/>
      <c r="F420" s="5"/>
      <c r="G420" s="5" t="str">
        <f t="shared" si="2"/>
        <v/>
      </c>
      <c r="H420" s="5" t="str">
        <f t="shared" si="3"/>
        <v/>
      </c>
      <c r="I420" s="5" t="str">
        <f t="shared" si="4"/>
        <v/>
      </c>
      <c r="J420" s="5" t="str">
        <f t="shared" si="5"/>
        <v/>
      </c>
      <c r="K420" s="5" t="str">
        <f>IFERROR(__xludf.DUMMYFUNCTION("IF(C420&lt;&gt;"""",HYPERLINK(""https://wa.me/507""&amp;REGEXREPLACE(C420,""[^0-9]"","""")&amp;""?text=""&amp;ENCODEURL(""Ya llegue. Codigo: ""&amp;A420&amp;"". Ubicacion: ""&amp;""https://www.google.com/maps/search/?api=1&amp;query=""&amp;SUBSTITUTE(F420,"" "","""")),""📲 Avisar al cliente"""&amp;"),"""")"),"")</f>
        <v/>
      </c>
      <c r="L420" s="5" t="str">
        <f>IFERROR(__xludf.DUMMYFUNCTION("IF(C420&lt;&gt;"""",""https://api.qrserver.com/v1/create-qr-code/?size=200x200&amp;data=""&amp;ENCODEURL(""https://wa.me/507""&amp;REGEXREPLACE(C420,""[^0-9]"","""")&amp;""?text=""&amp;ENCODEURL(""Ya llegue. Codigo: ""&amp;A420&amp;"". Ubicacion: ""&amp;""https://www.google.com/maps/search/?a"&amp;"pi=1&amp;query=""&amp;SUBSTITUTE(F420,"" "",""""))),"""")"),"")</f>
        <v/>
      </c>
      <c r="M420" s="5" t="str">
        <f t="shared" si="6"/>
        <v/>
      </c>
      <c r="N420" s="5" t="str">
        <f>IFERROR(__xludf.DUMMYFUNCTION("IF(AND(F420&lt;&gt;"""",REGEXMATCH(SUBSTITUTE(F420,"" "",""""),""^-?\d+(\.\d+)?,-?\d+(\.\d+)?$""),VALUE(REGEXEXTRACT(SUBSTITUTE(F420,"" "",""""),""^-?\d+(\.\d+)?""))&gt;=-90,VALUE(REGEXEXTRACT(SUBSTITUTE(F420,"" "",""""),""^-?\d+(\.\d+)?""))&lt;=90,VALUE(REGEXEXTRACT"&amp;"(SUBSTITUTE(F420,"" "",""""),""-?\d+(\.\d+)?$""))&gt;=-180,VALUE(REGEXEXTRACT(SUBSTITUTE(F420,"" "",""""),""-?\d+(\.\d+)?$""))&lt;=180),""OK"",""REVISAR"")"),"#N/A")</f>
        <v>#N/A</v>
      </c>
    </row>
    <row r="421" ht="15.75" customHeight="1">
      <c r="A421" s="5" t="str">
        <f t="shared" si="1"/>
        <v>AD507-0419</v>
      </c>
      <c r="C421" s="5"/>
      <c r="F421" s="5"/>
      <c r="G421" s="5" t="str">
        <f t="shared" si="2"/>
        <v/>
      </c>
      <c r="H421" s="5" t="str">
        <f t="shared" si="3"/>
        <v/>
      </c>
      <c r="I421" s="5" t="str">
        <f t="shared" si="4"/>
        <v/>
      </c>
      <c r="J421" s="5" t="str">
        <f t="shared" si="5"/>
        <v/>
      </c>
      <c r="K421" s="5" t="str">
        <f>IFERROR(__xludf.DUMMYFUNCTION("IF(C421&lt;&gt;"""",HYPERLINK(""https://wa.me/507""&amp;REGEXREPLACE(C421,""[^0-9]"","""")&amp;""?text=""&amp;ENCODEURL(""Ya llegue. Codigo: ""&amp;A421&amp;"". Ubicacion: ""&amp;""https://www.google.com/maps/search/?api=1&amp;query=""&amp;SUBSTITUTE(F421,"" "","""")),""📲 Avisar al cliente"""&amp;"),"""")"),"")</f>
        <v/>
      </c>
      <c r="L421" s="5" t="str">
        <f>IFERROR(__xludf.DUMMYFUNCTION("IF(C421&lt;&gt;"""",""https://api.qrserver.com/v1/create-qr-code/?size=200x200&amp;data=""&amp;ENCODEURL(""https://wa.me/507""&amp;REGEXREPLACE(C421,""[^0-9]"","""")&amp;""?text=""&amp;ENCODEURL(""Ya llegue. Codigo: ""&amp;A421&amp;"". Ubicacion: ""&amp;""https://www.google.com/maps/search/?a"&amp;"pi=1&amp;query=""&amp;SUBSTITUTE(F421,"" "",""""))),"""")"),"")</f>
        <v/>
      </c>
      <c r="M421" s="5" t="str">
        <f t="shared" si="6"/>
        <v/>
      </c>
      <c r="N421" s="5" t="str">
        <f>IFERROR(__xludf.DUMMYFUNCTION("IF(AND(F421&lt;&gt;"""",REGEXMATCH(SUBSTITUTE(F421,"" "",""""),""^-?\d+(\.\d+)?,-?\d+(\.\d+)?$""),VALUE(REGEXEXTRACT(SUBSTITUTE(F421,"" "",""""),""^-?\d+(\.\d+)?""))&gt;=-90,VALUE(REGEXEXTRACT(SUBSTITUTE(F421,"" "",""""),""^-?\d+(\.\d+)?""))&lt;=90,VALUE(REGEXEXTRACT"&amp;"(SUBSTITUTE(F421,"" "",""""),""-?\d+(\.\d+)?$""))&gt;=-180,VALUE(REGEXEXTRACT(SUBSTITUTE(F421,"" "",""""),""-?\d+(\.\d+)?$""))&lt;=180),""OK"",""REVISAR"")"),"#N/A")</f>
        <v>#N/A</v>
      </c>
    </row>
    <row r="422" ht="15.75" customHeight="1">
      <c r="A422" s="5" t="str">
        <f t="shared" si="1"/>
        <v>AD507-0420</v>
      </c>
      <c r="C422" s="5"/>
      <c r="F422" s="5"/>
      <c r="G422" s="5" t="str">
        <f t="shared" si="2"/>
        <v/>
      </c>
      <c r="H422" s="5" t="str">
        <f t="shared" si="3"/>
        <v/>
      </c>
      <c r="I422" s="5" t="str">
        <f t="shared" si="4"/>
        <v/>
      </c>
      <c r="J422" s="5" t="str">
        <f t="shared" si="5"/>
        <v/>
      </c>
      <c r="K422" s="5" t="str">
        <f>IFERROR(__xludf.DUMMYFUNCTION("IF(C422&lt;&gt;"""",HYPERLINK(""https://wa.me/507""&amp;REGEXREPLACE(C422,""[^0-9]"","""")&amp;""?text=""&amp;ENCODEURL(""Ya llegue. Codigo: ""&amp;A422&amp;"". Ubicacion: ""&amp;""https://www.google.com/maps/search/?api=1&amp;query=""&amp;SUBSTITUTE(F422,"" "","""")),""📲 Avisar al cliente"""&amp;"),"""")"),"")</f>
        <v/>
      </c>
      <c r="L422" s="5" t="str">
        <f>IFERROR(__xludf.DUMMYFUNCTION("IF(C422&lt;&gt;"""",""https://api.qrserver.com/v1/create-qr-code/?size=200x200&amp;data=""&amp;ENCODEURL(""https://wa.me/507""&amp;REGEXREPLACE(C422,""[^0-9]"","""")&amp;""?text=""&amp;ENCODEURL(""Ya llegue. Codigo: ""&amp;A422&amp;"". Ubicacion: ""&amp;""https://www.google.com/maps/search/?a"&amp;"pi=1&amp;query=""&amp;SUBSTITUTE(F422,"" "",""""))),"""")"),"")</f>
        <v/>
      </c>
      <c r="M422" s="5" t="str">
        <f t="shared" si="6"/>
        <v/>
      </c>
      <c r="N422" s="5" t="str">
        <f>IFERROR(__xludf.DUMMYFUNCTION("IF(AND(F422&lt;&gt;"""",REGEXMATCH(SUBSTITUTE(F422,"" "",""""),""^-?\d+(\.\d+)?,-?\d+(\.\d+)?$""),VALUE(REGEXEXTRACT(SUBSTITUTE(F422,"" "",""""),""^-?\d+(\.\d+)?""))&gt;=-90,VALUE(REGEXEXTRACT(SUBSTITUTE(F422,"" "",""""),""^-?\d+(\.\d+)?""))&lt;=90,VALUE(REGEXEXTRACT"&amp;"(SUBSTITUTE(F422,"" "",""""),""-?\d+(\.\d+)?$""))&gt;=-180,VALUE(REGEXEXTRACT(SUBSTITUTE(F422,"" "",""""),""-?\d+(\.\d+)?$""))&lt;=180),""OK"",""REVISAR"")"),"#N/A")</f>
        <v>#N/A</v>
      </c>
    </row>
    <row r="423" ht="15.75" customHeight="1">
      <c r="A423" s="5" t="str">
        <f t="shared" si="1"/>
        <v>AD507-0421</v>
      </c>
      <c r="C423" s="5"/>
      <c r="F423" s="5"/>
      <c r="G423" s="5" t="str">
        <f t="shared" si="2"/>
        <v/>
      </c>
      <c r="H423" s="5" t="str">
        <f t="shared" si="3"/>
        <v/>
      </c>
      <c r="I423" s="5" t="str">
        <f t="shared" si="4"/>
        <v/>
      </c>
      <c r="J423" s="5" t="str">
        <f t="shared" si="5"/>
        <v/>
      </c>
      <c r="K423" s="5" t="str">
        <f>IFERROR(__xludf.DUMMYFUNCTION("IF(C423&lt;&gt;"""",HYPERLINK(""https://wa.me/507""&amp;REGEXREPLACE(C423,""[^0-9]"","""")&amp;""?text=""&amp;ENCODEURL(""Ya llegue. Codigo: ""&amp;A423&amp;"". Ubicacion: ""&amp;""https://www.google.com/maps/search/?api=1&amp;query=""&amp;SUBSTITUTE(F423,"" "","""")),""📲 Avisar al cliente"""&amp;"),"""")"),"")</f>
        <v/>
      </c>
      <c r="L423" s="5" t="str">
        <f>IFERROR(__xludf.DUMMYFUNCTION("IF(C423&lt;&gt;"""",""https://api.qrserver.com/v1/create-qr-code/?size=200x200&amp;data=""&amp;ENCODEURL(""https://wa.me/507""&amp;REGEXREPLACE(C423,""[^0-9]"","""")&amp;""?text=""&amp;ENCODEURL(""Ya llegue. Codigo: ""&amp;A423&amp;"". Ubicacion: ""&amp;""https://www.google.com/maps/search/?a"&amp;"pi=1&amp;query=""&amp;SUBSTITUTE(F423,"" "",""""))),"""")"),"")</f>
        <v/>
      </c>
      <c r="M423" s="5" t="str">
        <f t="shared" si="6"/>
        <v/>
      </c>
      <c r="N423" s="5" t="str">
        <f>IFERROR(__xludf.DUMMYFUNCTION("IF(AND(F423&lt;&gt;"""",REGEXMATCH(SUBSTITUTE(F423,"" "",""""),""^-?\d+(\.\d+)?,-?\d+(\.\d+)?$""),VALUE(REGEXEXTRACT(SUBSTITUTE(F423,"" "",""""),""^-?\d+(\.\d+)?""))&gt;=-90,VALUE(REGEXEXTRACT(SUBSTITUTE(F423,"" "",""""),""^-?\d+(\.\d+)?""))&lt;=90,VALUE(REGEXEXTRACT"&amp;"(SUBSTITUTE(F423,"" "",""""),""-?\d+(\.\d+)?$""))&gt;=-180,VALUE(REGEXEXTRACT(SUBSTITUTE(F423,"" "",""""),""-?\d+(\.\d+)?$""))&lt;=180),""OK"",""REVISAR"")"),"#N/A")</f>
        <v>#N/A</v>
      </c>
    </row>
    <row r="424" ht="15.75" customHeight="1">
      <c r="A424" s="5" t="str">
        <f t="shared" si="1"/>
        <v>AD507-0422</v>
      </c>
      <c r="C424" s="5"/>
      <c r="F424" s="5"/>
      <c r="G424" s="5" t="str">
        <f t="shared" si="2"/>
        <v/>
      </c>
      <c r="H424" s="5" t="str">
        <f t="shared" si="3"/>
        <v/>
      </c>
      <c r="I424" s="5" t="str">
        <f t="shared" si="4"/>
        <v/>
      </c>
      <c r="J424" s="5" t="str">
        <f t="shared" si="5"/>
        <v/>
      </c>
      <c r="K424" s="5" t="str">
        <f>IFERROR(__xludf.DUMMYFUNCTION("IF(C424&lt;&gt;"""",HYPERLINK(""https://wa.me/507""&amp;REGEXREPLACE(C424,""[^0-9]"","""")&amp;""?text=""&amp;ENCODEURL(""Ya llegue. Codigo: ""&amp;A424&amp;"". Ubicacion: ""&amp;""https://www.google.com/maps/search/?api=1&amp;query=""&amp;SUBSTITUTE(F424,"" "","""")),""📲 Avisar al cliente"""&amp;"),"""")"),"")</f>
        <v/>
      </c>
      <c r="L424" s="5" t="str">
        <f>IFERROR(__xludf.DUMMYFUNCTION("IF(C424&lt;&gt;"""",""https://api.qrserver.com/v1/create-qr-code/?size=200x200&amp;data=""&amp;ENCODEURL(""https://wa.me/507""&amp;REGEXREPLACE(C424,""[^0-9]"","""")&amp;""?text=""&amp;ENCODEURL(""Ya llegue. Codigo: ""&amp;A424&amp;"". Ubicacion: ""&amp;""https://www.google.com/maps/search/?a"&amp;"pi=1&amp;query=""&amp;SUBSTITUTE(F424,"" "",""""))),"""")"),"")</f>
        <v/>
      </c>
      <c r="M424" s="5" t="str">
        <f t="shared" si="6"/>
        <v/>
      </c>
      <c r="N424" s="5" t="str">
        <f>IFERROR(__xludf.DUMMYFUNCTION("IF(AND(F424&lt;&gt;"""",REGEXMATCH(SUBSTITUTE(F424,"" "",""""),""^-?\d+(\.\d+)?,-?\d+(\.\d+)?$""),VALUE(REGEXEXTRACT(SUBSTITUTE(F424,"" "",""""),""^-?\d+(\.\d+)?""))&gt;=-90,VALUE(REGEXEXTRACT(SUBSTITUTE(F424,"" "",""""),""^-?\d+(\.\d+)?""))&lt;=90,VALUE(REGEXEXTRACT"&amp;"(SUBSTITUTE(F424,"" "",""""),""-?\d+(\.\d+)?$""))&gt;=-180,VALUE(REGEXEXTRACT(SUBSTITUTE(F424,"" "",""""),""-?\d+(\.\d+)?$""))&lt;=180),""OK"",""REVISAR"")"),"#N/A")</f>
        <v>#N/A</v>
      </c>
    </row>
    <row r="425" ht="15.75" customHeight="1">
      <c r="A425" s="5" t="str">
        <f t="shared" si="1"/>
        <v>AD507-0423</v>
      </c>
      <c r="C425" s="5"/>
      <c r="F425" s="5"/>
      <c r="G425" s="5" t="str">
        <f t="shared" si="2"/>
        <v/>
      </c>
      <c r="H425" s="5" t="str">
        <f t="shared" si="3"/>
        <v/>
      </c>
      <c r="I425" s="5" t="str">
        <f t="shared" si="4"/>
        <v/>
      </c>
      <c r="J425" s="5" t="str">
        <f t="shared" si="5"/>
        <v/>
      </c>
      <c r="K425" s="5" t="str">
        <f>IFERROR(__xludf.DUMMYFUNCTION("IF(C425&lt;&gt;"""",HYPERLINK(""https://wa.me/507""&amp;REGEXREPLACE(C425,""[^0-9]"","""")&amp;""?text=""&amp;ENCODEURL(""Ya llegue. Codigo: ""&amp;A425&amp;"". Ubicacion: ""&amp;""https://www.google.com/maps/search/?api=1&amp;query=""&amp;SUBSTITUTE(F425,"" "","""")),""📲 Avisar al cliente"""&amp;"),"""")"),"")</f>
        <v/>
      </c>
      <c r="L425" s="5" t="str">
        <f>IFERROR(__xludf.DUMMYFUNCTION("IF(C425&lt;&gt;"""",""https://api.qrserver.com/v1/create-qr-code/?size=200x200&amp;data=""&amp;ENCODEURL(""https://wa.me/507""&amp;REGEXREPLACE(C425,""[^0-9]"","""")&amp;""?text=""&amp;ENCODEURL(""Ya llegue. Codigo: ""&amp;A425&amp;"". Ubicacion: ""&amp;""https://www.google.com/maps/search/?a"&amp;"pi=1&amp;query=""&amp;SUBSTITUTE(F425,"" "",""""))),"""")"),"")</f>
        <v/>
      </c>
      <c r="M425" s="5" t="str">
        <f t="shared" si="6"/>
        <v/>
      </c>
      <c r="N425" s="5" t="str">
        <f>IFERROR(__xludf.DUMMYFUNCTION("IF(AND(F425&lt;&gt;"""",REGEXMATCH(SUBSTITUTE(F425,"" "",""""),""^-?\d+(\.\d+)?,-?\d+(\.\d+)?$""),VALUE(REGEXEXTRACT(SUBSTITUTE(F425,"" "",""""),""^-?\d+(\.\d+)?""))&gt;=-90,VALUE(REGEXEXTRACT(SUBSTITUTE(F425,"" "",""""),""^-?\d+(\.\d+)?""))&lt;=90,VALUE(REGEXEXTRACT"&amp;"(SUBSTITUTE(F425,"" "",""""),""-?\d+(\.\d+)?$""))&gt;=-180,VALUE(REGEXEXTRACT(SUBSTITUTE(F425,"" "",""""),""-?\d+(\.\d+)?$""))&lt;=180),""OK"",""REVISAR"")"),"#N/A")</f>
        <v>#N/A</v>
      </c>
    </row>
    <row r="426" ht="15.75" customHeight="1">
      <c r="A426" s="5" t="str">
        <f t="shared" si="1"/>
        <v>AD507-0424</v>
      </c>
      <c r="C426" s="5"/>
      <c r="F426" s="5"/>
      <c r="G426" s="5" t="str">
        <f t="shared" si="2"/>
        <v/>
      </c>
      <c r="H426" s="5" t="str">
        <f t="shared" si="3"/>
        <v/>
      </c>
      <c r="I426" s="5" t="str">
        <f t="shared" si="4"/>
        <v/>
      </c>
      <c r="J426" s="5" t="str">
        <f t="shared" si="5"/>
        <v/>
      </c>
      <c r="K426" s="5" t="str">
        <f>IFERROR(__xludf.DUMMYFUNCTION("IF(C426&lt;&gt;"""",HYPERLINK(""https://wa.me/507""&amp;REGEXREPLACE(C426,""[^0-9]"","""")&amp;""?text=""&amp;ENCODEURL(""Ya llegue. Codigo: ""&amp;A426&amp;"". Ubicacion: ""&amp;""https://www.google.com/maps/search/?api=1&amp;query=""&amp;SUBSTITUTE(F426,"" "","""")),""📲 Avisar al cliente"""&amp;"),"""")"),"")</f>
        <v/>
      </c>
      <c r="L426" s="5" t="str">
        <f>IFERROR(__xludf.DUMMYFUNCTION("IF(C426&lt;&gt;"""",""https://api.qrserver.com/v1/create-qr-code/?size=200x200&amp;data=""&amp;ENCODEURL(""https://wa.me/507""&amp;REGEXREPLACE(C426,""[^0-9]"","""")&amp;""?text=""&amp;ENCODEURL(""Ya llegue. Codigo: ""&amp;A426&amp;"". Ubicacion: ""&amp;""https://www.google.com/maps/search/?a"&amp;"pi=1&amp;query=""&amp;SUBSTITUTE(F426,"" "",""""))),"""")"),"")</f>
        <v/>
      </c>
      <c r="M426" s="5" t="str">
        <f t="shared" si="6"/>
        <v/>
      </c>
      <c r="N426" s="5" t="str">
        <f>IFERROR(__xludf.DUMMYFUNCTION("IF(AND(F426&lt;&gt;"""",REGEXMATCH(SUBSTITUTE(F426,"" "",""""),""^-?\d+(\.\d+)?,-?\d+(\.\d+)?$""),VALUE(REGEXEXTRACT(SUBSTITUTE(F426,"" "",""""),""^-?\d+(\.\d+)?""))&gt;=-90,VALUE(REGEXEXTRACT(SUBSTITUTE(F426,"" "",""""),""^-?\d+(\.\d+)?""))&lt;=90,VALUE(REGEXEXTRACT"&amp;"(SUBSTITUTE(F426,"" "",""""),""-?\d+(\.\d+)?$""))&gt;=-180,VALUE(REGEXEXTRACT(SUBSTITUTE(F426,"" "",""""),""-?\d+(\.\d+)?$""))&lt;=180),""OK"",""REVISAR"")"),"#N/A")</f>
        <v>#N/A</v>
      </c>
    </row>
    <row r="427" ht="15.75" customHeight="1">
      <c r="A427" s="5" t="str">
        <f t="shared" si="1"/>
        <v>AD507-0425</v>
      </c>
      <c r="C427" s="5"/>
      <c r="F427" s="5"/>
      <c r="G427" s="5" t="str">
        <f t="shared" si="2"/>
        <v/>
      </c>
      <c r="H427" s="5" t="str">
        <f t="shared" si="3"/>
        <v/>
      </c>
      <c r="I427" s="5" t="str">
        <f t="shared" si="4"/>
        <v/>
      </c>
      <c r="J427" s="5" t="str">
        <f t="shared" si="5"/>
        <v/>
      </c>
      <c r="K427" s="5" t="str">
        <f>IFERROR(__xludf.DUMMYFUNCTION("IF(C427&lt;&gt;"""",HYPERLINK(""https://wa.me/507""&amp;REGEXREPLACE(C427,""[^0-9]"","""")&amp;""?text=""&amp;ENCODEURL(""Ya llegue. Codigo: ""&amp;A427&amp;"". Ubicacion: ""&amp;""https://www.google.com/maps/search/?api=1&amp;query=""&amp;SUBSTITUTE(F427,"" "","""")),""📲 Avisar al cliente"""&amp;"),"""")"),"")</f>
        <v/>
      </c>
      <c r="L427" s="5" t="str">
        <f>IFERROR(__xludf.DUMMYFUNCTION("IF(C427&lt;&gt;"""",""https://api.qrserver.com/v1/create-qr-code/?size=200x200&amp;data=""&amp;ENCODEURL(""https://wa.me/507""&amp;REGEXREPLACE(C427,""[^0-9]"","""")&amp;""?text=""&amp;ENCODEURL(""Ya llegue. Codigo: ""&amp;A427&amp;"". Ubicacion: ""&amp;""https://www.google.com/maps/search/?a"&amp;"pi=1&amp;query=""&amp;SUBSTITUTE(F427,"" "",""""))),"""")"),"")</f>
        <v/>
      </c>
      <c r="M427" s="5" t="str">
        <f t="shared" si="6"/>
        <v/>
      </c>
      <c r="N427" s="5" t="str">
        <f>IFERROR(__xludf.DUMMYFUNCTION("IF(AND(F427&lt;&gt;"""",REGEXMATCH(SUBSTITUTE(F427,"" "",""""),""^-?\d+(\.\d+)?,-?\d+(\.\d+)?$""),VALUE(REGEXEXTRACT(SUBSTITUTE(F427,"" "",""""),""^-?\d+(\.\d+)?""))&gt;=-90,VALUE(REGEXEXTRACT(SUBSTITUTE(F427,"" "",""""),""^-?\d+(\.\d+)?""))&lt;=90,VALUE(REGEXEXTRACT"&amp;"(SUBSTITUTE(F427,"" "",""""),""-?\d+(\.\d+)?$""))&gt;=-180,VALUE(REGEXEXTRACT(SUBSTITUTE(F427,"" "",""""),""-?\d+(\.\d+)?$""))&lt;=180),""OK"",""REVISAR"")"),"#N/A")</f>
        <v>#N/A</v>
      </c>
    </row>
    <row r="428" ht="15.75" customHeight="1">
      <c r="A428" s="5" t="str">
        <f t="shared" si="1"/>
        <v>AD507-0426</v>
      </c>
      <c r="C428" s="5"/>
      <c r="F428" s="5"/>
      <c r="G428" s="5" t="str">
        <f t="shared" si="2"/>
        <v/>
      </c>
      <c r="H428" s="5" t="str">
        <f t="shared" si="3"/>
        <v/>
      </c>
      <c r="I428" s="5" t="str">
        <f t="shared" si="4"/>
        <v/>
      </c>
      <c r="J428" s="5" t="str">
        <f t="shared" si="5"/>
        <v/>
      </c>
      <c r="K428" s="5" t="str">
        <f>IFERROR(__xludf.DUMMYFUNCTION("IF(C428&lt;&gt;"""",HYPERLINK(""https://wa.me/507""&amp;REGEXREPLACE(C428,""[^0-9]"","""")&amp;""?text=""&amp;ENCODEURL(""Ya llegue. Codigo: ""&amp;A428&amp;"". Ubicacion: ""&amp;""https://www.google.com/maps/search/?api=1&amp;query=""&amp;SUBSTITUTE(F428,"" "","""")),""📲 Avisar al cliente"""&amp;"),"""")"),"")</f>
        <v/>
      </c>
      <c r="L428" s="5" t="str">
        <f>IFERROR(__xludf.DUMMYFUNCTION("IF(C428&lt;&gt;"""",""https://api.qrserver.com/v1/create-qr-code/?size=200x200&amp;data=""&amp;ENCODEURL(""https://wa.me/507""&amp;REGEXREPLACE(C428,""[^0-9]"","""")&amp;""?text=""&amp;ENCODEURL(""Ya llegue. Codigo: ""&amp;A428&amp;"". Ubicacion: ""&amp;""https://www.google.com/maps/search/?a"&amp;"pi=1&amp;query=""&amp;SUBSTITUTE(F428,"" "",""""))),"""")"),"")</f>
        <v/>
      </c>
      <c r="M428" s="5" t="str">
        <f t="shared" si="6"/>
        <v/>
      </c>
      <c r="N428" s="5" t="str">
        <f>IFERROR(__xludf.DUMMYFUNCTION("IF(AND(F428&lt;&gt;"""",REGEXMATCH(SUBSTITUTE(F428,"" "",""""),""^-?\d+(\.\d+)?,-?\d+(\.\d+)?$""),VALUE(REGEXEXTRACT(SUBSTITUTE(F428,"" "",""""),""^-?\d+(\.\d+)?""))&gt;=-90,VALUE(REGEXEXTRACT(SUBSTITUTE(F428,"" "",""""),""^-?\d+(\.\d+)?""))&lt;=90,VALUE(REGEXEXTRACT"&amp;"(SUBSTITUTE(F428,"" "",""""),""-?\d+(\.\d+)?$""))&gt;=-180,VALUE(REGEXEXTRACT(SUBSTITUTE(F428,"" "",""""),""-?\d+(\.\d+)?$""))&lt;=180),""OK"",""REVISAR"")"),"#N/A")</f>
        <v>#N/A</v>
      </c>
    </row>
    <row r="429" ht="15.75" customHeight="1">
      <c r="A429" s="5" t="str">
        <f t="shared" si="1"/>
        <v>AD507-0427</v>
      </c>
      <c r="C429" s="5"/>
      <c r="F429" s="5"/>
      <c r="G429" s="5" t="str">
        <f t="shared" si="2"/>
        <v/>
      </c>
      <c r="H429" s="5" t="str">
        <f t="shared" si="3"/>
        <v/>
      </c>
      <c r="I429" s="5" t="str">
        <f t="shared" si="4"/>
        <v/>
      </c>
      <c r="J429" s="5" t="str">
        <f t="shared" si="5"/>
        <v/>
      </c>
      <c r="K429" s="5" t="str">
        <f>IFERROR(__xludf.DUMMYFUNCTION("IF(C429&lt;&gt;"""",HYPERLINK(""https://wa.me/507""&amp;REGEXREPLACE(C429,""[^0-9]"","""")&amp;""?text=""&amp;ENCODEURL(""Ya llegue. Codigo: ""&amp;A429&amp;"". Ubicacion: ""&amp;""https://www.google.com/maps/search/?api=1&amp;query=""&amp;SUBSTITUTE(F429,"" "","""")),""📲 Avisar al cliente"""&amp;"),"""")"),"")</f>
        <v/>
      </c>
      <c r="L429" s="5" t="str">
        <f>IFERROR(__xludf.DUMMYFUNCTION("IF(C429&lt;&gt;"""",""https://api.qrserver.com/v1/create-qr-code/?size=200x200&amp;data=""&amp;ENCODEURL(""https://wa.me/507""&amp;REGEXREPLACE(C429,""[^0-9]"","""")&amp;""?text=""&amp;ENCODEURL(""Ya llegue. Codigo: ""&amp;A429&amp;"". Ubicacion: ""&amp;""https://www.google.com/maps/search/?a"&amp;"pi=1&amp;query=""&amp;SUBSTITUTE(F429,"" "",""""))),"""")"),"")</f>
        <v/>
      </c>
      <c r="M429" s="5" t="str">
        <f t="shared" si="6"/>
        <v/>
      </c>
      <c r="N429" s="5" t="str">
        <f>IFERROR(__xludf.DUMMYFUNCTION("IF(AND(F429&lt;&gt;"""",REGEXMATCH(SUBSTITUTE(F429,"" "",""""),""^-?\d+(\.\d+)?,-?\d+(\.\d+)?$""),VALUE(REGEXEXTRACT(SUBSTITUTE(F429,"" "",""""),""^-?\d+(\.\d+)?""))&gt;=-90,VALUE(REGEXEXTRACT(SUBSTITUTE(F429,"" "",""""),""^-?\d+(\.\d+)?""))&lt;=90,VALUE(REGEXEXTRACT"&amp;"(SUBSTITUTE(F429,"" "",""""),""-?\d+(\.\d+)?$""))&gt;=-180,VALUE(REGEXEXTRACT(SUBSTITUTE(F429,"" "",""""),""-?\d+(\.\d+)?$""))&lt;=180),""OK"",""REVISAR"")"),"#N/A")</f>
        <v>#N/A</v>
      </c>
    </row>
    <row r="430" ht="15.75" customHeight="1">
      <c r="A430" s="5" t="str">
        <f t="shared" si="1"/>
        <v>AD507-0428</v>
      </c>
      <c r="C430" s="5"/>
      <c r="F430" s="5"/>
      <c r="G430" s="5" t="str">
        <f t="shared" si="2"/>
        <v/>
      </c>
      <c r="H430" s="5" t="str">
        <f t="shared" si="3"/>
        <v/>
      </c>
      <c r="I430" s="5" t="str">
        <f t="shared" si="4"/>
        <v/>
      </c>
      <c r="J430" s="5" t="str">
        <f t="shared" si="5"/>
        <v/>
      </c>
      <c r="K430" s="5" t="str">
        <f>IFERROR(__xludf.DUMMYFUNCTION("IF(C430&lt;&gt;"""",HYPERLINK(""https://wa.me/507""&amp;REGEXREPLACE(C430,""[^0-9]"","""")&amp;""?text=""&amp;ENCODEURL(""Ya llegue. Codigo: ""&amp;A430&amp;"". Ubicacion: ""&amp;""https://www.google.com/maps/search/?api=1&amp;query=""&amp;SUBSTITUTE(F430,"" "","""")),""📲 Avisar al cliente"""&amp;"),"""")"),"")</f>
        <v/>
      </c>
      <c r="L430" s="5" t="str">
        <f>IFERROR(__xludf.DUMMYFUNCTION("IF(C430&lt;&gt;"""",""https://api.qrserver.com/v1/create-qr-code/?size=200x200&amp;data=""&amp;ENCODEURL(""https://wa.me/507""&amp;REGEXREPLACE(C430,""[^0-9]"","""")&amp;""?text=""&amp;ENCODEURL(""Ya llegue. Codigo: ""&amp;A430&amp;"". Ubicacion: ""&amp;""https://www.google.com/maps/search/?a"&amp;"pi=1&amp;query=""&amp;SUBSTITUTE(F430,"" "",""""))),"""")"),"")</f>
        <v/>
      </c>
      <c r="M430" s="5" t="str">
        <f t="shared" si="6"/>
        <v/>
      </c>
      <c r="N430" s="5" t="str">
        <f>IFERROR(__xludf.DUMMYFUNCTION("IF(AND(F430&lt;&gt;"""",REGEXMATCH(SUBSTITUTE(F430,"" "",""""),""^-?\d+(\.\d+)?,-?\d+(\.\d+)?$""),VALUE(REGEXEXTRACT(SUBSTITUTE(F430,"" "",""""),""^-?\d+(\.\d+)?""))&gt;=-90,VALUE(REGEXEXTRACT(SUBSTITUTE(F430,"" "",""""),""^-?\d+(\.\d+)?""))&lt;=90,VALUE(REGEXEXTRACT"&amp;"(SUBSTITUTE(F430,"" "",""""),""-?\d+(\.\d+)?$""))&gt;=-180,VALUE(REGEXEXTRACT(SUBSTITUTE(F430,"" "",""""),""-?\d+(\.\d+)?$""))&lt;=180),""OK"",""REVISAR"")"),"#N/A")</f>
        <v>#N/A</v>
      </c>
    </row>
    <row r="431" ht="15.75" customHeight="1">
      <c r="A431" s="5" t="str">
        <f t="shared" si="1"/>
        <v>AD507-0429</v>
      </c>
      <c r="C431" s="5"/>
      <c r="F431" s="5"/>
      <c r="G431" s="5" t="str">
        <f t="shared" si="2"/>
        <v/>
      </c>
      <c r="H431" s="5" t="str">
        <f t="shared" si="3"/>
        <v/>
      </c>
      <c r="I431" s="5" t="str">
        <f t="shared" si="4"/>
        <v/>
      </c>
      <c r="J431" s="5" t="str">
        <f t="shared" si="5"/>
        <v/>
      </c>
      <c r="K431" s="5" t="str">
        <f>IFERROR(__xludf.DUMMYFUNCTION("IF(C431&lt;&gt;"""",HYPERLINK(""https://wa.me/507""&amp;REGEXREPLACE(C431,""[^0-9]"","""")&amp;""?text=""&amp;ENCODEURL(""Ya llegue. Codigo: ""&amp;A431&amp;"". Ubicacion: ""&amp;""https://www.google.com/maps/search/?api=1&amp;query=""&amp;SUBSTITUTE(F431,"" "","""")),""📲 Avisar al cliente"""&amp;"),"""")"),"")</f>
        <v/>
      </c>
      <c r="L431" s="5" t="str">
        <f>IFERROR(__xludf.DUMMYFUNCTION("IF(C431&lt;&gt;"""",""https://api.qrserver.com/v1/create-qr-code/?size=200x200&amp;data=""&amp;ENCODEURL(""https://wa.me/507""&amp;REGEXREPLACE(C431,""[^0-9]"","""")&amp;""?text=""&amp;ENCODEURL(""Ya llegue. Codigo: ""&amp;A431&amp;"". Ubicacion: ""&amp;""https://www.google.com/maps/search/?a"&amp;"pi=1&amp;query=""&amp;SUBSTITUTE(F431,"" "",""""))),"""")"),"")</f>
        <v/>
      </c>
      <c r="M431" s="5" t="str">
        <f t="shared" si="6"/>
        <v/>
      </c>
      <c r="N431" s="5" t="str">
        <f>IFERROR(__xludf.DUMMYFUNCTION("IF(AND(F431&lt;&gt;"""",REGEXMATCH(SUBSTITUTE(F431,"" "",""""),""^-?\d+(\.\d+)?,-?\d+(\.\d+)?$""),VALUE(REGEXEXTRACT(SUBSTITUTE(F431,"" "",""""),""^-?\d+(\.\d+)?""))&gt;=-90,VALUE(REGEXEXTRACT(SUBSTITUTE(F431,"" "",""""),""^-?\d+(\.\d+)?""))&lt;=90,VALUE(REGEXEXTRACT"&amp;"(SUBSTITUTE(F431,"" "",""""),""-?\d+(\.\d+)?$""))&gt;=-180,VALUE(REGEXEXTRACT(SUBSTITUTE(F431,"" "",""""),""-?\d+(\.\d+)?$""))&lt;=180),""OK"",""REVISAR"")"),"#N/A")</f>
        <v>#N/A</v>
      </c>
    </row>
    <row r="432" ht="15.75" customHeight="1">
      <c r="A432" s="5" t="str">
        <f t="shared" si="1"/>
        <v>AD507-0430</v>
      </c>
      <c r="C432" s="5"/>
      <c r="F432" s="5"/>
      <c r="G432" s="5" t="str">
        <f t="shared" si="2"/>
        <v/>
      </c>
      <c r="H432" s="5" t="str">
        <f t="shared" si="3"/>
        <v/>
      </c>
      <c r="I432" s="5" t="str">
        <f t="shared" si="4"/>
        <v/>
      </c>
      <c r="J432" s="5" t="str">
        <f t="shared" si="5"/>
        <v/>
      </c>
      <c r="K432" s="5" t="str">
        <f>IFERROR(__xludf.DUMMYFUNCTION("IF(C432&lt;&gt;"""",HYPERLINK(""https://wa.me/507""&amp;REGEXREPLACE(C432,""[^0-9]"","""")&amp;""?text=""&amp;ENCODEURL(""Ya llegue. Codigo: ""&amp;A432&amp;"". Ubicacion: ""&amp;""https://www.google.com/maps/search/?api=1&amp;query=""&amp;SUBSTITUTE(F432,"" "","""")),""📲 Avisar al cliente"""&amp;"),"""")"),"")</f>
        <v/>
      </c>
      <c r="L432" s="5" t="str">
        <f>IFERROR(__xludf.DUMMYFUNCTION("IF(C432&lt;&gt;"""",""https://api.qrserver.com/v1/create-qr-code/?size=200x200&amp;data=""&amp;ENCODEURL(""https://wa.me/507""&amp;REGEXREPLACE(C432,""[^0-9]"","""")&amp;""?text=""&amp;ENCODEURL(""Ya llegue. Codigo: ""&amp;A432&amp;"". Ubicacion: ""&amp;""https://www.google.com/maps/search/?a"&amp;"pi=1&amp;query=""&amp;SUBSTITUTE(F432,"" "",""""))),"""")"),"")</f>
        <v/>
      </c>
      <c r="M432" s="5" t="str">
        <f t="shared" si="6"/>
        <v/>
      </c>
      <c r="N432" s="5" t="str">
        <f>IFERROR(__xludf.DUMMYFUNCTION("IF(AND(F432&lt;&gt;"""",REGEXMATCH(SUBSTITUTE(F432,"" "",""""),""^-?\d+(\.\d+)?,-?\d+(\.\d+)?$""),VALUE(REGEXEXTRACT(SUBSTITUTE(F432,"" "",""""),""^-?\d+(\.\d+)?""))&gt;=-90,VALUE(REGEXEXTRACT(SUBSTITUTE(F432,"" "",""""),""^-?\d+(\.\d+)?""))&lt;=90,VALUE(REGEXEXTRACT"&amp;"(SUBSTITUTE(F432,"" "",""""),""-?\d+(\.\d+)?$""))&gt;=-180,VALUE(REGEXEXTRACT(SUBSTITUTE(F432,"" "",""""),""-?\d+(\.\d+)?$""))&lt;=180),""OK"",""REVISAR"")"),"#N/A")</f>
        <v>#N/A</v>
      </c>
    </row>
    <row r="433" ht="15.75" customHeight="1">
      <c r="A433" s="5" t="str">
        <f t="shared" si="1"/>
        <v>AD507-0431</v>
      </c>
      <c r="C433" s="5"/>
      <c r="F433" s="5"/>
      <c r="G433" s="5" t="str">
        <f t="shared" si="2"/>
        <v/>
      </c>
      <c r="H433" s="5" t="str">
        <f t="shared" si="3"/>
        <v/>
      </c>
      <c r="I433" s="5" t="str">
        <f t="shared" si="4"/>
        <v/>
      </c>
      <c r="J433" s="5" t="str">
        <f t="shared" si="5"/>
        <v/>
      </c>
      <c r="K433" s="5" t="str">
        <f>IFERROR(__xludf.DUMMYFUNCTION("IF(C433&lt;&gt;"""",HYPERLINK(""https://wa.me/507""&amp;REGEXREPLACE(C433,""[^0-9]"","""")&amp;""?text=""&amp;ENCODEURL(""Ya llegue. Codigo: ""&amp;A433&amp;"". Ubicacion: ""&amp;""https://www.google.com/maps/search/?api=1&amp;query=""&amp;SUBSTITUTE(F433,"" "","""")),""📲 Avisar al cliente"""&amp;"),"""")"),"")</f>
        <v/>
      </c>
      <c r="L433" s="5" t="str">
        <f>IFERROR(__xludf.DUMMYFUNCTION("IF(C433&lt;&gt;"""",""https://api.qrserver.com/v1/create-qr-code/?size=200x200&amp;data=""&amp;ENCODEURL(""https://wa.me/507""&amp;REGEXREPLACE(C433,""[^0-9]"","""")&amp;""?text=""&amp;ENCODEURL(""Ya llegue. Codigo: ""&amp;A433&amp;"". Ubicacion: ""&amp;""https://www.google.com/maps/search/?a"&amp;"pi=1&amp;query=""&amp;SUBSTITUTE(F433,"" "",""""))),"""")"),"")</f>
        <v/>
      </c>
      <c r="M433" s="5" t="str">
        <f t="shared" si="6"/>
        <v/>
      </c>
      <c r="N433" s="5" t="str">
        <f>IFERROR(__xludf.DUMMYFUNCTION("IF(AND(F433&lt;&gt;"""",REGEXMATCH(SUBSTITUTE(F433,"" "",""""),""^-?\d+(\.\d+)?,-?\d+(\.\d+)?$""),VALUE(REGEXEXTRACT(SUBSTITUTE(F433,"" "",""""),""^-?\d+(\.\d+)?""))&gt;=-90,VALUE(REGEXEXTRACT(SUBSTITUTE(F433,"" "",""""),""^-?\d+(\.\d+)?""))&lt;=90,VALUE(REGEXEXTRACT"&amp;"(SUBSTITUTE(F433,"" "",""""),""-?\d+(\.\d+)?$""))&gt;=-180,VALUE(REGEXEXTRACT(SUBSTITUTE(F433,"" "",""""),""-?\d+(\.\d+)?$""))&lt;=180),""OK"",""REVISAR"")"),"#N/A")</f>
        <v>#N/A</v>
      </c>
    </row>
    <row r="434" ht="15.75" customHeight="1">
      <c r="A434" s="5" t="str">
        <f t="shared" si="1"/>
        <v>AD507-0432</v>
      </c>
      <c r="C434" s="5"/>
      <c r="F434" s="5"/>
      <c r="G434" s="5" t="str">
        <f t="shared" si="2"/>
        <v/>
      </c>
      <c r="H434" s="5" t="str">
        <f t="shared" si="3"/>
        <v/>
      </c>
      <c r="I434" s="5" t="str">
        <f t="shared" si="4"/>
        <v/>
      </c>
      <c r="J434" s="5" t="str">
        <f t="shared" si="5"/>
        <v/>
      </c>
      <c r="K434" s="5" t="str">
        <f>IFERROR(__xludf.DUMMYFUNCTION("IF(C434&lt;&gt;"""",HYPERLINK(""https://wa.me/507""&amp;REGEXREPLACE(C434,""[^0-9]"","""")&amp;""?text=""&amp;ENCODEURL(""Ya llegue. Codigo: ""&amp;A434&amp;"". Ubicacion: ""&amp;""https://www.google.com/maps/search/?api=1&amp;query=""&amp;SUBSTITUTE(F434,"" "","""")),""📲 Avisar al cliente"""&amp;"),"""")"),"")</f>
        <v/>
      </c>
      <c r="L434" s="5" t="str">
        <f>IFERROR(__xludf.DUMMYFUNCTION("IF(C434&lt;&gt;"""",""https://api.qrserver.com/v1/create-qr-code/?size=200x200&amp;data=""&amp;ENCODEURL(""https://wa.me/507""&amp;REGEXREPLACE(C434,""[^0-9]"","""")&amp;""?text=""&amp;ENCODEURL(""Ya llegue. Codigo: ""&amp;A434&amp;"". Ubicacion: ""&amp;""https://www.google.com/maps/search/?a"&amp;"pi=1&amp;query=""&amp;SUBSTITUTE(F434,"" "",""""))),"""")"),"")</f>
        <v/>
      </c>
      <c r="M434" s="5" t="str">
        <f t="shared" si="6"/>
        <v/>
      </c>
      <c r="N434" s="5" t="str">
        <f>IFERROR(__xludf.DUMMYFUNCTION("IF(AND(F434&lt;&gt;"""",REGEXMATCH(SUBSTITUTE(F434,"" "",""""),""^-?\d+(\.\d+)?,-?\d+(\.\d+)?$""),VALUE(REGEXEXTRACT(SUBSTITUTE(F434,"" "",""""),""^-?\d+(\.\d+)?""))&gt;=-90,VALUE(REGEXEXTRACT(SUBSTITUTE(F434,"" "",""""),""^-?\d+(\.\d+)?""))&lt;=90,VALUE(REGEXEXTRACT"&amp;"(SUBSTITUTE(F434,"" "",""""),""-?\d+(\.\d+)?$""))&gt;=-180,VALUE(REGEXEXTRACT(SUBSTITUTE(F434,"" "",""""),""-?\d+(\.\d+)?$""))&lt;=180),""OK"",""REVISAR"")"),"#N/A")</f>
        <v>#N/A</v>
      </c>
    </row>
    <row r="435" ht="15.75" customHeight="1">
      <c r="A435" s="5" t="str">
        <f t="shared" si="1"/>
        <v>AD507-0433</v>
      </c>
      <c r="C435" s="5"/>
      <c r="F435" s="5"/>
      <c r="G435" s="5" t="str">
        <f t="shared" si="2"/>
        <v/>
      </c>
      <c r="H435" s="5" t="str">
        <f t="shared" si="3"/>
        <v/>
      </c>
      <c r="I435" s="5" t="str">
        <f t="shared" si="4"/>
        <v/>
      </c>
      <c r="J435" s="5" t="str">
        <f t="shared" si="5"/>
        <v/>
      </c>
      <c r="K435" s="5" t="str">
        <f>IFERROR(__xludf.DUMMYFUNCTION("IF(C435&lt;&gt;"""",HYPERLINK(""https://wa.me/507""&amp;REGEXREPLACE(C435,""[^0-9]"","""")&amp;""?text=""&amp;ENCODEURL(""Ya llegue. Codigo: ""&amp;A435&amp;"". Ubicacion: ""&amp;""https://www.google.com/maps/search/?api=1&amp;query=""&amp;SUBSTITUTE(F435,"" "","""")),""📲 Avisar al cliente"""&amp;"),"""")"),"")</f>
        <v/>
      </c>
      <c r="L435" s="5" t="str">
        <f>IFERROR(__xludf.DUMMYFUNCTION("IF(C435&lt;&gt;"""",""https://api.qrserver.com/v1/create-qr-code/?size=200x200&amp;data=""&amp;ENCODEURL(""https://wa.me/507""&amp;REGEXREPLACE(C435,""[^0-9]"","""")&amp;""?text=""&amp;ENCODEURL(""Ya llegue. Codigo: ""&amp;A435&amp;"". Ubicacion: ""&amp;""https://www.google.com/maps/search/?a"&amp;"pi=1&amp;query=""&amp;SUBSTITUTE(F435,"" "",""""))),"""")"),"")</f>
        <v/>
      </c>
      <c r="M435" s="5" t="str">
        <f t="shared" si="6"/>
        <v/>
      </c>
      <c r="N435" s="5" t="str">
        <f>IFERROR(__xludf.DUMMYFUNCTION("IF(AND(F435&lt;&gt;"""",REGEXMATCH(SUBSTITUTE(F435,"" "",""""),""^-?\d+(\.\d+)?,-?\d+(\.\d+)?$""),VALUE(REGEXEXTRACT(SUBSTITUTE(F435,"" "",""""),""^-?\d+(\.\d+)?""))&gt;=-90,VALUE(REGEXEXTRACT(SUBSTITUTE(F435,"" "",""""),""^-?\d+(\.\d+)?""))&lt;=90,VALUE(REGEXEXTRACT"&amp;"(SUBSTITUTE(F435,"" "",""""),""-?\d+(\.\d+)?$""))&gt;=-180,VALUE(REGEXEXTRACT(SUBSTITUTE(F435,"" "",""""),""-?\d+(\.\d+)?$""))&lt;=180),""OK"",""REVISAR"")"),"#N/A")</f>
        <v>#N/A</v>
      </c>
    </row>
    <row r="436" ht="15.75" customHeight="1">
      <c r="A436" s="5" t="str">
        <f t="shared" si="1"/>
        <v>AD507-0434</v>
      </c>
      <c r="C436" s="5"/>
      <c r="F436" s="5"/>
      <c r="G436" s="5" t="str">
        <f t="shared" si="2"/>
        <v/>
      </c>
      <c r="H436" s="5" t="str">
        <f t="shared" si="3"/>
        <v/>
      </c>
      <c r="I436" s="5" t="str">
        <f t="shared" si="4"/>
        <v/>
      </c>
      <c r="J436" s="5" t="str">
        <f t="shared" si="5"/>
        <v/>
      </c>
      <c r="K436" s="5" t="str">
        <f>IFERROR(__xludf.DUMMYFUNCTION("IF(C436&lt;&gt;"""",HYPERLINK(""https://wa.me/507""&amp;REGEXREPLACE(C436,""[^0-9]"","""")&amp;""?text=""&amp;ENCODEURL(""Ya llegue. Codigo: ""&amp;A436&amp;"". Ubicacion: ""&amp;""https://www.google.com/maps/search/?api=1&amp;query=""&amp;SUBSTITUTE(F436,"" "","""")),""📲 Avisar al cliente"""&amp;"),"""")"),"")</f>
        <v/>
      </c>
      <c r="L436" s="5" t="str">
        <f>IFERROR(__xludf.DUMMYFUNCTION("IF(C436&lt;&gt;"""",""https://api.qrserver.com/v1/create-qr-code/?size=200x200&amp;data=""&amp;ENCODEURL(""https://wa.me/507""&amp;REGEXREPLACE(C436,""[^0-9]"","""")&amp;""?text=""&amp;ENCODEURL(""Ya llegue. Codigo: ""&amp;A436&amp;"". Ubicacion: ""&amp;""https://www.google.com/maps/search/?a"&amp;"pi=1&amp;query=""&amp;SUBSTITUTE(F436,"" "",""""))),"""")"),"")</f>
        <v/>
      </c>
      <c r="M436" s="5" t="str">
        <f t="shared" si="6"/>
        <v/>
      </c>
      <c r="N436" s="5" t="str">
        <f>IFERROR(__xludf.DUMMYFUNCTION("IF(AND(F436&lt;&gt;"""",REGEXMATCH(SUBSTITUTE(F436,"" "",""""),""^-?\d+(\.\d+)?,-?\d+(\.\d+)?$""),VALUE(REGEXEXTRACT(SUBSTITUTE(F436,"" "",""""),""^-?\d+(\.\d+)?""))&gt;=-90,VALUE(REGEXEXTRACT(SUBSTITUTE(F436,"" "",""""),""^-?\d+(\.\d+)?""))&lt;=90,VALUE(REGEXEXTRACT"&amp;"(SUBSTITUTE(F436,"" "",""""),""-?\d+(\.\d+)?$""))&gt;=-180,VALUE(REGEXEXTRACT(SUBSTITUTE(F436,"" "",""""),""-?\d+(\.\d+)?$""))&lt;=180),""OK"",""REVISAR"")"),"#N/A")</f>
        <v>#N/A</v>
      </c>
    </row>
    <row r="437" ht="15.75" customHeight="1">
      <c r="A437" s="5" t="str">
        <f t="shared" si="1"/>
        <v>AD507-0435</v>
      </c>
      <c r="C437" s="5"/>
      <c r="F437" s="5"/>
      <c r="G437" s="5" t="str">
        <f t="shared" si="2"/>
        <v/>
      </c>
      <c r="H437" s="5" t="str">
        <f t="shared" si="3"/>
        <v/>
      </c>
      <c r="I437" s="5" t="str">
        <f t="shared" si="4"/>
        <v/>
      </c>
      <c r="J437" s="5" t="str">
        <f t="shared" si="5"/>
        <v/>
      </c>
      <c r="K437" s="5" t="str">
        <f>IFERROR(__xludf.DUMMYFUNCTION("IF(C437&lt;&gt;"""",HYPERLINK(""https://wa.me/507""&amp;REGEXREPLACE(C437,""[^0-9]"","""")&amp;""?text=""&amp;ENCODEURL(""Ya llegue. Codigo: ""&amp;A437&amp;"". Ubicacion: ""&amp;""https://www.google.com/maps/search/?api=1&amp;query=""&amp;SUBSTITUTE(F437,"" "","""")),""📲 Avisar al cliente"""&amp;"),"""")"),"")</f>
        <v/>
      </c>
      <c r="L437" s="5" t="str">
        <f>IFERROR(__xludf.DUMMYFUNCTION("IF(C437&lt;&gt;"""",""https://api.qrserver.com/v1/create-qr-code/?size=200x200&amp;data=""&amp;ENCODEURL(""https://wa.me/507""&amp;REGEXREPLACE(C437,""[^0-9]"","""")&amp;""?text=""&amp;ENCODEURL(""Ya llegue. Codigo: ""&amp;A437&amp;"". Ubicacion: ""&amp;""https://www.google.com/maps/search/?a"&amp;"pi=1&amp;query=""&amp;SUBSTITUTE(F437,"" "",""""))),"""")"),"")</f>
        <v/>
      </c>
      <c r="M437" s="5" t="str">
        <f t="shared" si="6"/>
        <v/>
      </c>
      <c r="N437" s="5" t="str">
        <f>IFERROR(__xludf.DUMMYFUNCTION("IF(AND(F437&lt;&gt;"""",REGEXMATCH(SUBSTITUTE(F437,"" "",""""),""^-?\d+(\.\d+)?,-?\d+(\.\d+)?$""),VALUE(REGEXEXTRACT(SUBSTITUTE(F437,"" "",""""),""^-?\d+(\.\d+)?""))&gt;=-90,VALUE(REGEXEXTRACT(SUBSTITUTE(F437,"" "",""""),""^-?\d+(\.\d+)?""))&lt;=90,VALUE(REGEXEXTRACT"&amp;"(SUBSTITUTE(F437,"" "",""""),""-?\d+(\.\d+)?$""))&gt;=-180,VALUE(REGEXEXTRACT(SUBSTITUTE(F437,"" "",""""),""-?\d+(\.\d+)?$""))&lt;=180),""OK"",""REVISAR"")"),"#N/A")</f>
        <v>#N/A</v>
      </c>
    </row>
    <row r="438" ht="15.75" customHeight="1">
      <c r="A438" s="5" t="str">
        <f t="shared" si="1"/>
        <v>AD507-0436</v>
      </c>
      <c r="C438" s="5"/>
      <c r="F438" s="5"/>
      <c r="G438" s="5" t="str">
        <f t="shared" si="2"/>
        <v/>
      </c>
      <c r="H438" s="5" t="str">
        <f t="shared" si="3"/>
        <v/>
      </c>
      <c r="I438" s="5" t="str">
        <f t="shared" si="4"/>
        <v/>
      </c>
      <c r="J438" s="5" t="str">
        <f t="shared" si="5"/>
        <v/>
      </c>
      <c r="K438" s="5" t="str">
        <f>IFERROR(__xludf.DUMMYFUNCTION("IF(C438&lt;&gt;"""",HYPERLINK(""https://wa.me/507""&amp;REGEXREPLACE(C438,""[^0-9]"","""")&amp;""?text=""&amp;ENCODEURL(""Ya llegue. Codigo: ""&amp;A438&amp;"". Ubicacion: ""&amp;""https://www.google.com/maps/search/?api=1&amp;query=""&amp;SUBSTITUTE(F438,"" "","""")),""📲 Avisar al cliente"""&amp;"),"""")"),"")</f>
        <v/>
      </c>
      <c r="L438" s="5" t="str">
        <f>IFERROR(__xludf.DUMMYFUNCTION("IF(C438&lt;&gt;"""",""https://api.qrserver.com/v1/create-qr-code/?size=200x200&amp;data=""&amp;ENCODEURL(""https://wa.me/507""&amp;REGEXREPLACE(C438,""[^0-9]"","""")&amp;""?text=""&amp;ENCODEURL(""Ya llegue. Codigo: ""&amp;A438&amp;"". Ubicacion: ""&amp;""https://www.google.com/maps/search/?a"&amp;"pi=1&amp;query=""&amp;SUBSTITUTE(F438,"" "",""""))),"""")"),"")</f>
        <v/>
      </c>
      <c r="M438" s="5" t="str">
        <f t="shared" si="6"/>
        <v/>
      </c>
      <c r="N438" s="5" t="str">
        <f>IFERROR(__xludf.DUMMYFUNCTION("IF(AND(F438&lt;&gt;"""",REGEXMATCH(SUBSTITUTE(F438,"" "",""""),""^-?\d+(\.\d+)?,-?\d+(\.\d+)?$""),VALUE(REGEXEXTRACT(SUBSTITUTE(F438,"" "",""""),""^-?\d+(\.\d+)?""))&gt;=-90,VALUE(REGEXEXTRACT(SUBSTITUTE(F438,"" "",""""),""^-?\d+(\.\d+)?""))&lt;=90,VALUE(REGEXEXTRACT"&amp;"(SUBSTITUTE(F438,"" "",""""),""-?\d+(\.\d+)?$""))&gt;=-180,VALUE(REGEXEXTRACT(SUBSTITUTE(F438,"" "",""""),""-?\d+(\.\d+)?$""))&lt;=180),""OK"",""REVISAR"")"),"#N/A")</f>
        <v>#N/A</v>
      </c>
    </row>
    <row r="439" ht="15.75" customHeight="1">
      <c r="A439" s="5" t="str">
        <f t="shared" si="1"/>
        <v>AD507-0437</v>
      </c>
      <c r="C439" s="5"/>
      <c r="F439" s="5"/>
      <c r="G439" s="5" t="str">
        <f t="shared" si="2"/>
        <v/>
      </c>
      <c r="H439" s="5" t="str">
        <f t="shared" si="3"/>
        <v/>
      </c>
      <c r="I439" s="5" t="str">
        <f t="shared" si="4"/>
        <v/>
      </c>
      <c r="J439" s="5" t="str">
        <f t="shared" si="5"/>
        <v/>
      </c>
      <c r="K439" s="5" t="str">
        <f>IFERROR(__xludf.DUMMYFUNCTION("IF(C439&lt;&gt;"""",HYPERLINK(""https://wa.me/507""&amp;REGEXREPLACE(C439,""[^0-9]"","""")&amp;""?text=""&amp;ENCODEURL(""Ya llegue. Codigo: ""&amp;A439&amp;"". Ubicacion: ""&amp;""https://www.google.com/maps/search/?api=1&amp;query=""&amp;SUBSTITUTE(F439,"" "","""")),""📲 Avisar al cliente"""&amp;"),"""")"),"")</f>
        <v/>
      </c>
      <c r="L439" s="5" t="str">
        <f>IFERROR(__xludf.DUMMYFUNCTION("IF(C439&lt;&gt;"""",""https://api.qrserver.com/v1/create-qr-code/?size=200x200&amp;data=""&amp;ENCODEURL(""https://wa.me/507""&amp;REGEXREPLACE(C439,""[^0-9]"","""")&amp;""?text=""&amp;ENCODEURL(""Ya llegue. Codigo: ""&amp;A439&amp;"". Ubicacion: ""&amp;""https://www.google.com/maps/search/?a"&amp;"pi=1&amp;query=""&amp;SUBSTITUTE(F439,"" "",""""))),"""")"),"")</f>
        <v/>
      </c>
      <c r="M439" s="5" t="str">
        <f t="shared" si="6"/>
        <v/>
      </c>
      <c r="N439" s="5" t="str">
        <f>IFERROR(__xludf.DUMMYFUNCTION("IF(AND(F439&lt;&gt;"""",REGEXMATCH(SUBSTITUTE(F439,"" "",""""),""^-?\d+(\.\d+)?,-?\d+(\.\d+)?$""),VALUE(REGEXEXTRACT(SUBSTITUTE(F439,"" "",""""),""^-?\d+(\.\d+)?""))&gt;=-90,VALUE(REGEXEXTRACT(SUBSTITUTE(F439,"" "",""""),""^-?\d+(\.\d+)?""))&lt;=90,VALUE(REGEXEXTRACT"&amp;"(SUBSTITUTE(F439,"" "",""""),""-?\d+(\.\d+)?$""))&gt;=-180,VALUE(REGEXEXTRACT(SUBSTITUTE(F439,"" "",""""),""-?\d+(\.\d+)?$""))&lt;=180),""OK"",""REVISAR"")"),"#N/A")</f>
        <v>#N/A</v>
      </c>
    </row>
    <row r="440" ht="15.75" customHeight="1">
      <c r="A440" s="5" t="str">
        <f t="shared" si="1"/>
        <v>AD507-0438</v>
      </c>
      <c r="C440" s="5"/>
      <c r="F440" s="5"/>
      <c r="G440" s="5" t="str">
        <f t="shared" si="2"/>
        <v/>
      </c>
      <c r="H440" s="5" t="str">
        <f t="shared" si="3"/>
        <v/>
      </c>
      <c r="I440" s="5" t="str">
        <f t="shared" si="4"/>
        <v/>
      </c>
      <c r="J440" s="5" t="str">
        <f t="shared" si="5"/>
        <v/>
      </c>
      <c r="K440" s="5" t="str">
        <f>IFERROR(__xludf.DUMMYFUNCTION("IF(C440&lt;&gt;"""",HYPERLINK(""https://wa.me/507""&amp;REGEXREPLACE(C440,""[^0-9]"","""")&amp;""?text=""&amp;ENCODEURL(""Ya llegue. Codigo: ""&amp;A440&amp;"". Ubicacion: ""&amp;""https://www.google.com/maps/search/?api=1&amp;query=""&amp;SUBSTITUTE(F440,"" "","""")),""📲 Avisar al cliente"""&amp;"),"""")"),"")</f>
        <v/>
      </c>
      <c r="L440" s="5" t="str">
        <f>IFERROR(__xludf.DUMMYFUNCTION("IF(C440&lt;&gt;"""",""https://api.qrserver.com/v1/create-qr-code/?size=200x200&amp;data=""&amp;ENCODEURL(""https://wa.me/507""&amp;REGEXREPLACE(C440,""[^0-9]"","""")&amp;""?text=""&amp;ENCODEURL(""Ya llegue. Codigo: ""&amp;A440&amp;"". Ubicacion: ""&amp;""https://www.google.com/maps/search/?a"&amp;"pi=1&amp;query=""&amp;SUBSTITUTE(F440,"" "",""""))),"""")"),"")</f>
        <v/>
      </c>
      <c r="M440" s="5" t="str">
        <f t="shared" si="6"/>
        <v/>
      </c>
      <c r="N440" s="5" t="str">
        <f>IFERROR(__xludf.DUMMYFUNCTION("IF(AND(F440&lt;&gt;"""",REGEXMATCH(SUBSTITUTE(F440,"" "",""""),""^-?\d+(\.\d+)?,-?\d+(\.\d+)?$""),VALUE(REGEXEXTRACT(SUBSTITUTE(F440,"" "",""""),""^-?\d+(\.\d+)?""))&gt;=-90,VALUE(REGEXEXTRACT(SUBSTITUTE(F440,"" "",""""),""^-?\d+(\.\d+)?""))&lt;=90,VALUE(REGEXEXTRACT"&amp;"(SUBSTITUTE(F440,"" "",""""),""-?\d+(\.\d+)?$""))&gt;=-180,VALUE(REGEXEXTRACT(SUBSTITUTE(F440,"" "",""""),""-?\d+(\.\d+)?$""))&lt;=180),""OK"",""REVISAR"")"),"#N/A")</f>
        <v>#N/A</v>
      </c>
    </row>
    <row r="441" ht="15.75" customHeight="1">
      <c r="A441" s="5" t="str">
        <f t="shared" si="1"/>
        <v>AD507-0439</v>
      </c>
      <c r="C441" s="5"/>
      <c r="F441" s="5"/>
      <c r="G441" s="5" t="str">
        <f t="shared" si="2"/>
        <v/>
      </c>
      <c r="H441" s="5" t="str">
        <f t="shared" si="3"/>
        <v/>
      </c>
      <c r="I441" s="5" t="str">
        <f t="shared" si="4"/>
        <v/>
      </c>
      <c r="J441" s="5" t="str">
        <f t="shared" si="5"/>
        <v/>
      </c>
      <c r="K441" s="5" t="str">
        <f>IFERROR(__xludf.DUMMYFUNCTION("IF(C441&lt;&gt;"""",HYPERLINK(""https://wa.me/507""&amp;REGEXREPLACE(C441,""[^0-9]"","""")&amp;""?text=""&amp;ENCODEURL(""Ya llegue. Codigo: ""&amp;A441&amp;"". Ubicacion: ""&amp;""https://www.google.com/maps/search/?api=1&amp;query=""&amp;SUBSTITUTE(F441,"" "","""")),""📲 Avisar al cliente"""&amp;"),"""")"),"")</f>
        <v/>
      </c>
      <c r="L441" s="5" t="str">
        <f>IFERROR(__xludf.DUMMYFUNCTION("IF(C441&lt;&gt;"""",""https://api.qrserver.com/v1/create-qr-code/?size=200x200&amp;data=""&amp;ENCODEURL(""https://wa.me/507""&amp;REGEXREPLACE(C441,""[^0-9]"","""")&amp;""?text=""&amp;ENCODEURL(""Ya llegue. Codigo: ""&amp;A441&amp;"". Ubicacion: ""&amp;""https://www.google.com/maps/search/?a"&amp;"pi=1&amp;query=""&amp;SUBSTITUTE(F441,"" "",""""))),"""")"),"")</f>
        <v/>
      </c>
      <c r="M441" s="5" t="str">
        <f t="shared" si="6"/>
        <v/>
      </c>
      <c r="N441" s="5" t="str">
        <f>IFERROR(__xludf.DUMMYFUNCTION("IF(AND(F441&lt;&gt;"""",REGEXMATCH(SUBSTITUTE(F441,"" "",""""),""^-?\d+(\.\d+)?,-?\d+(\.\d+)?$""),VALUE(REGEXEXTRACT(SUBSTITUTE(F441,"" "",""""),""^-?\d+(\.\d+)?""))&gt;=-90,VALUE(REGEXEXTRACT(SUBSTITUTE(F441,"" "",""""),""^-?\d+(\.\d+)?""))&lt;=90,VALUE(REGEXEXTRACT"&amp;"(SUBSTITUTE(F441,"" "",""""),""-?\d+(\.\d+)?$""))&gt;=-180,VALUE(REGEXEXTRACT(SUBSTITUTE(F441,"" "",""""),""-?\d+(\.\d+)?$""))&lt;=180),""OK"",""REVISAR"")"),"#N/A")</f>
        <v>#N/A</v>
      </c>
    </row>
    <row r="442" ht="15.75" customHeight="1">
      <c r="A442" s="5" t="str">
        <f t="shared" si="1"/>
        <v>AD507-0440</v>
      </c>
      <c r="C442" s="5"/>
      <c r="F442" s="5"/>
      <c r="G442" s="5" t="str">
        <f t="shared" si="2"/>
        <v/>
      </c>
      <c r="H442" s="5" t="str">
        <f t="shared" si="3"/>
        <v/>
      </c>
      <c r="I442" s="5" t="str">
        <f t="shared" si="4"/>
        <v/>
      </c>
      <c r="J442" s="5" t="str">
        <f t="shared" si="5"/>
        <v/>
      </c>
      <c r="K442" s="5" t="str">
        <f>IFERROR(__xludf.DUMMYFUNCTION("IF(C442&lt;&gt;"""",HYPERLINK(""https://wa.me/507""&amp;REGEXREPLACE(C442,""[^0-9]"","""")&amp;""?text=""&amp;ENCODEURL(""Ya llegue. Codigo: ""&amp;A442&amp;"". Ubicacion: ""&amp;""https://www.google.com/maps/search/?api=1&amp;query=""&amp;SUBSTITUTE(F442,"" "","""")),""📲 Avisar al cliente"""&amp;"),"""")"),"")</f>
        <v/>
      </c>
      <c r="L442" s="5" t="str">
        <f>IFERROR(__xludf.DUMMYFUNCTION("IF(C442&lt;&gt;"""",""https://api.qrserver.com/v1/create-qr-code/?size=200x200&amp;data=""&amp;ENCODEURL(""https://wa.me/507""&amp;REGEXREPLACE(C442,""[^0-9]"","""")&amp;""?text=""&amp;ENCODEURL(""Ya llegue. Codigo: ""&amp;A442&amp;"". Ubicacion: ""&amp;""https://www.google.com/maps/search/?a"&amp;"pi=1&amp;query=""&amp;SUBSTITUTE(F442,"" "",""""))),"""")"),"")</f>
        <v/>
      </c>
      <c r="M442" s="5" t="str">
        <f t="shared" si="6"/>
        <v/>
      </c>
      <c r="N442" s="5" t="str">
        <f>IFERROR(__xludf.DUMMYFUNCTION("IF(AND(F442&lt;&gt;"""",REGEXMATCH(SUBSTITUTE(F442,"" "",""""),""^-?\d+(\.\d+)?,-?\d+(\.\d+)?$""),VALUE(REGEXEXTRACT(SUBSTITUTE(F442,"" "",""""),""^-?\d+(\.\d+)?""))&gt;=-90,VALUE(REGEXEXTRACT(SUBSTITUTE(F442,"" "",""""),""^-?\d+(\.\d+)?""))&lt;=90,VALUE(REGEXEXTRACT"&amp;"(SUBSTITUTE(F442,"" "",""""),""-?\d+(\.\d+)?$""))&gt;=-180,VALUE(REGEXEXTRACT(SUBSTITUTE(F442,"" "",""""),""-?\d+(\.\d+)?$""))&lt;=180),""OK"",""REVISAR"")"),"#N/A")</f>
        <v>#N/A</v>
      </c>
    </row>
    <row r="443" ht="15.75" customHeight="1">
      <c r="A443" s="5" t="str">
        <f t="shared" si="1"/>
        <v>AD507-0441</v>
      </c>
      <c r="C443" s="5"/>
      <c r="F443" s="5"/>
      <c r="G443" s="5" t="str">
        <f t="shared" si="2"/>
        <v/>
      </c>
      <c r="H443" s="5" t="str">
        <f t="shared" si="3"/>
        <v/>
      </c>
      <c r="I443" s="5" t="str">
        <f t="shared" si="4"/>
        <v/>
      </c>
      <c r="J443" s="5" t="str">
        <f t="shared" si="5"/>
        <v/>
      </c>
      <c r="K443" s="5" t="str">
        <f>IFERROR(__xludf.DUMMYFUNCTION("IF(C443&lt;&gt;"""",HYPERLINK(""https://wa.me/507""&amp;REGEXREPLACE(C443,""[^0-9]"","""")&amp;""?text=""&amp;ENCODEURL(""Ya llegue. Codigo: ""&amp;A443&amp;"". Ubicacion: ""&amp;""https://www.google.com/maps/search/?api=1&amp;query=""&amp;SUBSTITUTE(F443,"" "","""")),""📲 Avisar al cliente"""&amp;"),"""")"),"")</f>
        <v/>
      </c>
      <c r="L443" s="5" t="str">
        <f>IFERROR(__xludf.DUMMYFUNCTION("IF(C443&lt;&gt;"""",""https://api.qrserver.com/v1/create-qr-code/?size=200x200&amp;data=""&amp;ENCODEURL(""https://wa.me/507""&amp;REGEXREPLACE(C443,""[^0-9]"","""")&amp;""?text=""&amp;ENCODEURL(""Ya llegue. Codigo: ""&amp;A443&amp;"". Ubicacion: ""&amp;""https://www.google.com/maps/search/?a"&amp;"pi=1&amp;query=""&amp;SUBSTITUTE(F443,"" "",""""))),"""")"),"")</f>
        <v/>
      </c>
      <c r="M443" s="5" t="str">
        <f t="shared" si="6"/>
        <v/>
      </c>
      <c r="N443" s="5" t="str">
        <f>IFERROR(__xludf.DUMMYFUNCTION("IF(AND(F443&lt;&gt;"""",REGEXMATCH(SUBSTITUTE(F443,"" "",""""),""^-?\d+(\.\d+)?,-?\d+(\.\d+)?$""),VALUE(REGEXEXTRACT(SUBSTITUTE(F443,"" "",""""),""^-?\d+(\.\d+)?""))&gt;=-90,VALUE(REGEXEXTRACT(SUBSTITUTE(F443,"" "",""""),""^-?\d+(\.\d+)?""))&lt;=90,VALUE(REGEXEXTRACT"&amp;"(SUBSTITUTE(F443,"" "",""""),""-?\d+(\.\d+)?$""))&gt;=-180,VALUE(REGEXEXTRACT(SUBSTITUTE(F443,"" "",""""),""-?\d+(\.\d+)?$""))&lt;=180),""OK"",""REVISAR"")"),"#N/A")</f>
        <v>#N/A</v>
      </c>
    </row>
    <row r="444" ht="15.75" customHeight="1">
      <c r="A444" s="5" t="str">
        <f t="shared" si="1"/>
        <v>AD507-0442</v>
      </c>
      <c r="C444" s="5"/>
      <c r="F444" s="5"/>
      <c r="G444" s="5" t="str">
        <f t="shared" si="2"/>
        <v/>
      </c>
      <c r="H444" s="5" t="str">
        <f t="shared" si="3"/>
        <v/>
      </c>
      <c r="I444" s="5" t="str">
        <f t="shared" si="4"/>
        <v/>
      </c>
      <c r="J444" s="5" t="str">
        <f t="shared" si="5"/>
        <v/>
      </c>
      <c r="K444" s="5" t="str">
        <f>IFERROR(__xludf.DUMMYFUNCTION("IF(C444&lt;&gt;"""",HYPERLINK(""https://wa.me/507""&amp;REGEXREPLACE(C444,""[^0-9]"","""")&amp;""?text=""&amp;ENCODEURL(""Ya llegue. Codigo: ""&amp;A444&amp;"". Ubicacion: ""&amp;""https://www.google.com/maps/search/?api=1&amp;query=""&amp;SUBSTITUTE(F444,"" "","""")),""📲 Avisar al cliente"""&amp;"),"""")"),"")</f>
        <v/>
      </c>
      <c r="L444" s="5" t="str">
        <f>IFERROR(__xludf.DUMMYFUNCTION("IF(C444&lt;&gt;"""",""https://api.qrserver.com/v1/create-qr-code/?size=200x200&amp;data=""&amp;ENCODEURL(""https://wa.me/507""&amp;REGEXREPLACE(C444,""[^0-9]"","""")&amp;""?text=""&amp;ENCODEURL(""Ya llegue. Codigo: ""&amp;A444&amp;"". Ubicacion: ""&amp;""https://www.google.com/maps/search/?a"&amp;"pi=1&amp;query=""&amp;SUBSTITUTE(F444,"" "",""""))),"""")"),"")</f>
        <v/>
      </c>
      <c r="M444" s="5" t="str">
        <f t="shared" si="6"/>
        <v/>
      </c>
      <c r="N444" s="5" t="str">
        <f>IFERROR(__xludf.DUMMYFUNCTION("IF(AND(F444&lt;&gt;"""",REGEXMATCH(SUBSTITUTE(F444,"" "",""""),""^-?\d+(\.\d+)?,-?\d+(\.\d+)?$""),VALUE(REGEXEXTRACT(SUBSTITUTE(F444,"" "",""""),""^-?\d+(\.\d+)?""))&gt;=-90,VALUE(REGEXEXTRACT(SUBSTITUTE(F444,"" "",""""),""^-?\d+(\.\d+)?""))&lt;=90,VALUE(REGEXEXTRACT"&amp;"(SUBSTITUTE(F444,"" "",""""),""-?\d+(\.\d+)?$""))&gt;=-180,VALUE(REGEXEXTRACT(SUBSTITUTE(F444,"" "",""""),""-?\d+(\.\d+)?$""))&lt;=180),""OK"",""REVISAR"")"),"#N/A")</f>
        <v>#N/A</v>
      </c>
    </row>
    <row r="445" ht="15.75" customHeight="1">
      <c r="A445" s="5" t="str">
        <f t="shared" si="1"/>
        <v>AD507-0443</v>
      </c>
      <c r="C445" s="5"/>
      <c r="F445" s="5"/>
      <c r="G445" s="5" t="str">
        <f t="shared" si="2"/>
        <v/>
      </c>
      <c r="H445" s="5" t="str">
        <f t="shared" si="3"/>
        <v/>
      </c>
      <c r="I445" s="5" t="str">
        <f t="shared" si="4"/>
        <v/>
      </c>
      <c r="J445" s="5" t="str">
        <f t="shared" si="5"/>
        <v/>
      </c>
      <c r="K445" s="5" t="str">
        <f>IFERROR(__xludf.DUMMYFUNCTION("IF(C445&lt;&gt;"""",HYPERLINK(""https://wa.me/507""&amp;REGEXREPLACE(C445,""[^0-9]"","""")&amp;""?text=""&amp;ENCODEURL(""Ya llegue. Codigo: ""&amp;A445&amp;"". Ubicacion: ""&amp;""https://www.google.com/maps/search/?api=1&amp;query=""&amp;SUBSTITUTE(F445,"" "","""")),""📲 Avisar al cliente"""&amp;"),"""")"),"")</f>
        <v/>
      </c>
      <c r="L445" s="5" t="str">
        <f>IFERROR(__xludf.DUMMYFUNCTION("IF(C445&lt;&gt;"""",""https://api.qrserver.com/v1/create-qr-code/?size=200x200&amp;data=""&amp;ENCODEURL(""https://wa.me/507""&amp;REGEXREPLACE(C445,""[^0-9]"","""")&amp;""?text=""&amp;ENCODEURL(""Ya llegue. Codigo: ""&amp;A445&amp;"". Ubicacion: ""&amp;""https://www.google.com/maps/search/?a"&amp;"pi=1&amp;query=""&amp;SUBSTITUTE(F445,"" "",""""))),"""")"),"")</f>
        <v/>
      </c>
      <c r="M445" s="5" t="str">
        <f t="shared" si="6"/>
        <v/>
      </c>
      <c r="N445" s="5" t="str">
        <f>IFERROR(__xludf.DUMMYFUNCTION("IF(AND(F445&lt;&gt;"""",REGEXMATCH(SUBSTITUTE(F445,"" "",""""),""^-?\d+(\.\d+)?,-?\d+(\.\d+)?$""),VALUE(REGEXEXTRACT(SUBSTITUTE(F445,"" "",""""),""^-?\d+(\.\d+)?""))&gt;=-90,VALUE(REGEXEXTRACT(SUBSTITUTE(F445,"" "",""""),""^-?\d+(\.\d+)?""))&lt;=90,VALUE(REGEXEXTRACT"&amp;"(SUBSTITUTE(F445,"" "",""""),""-?\d+(\.\d+)?$""))&gt;=-180,VALUE(REGEXEXTRACT(SUBSTITUTE(F445,"" "",""""),""-?\d+(\.\d+)?$""))&lt;=180),""OK"",""REVISAR"")"),"#N/A")</f>
        <v>#N/A</v>
      </c>
    </row>
    <row r="446" ht="15.75" customHeight="1">
      <c r="A446" s="5" t="str">
        <f t="shared" si="1"/>
        <v>AD507-0444</v>
      </c>
      <c r="C446" s="5"/>
      <c r="F446" s="5"/>
      <c r="G446" s="5" t="str">
        <f t="shared" si="2"/>
        <v/>
      </c>
      <c r="H446" s="5" t="str">
        <f t="shared" si="3"/>
        <v/>
      </c>
      <c r="I446" s="5" t="str">
        <f t="shared" si="4"/>
        <v/>
      </c>
      <c r="J446" s="5" t="str">
        <f t="shared" si="5"/>
        <v/>
      </c>
      <c r="K446" s="5" t="str">
        <f>IFERROR(__xludf.DUMMYFUNCTION("IF(C446&lt;&gt;"""",HYPERLINK(""https://wa.me/507""&amp;REGEXREPLACE(C446,""[^0-9]"","""")&amp;""?text=""&amp;ENCODEURL(""Ya llegue. Codigo: ""&amp;A446&amp;"". Ubicacion: ""&amp;""https://www.google.com/maps/search/?api=1&amp;query=""&amp;SUBSTITUTE(F446,"" "","""")),""📲 Avisar al cliente"""&amp;"),"""")"),"")</f>
        <v/>
      </c>
      <c r="L446" s="5" t="str">
        <f>IFERROR(__xludf.DUMMYFUNCTION("IF(C446&lt;&gt;"""",""https://api.qrserver.com/v1/create-qr-code/?size=200x200&amp;data=""&amp;ENCODEURL(""https://wa.me/507""&amp;REGEXREPLACE(C446,""[^0-9]"","""")&amp;""?text=""&amp;ENCODEURL(""Ya llegue. Codigo: ""&amp;A446&amp;"". Ubicacion: ""&amp;""https://www.google.com/maps/search/?a"&amp;"pi=1&amp;query=""&amp;SUBSTITUTE(F446,"" "",""""))),"""")"),"")</f>
        <v/>
      </c>
      <c r="M446" s="5" t="str">
        <f t="shared" si="6"/>
        <v/>
      </c>
      <c r="N446" s="5" t="str">
        <f>IFERROR(__xludf.DUMMYFUNCTION("IF(AND(F446&lt;&gt;"""",REGEXMATCH(SUBSTITUTE(F446,"" "",""""),""^-?\d+(\.\d+)?,-?\d+(\.\d+)?$""),VALUE(REGEXEXTRACT(SUBSTITUTE(F446,"" "",""""),""^-?\d+(\.\d+)?""))&gt;=-90,VALUE(REGEXEXTRACT(SUBSTITUTE(F446,"" "",""""),""^-?\d+(\.\d+)?""))&lt;=90,VALUE(REGEXEXTRACT"&amp;"(SUBSTITUTE(F446,"" "",""""),""-?\d+(\.\d+)?$""))&gt;=-180,VALUE(REGEXEXTRACT(SUBSTITUTE(F446,"" "",""""),""-?\d+(\.\d+)?$""))&lt;=180),""OK"",""REVISAR"")"),"#N/A")</f>
        <v>#N/A</v>
      </c>
    </row>
    <row r="447" ht="15.75" customHeight="1">
      <c r="A447" s="5" t="str">
        <f t="shared" si="1"/>
        <v>AD507-0445</v>
      </c>
      <c r="C447" s="5"/>
      <c r="F447" s="5"/>
      <c r="G447" s="5" t="str">
        <f t="shared" si="2"/>
        <v/>
      </c>
      <c r="H447" s="5" t="str">
        <f t="shared" si="3"/>
        <v/>
      </c>
      <c r="I447" s="5" t="str">
        <f t="shared" si="4"/>
        <v/>
      </c>
      <c r="J447" s="5" t="str">
        <f t="shared" si="5"/>
        <v/>
      </c>
      <c r="K447" s="5" t="str">
        <f>IFERROR(__xludf.DUMMYFUNCTION("IF(C447&lt;&gt;"""",HYPERLINK(""https://wa.me/507""&amp;REGEXREPLACE(C447,""[^0-9]"","""")&amp;""?text=""&amp;ENCODEURL(""Ya llegue. Codigo: ""&amp;A447&amp;"". Ubicacion: ""&amp;""https://www.google.com/maps/search/?api=1&amp;query=""&amp;SUBSTITUTE(F447,"" "","""")),""📲 Avisar al cliente"""&amp;"),"""")"),"")</f>
        <v/>
      </c>
      <c r="L447" s="5" t="str">
        <f>IFERROR(__xludf.DUMMYFUNCTION("IF(C447&lt;&gt;"""",""https://api.qrserver.com/v1/create-qr-code/?size=200x200&amp;data=""&amp;ENCODEURL(""https://wa.me/507""&amp;REGEXREPLACE(C447,""[^0-9]"","""")&amp;""?text=""&amp;ENCODEURL(""Ya llegue. Codigo: ""&amp;A447&amp;"". Ubicacion: ""&amp;""https://www.google.com/maps/search/?a"&amp;"pi=1&amp;query=""&amp;SUBSTITUTE(F447,"" "",""""))),"""")"),"")</f>
        <v/>
      </c>
      <c r="M447" s="5" t="str">
        <f t="shared" si="6"/>
        <v/>
      </c>
      <c r="N447" s="5" t="str">
        <f>IFERROR(__xludf.DUMMYFUNCTION("IF(AND(F447&lt;&gt;"""",REGEXMATCH(SUBSTITUTE(F447,"" "",""""),""^-?\d+(\.\d+)?,-?\d+(\.\d+)?$""),VALUE(REGEXEXTRACT(SUBSTITUTE(F447,"" "",""""),""^-?\d+(\.\d+)?""))&gt;=-90,VALUE(REGEXEXTRACT(SUBSTITUTE(F447,"" "",""""),""^-?\d+(\.\d+)?""))&lt;=90,VALUE(REGEXEXTRACT"&amp;"(SUBSTITUTE(F447,"" "",""""),""-?\d+(\.\d+)?$""))&gt;=-180,VALUE(REGEXEXTRACT(SUBSTITUTE(F447,"" "",""""),""-?\d+(\.\d+)?$""))&lt;=180),""OK"",""REVISAR"")"),"#N/A")</f>
        <v>#N/A</v>
      </c>
    </row>
    <row r="448" ht="15.75" customHeight="1">
      <c r="A448" s="5" t="str">
        <f t="shared" si="1"/>
        <v>AD507-0446</v>
      </c>
      <c r="C448" s="5"/>
      <c r="F448" s="5"/>
      <c r="G448" s="5" t="str">
        <f t="shared" si="2"/>
        <v/>
      </c>
      <c r="H448" s="5" t="str">
        <f t="shared" si="3"/>
        <v/>
      </c>
      <c r="I448" s="5" t="str">
        <f t="shared" si="4"/>
        <v/>
      </c>
      <c r="J448" s="5" t="str">
        <f t="shared" si="5"/>
        <v/>
      </c>
      <c r="K448" s="5" t="str">
        <f>IFERROR(__xludf.DUMMYFUNCTION("IF(C448&lt;&gt;"""",HYPERLINK(""https://wa.me/507""&amp;REGEXREPLACE(C448,""[^0-9]"","""")&amp;""?text=""&amp;ENCODEURL(""Ya llegue. Codigo: ""&amp;A448&amp;"". Ubicacion: ""&amp;""https://www.google.com/maps/search/?api=1&amp;query=""&amp;SUBSTITUTE(F448,"" "","""")),""📲 Avisar al cliente"""&amp;"),"""")"),"")</f>
        <v/>
      </c>
      <c r="L448" s="5" t="str">
        <f>IFERROR(__xludf.DUMMYFUNCTION("IF(C448&lt;&gt;"""",""https://api.qrserver.com/v1/create-qr-code/?size=200x200&amp;data=""&amp;ENCODEURL(""https://wa.me/507""&amp;REGEXREPLACE(C448,""[^0-9]"","""")&amp;""?text=""&amp;ENCODEURL(""Ya llegue. Codigo: ""&amp;A448&amp;"". Ubicacion: ""&amp;""https://www.google.com/maps/search/?a"&amp;"pi=1&amp;query=""&amp;SUBSTITUTE(F448,"" "",""""))),"""")"),"")</f>
        <v/>
      </c>
      <c r="M448" s="5" t="str">
        <f t="shared" si="6"/>
        <v/>
      </c>
      <c r="N448" s="5" t="str">
        <f>IFERROR(__xludf.DUMMYFUNCTION("IF(AND(F448&lt;&gt;"""",REGEXMATCH(SUBSTITUTE(F448,"" "",""""),""^-?\d+(\.\d+)?,-?\d+(\.\d+)?$""),VALUE(REGEXEXTRACT(SUBSTITUTE(F448,"" "",""""),""^-?\d+(\.\d+)?""))&gt;=-90,VALUE(REGEXEXTRACT(SUBSTITUTE(F448,"" "",""""),""^-?\d+(\.\d+)?""))&lt;=90,VALUE(REGEXEXTRACT"&amp;"(SUBSTITUTE(F448,"" "",""""),""-?\d+(\.\d+)?$""))&gt;=-180,VALUE(REGEXEXTRACT(SUBSTITUTE(F448,"" "",""""),""-?\d+(\.\d+)?$""))&lt;=180),""OK"",""REVISAR"")"),"#N/A")</f>
        <v>#N/A</v>
      </c>
    </row>
    <row r="449" ht="15.75" customHeight="1">
      <c r="A449" s="5" t="str">
        <f t="shared" si="1"/>
        <v>AD507-0447</v>
      </c>
      <c r="C449" s="5"/>
      <c r="F449" s="5"/>
      <c r="G449" s="5" t="str">
        <f t="shared" si="2"/>
        <v/>
      </c>
      <c r="H449" s="5" t="str">
        <f t="shared" si="3"/>
        <v/>
      </c>
      <c r="I449" s="5" t="str">
        <f t="shared" si="4"/>
        <v/>
      </c>
      <c r="J449" s="5" t="str">
        <f t="shared" si="5"/>
        <v/>
      </c>
      <c r="K449" s="5" t="str">
        <f>IFERROR(__xludf.DUMMYFUNCTION("IF(C449&lt;&gt;"""",HYPERLINK(""https://wa.me/507""&amp;REGEXREPLACE(C449,""[^0-9]"","""")&amp;""?text=""&amp;ENCODEURL(""Ya llegue. Codigo: ""&amp;A449&amp;"". Ubicacion: ""&amp;""https://www.google.com/maps/search/?api=1&amp;query=""&amp;SUBSTITUTE(F449,"" "","""")),""📲 Avisar al cliente"""&amp;"),"""")"),"")</f>
        <v/>
      </c>
      <c r="L449" s="5" t="str">
        <f>IFERROR(__xludf.DUMMYFUNCTION("IF(C449&lt;&gt;"""",""https://api.qrserver.com/v1/create-qr-code/?size=200x200&amp;data=""&amp;ENCODEURL(""https://wa.me/507""&amp;REGEXREPLACE(C449,""[^0-9]"","""")&amp;""?text=""&amp;ENCODEURL(""Ya llegue. Codigo: ""&amp;A449&amp;"". Ubicacion: ""&amp;""https://www.google.com/maps/search/?a"&amp;"pi=1&amp;query=""&amp;SUBSTITUTE(F449,"" "",""""))),"""")"),"")</f>
        <v/>
      </c>
      <c r="M449" s="5" t="str">
        <f t="shared" si="6"/>
        <v/>
      </c>
      <c r="N449" s="5" t="str">
        <f>IFERROR(__xludf.DUMMYFUNCTION("IF(AND(F449&lt;&gt;"""",REGEXMATCH(SUBSTITUTE(F449,"" "",""""),""^-?\d+(\.\d+)?,-?\d+(\.\d+)?$""),VALUE(REGEXEXTRACT(SUBSTITUTE(F449,"" "",""""),""^-?\d+(\.\d+)?""))&gt;=-90,VALUE(REGEXEXTRACT(SUBSTITUTE(F449,"" "",""""),""^-?\d+(\.\d+)?""))&lt;=90,VALUE(REGEXEXTRACT"&amp;"(SUBSTITUTE(F449,"" "",""""),""-?\d+(\.\d+)?$""))&gt;=-180,VALUE(REGEXEXTRACT(SUBSTITUTE(F449,"" "",""""),""-?\d+(\.\d+)?$""))&lt;=180),""OK"",""REVISAR"")"),"#N/A")</f>
        <v>#N/A</v>
      </c>
    </row>
    <row r="450" ht="15.75" customHeight="1">
      <c r="A450" s="5" t="str">
        <f t="shared" si="1"/>
        <v>AD507-0448</v>
      </c>
      <c r="C450" s="5"/>
      <c r="F450" s="5"/>
      <c r="G450" s="5" t="str">
        <f t="shared" si="2"/>
        <v/>
      </c>
      <c r="H450" s="5" t="str">
        <f t="shared" si="3"/>
        <v/>
      </c>
      <c r="I450" s="5" t="str">
        <f t="shared" si="4"/>
        <v/>
      </c>
      <c r="J450" s="5" t="str">
        <f t="shared" si="5"/>
        <v/>
      </c>
      <c r="K450" s="5" t="str">
        <f>IFERROR(__xludf.DUMMYFUNCTION("IF(C450&lt;&gt;"""",HYPERLINK(""https://wa.me/507""&amp;REGEXREPLACE(C450,""[^0-9]"","""")&amp;""?text=""&amp;ENCODEURL(""Ya llegue. Codigo: ""&amp;A450&amp;"". Ubicacion: ""&amp;""https://www.google.com/maps/search/?api=1&amp;query=""&amp;SUBSTITUTE(F450,"" "","""")),""📲 Avisar al cliente"""&amp;"),"""")"),"")</f>
        <v/>
      </c>
      <c r="L450" s="5" t="str">
        <f>IFERROR(__xludf.DUMMYFUNCTION("IF(C450&lt;&gt;"""",""https://api.qrserver.com/v1/create-qr-code/?size=200x200&amp;data=""&amp;ENCODEURL(""https://wa.me/507""&amp;REGEXREPLACE(C450,""[^0-9]"","""")&amp;""?text=""&amp;ENCODEURL(""Ya llegue. Codigo: ""&amp;A450&amp;"". Ubicacion: ""&amp;""https://www.google.com/maps/search/?a"&amp;"pi=1&amp;query=""&amp;SUBSTITUTE(F450,"" "",""""))),"""")"),"")</f>
        <v/>
      </c>
      <c r="M450" s="5" t="str">
        <f t="shared" si="6"/>
        <v/>
      </c>
      <c r="N450" s="5" t="str">
        <f>IFERROR(__xludf.DUMMYFUNCTION("IF(AND(F450&lt;&gt;"""",REGEXMATCH(SUBSTITUTE(F450,"" "",""""),""^-?\d+(\.\d+)?,-?\d+(\.\d+)?$""),VALUE(REGEXEXTRACT(SUBSTITUTE(F450,"" "",""""),""^-?\d+(\.\d+)?""))&gt;=-90,VALUE(REGEXEXTRACT(SUBSTITUTE(F450,"" "",""""),""^-?\d+(\.\d+)?""))&lt;=90,VALUE(REGEXEXTRACT"&amp;"(SUBSTITUTE(F450,"" "",""""),""-?\d+(\.\d+)?$""))&gt;=-180,VALUE(REGEXEXTRACT(SUBSTITUTE(F450,"" "",""""),""-?\d+(\.\d+)?$""))&lt;=180),""OK"",""REVISAR"")"),"#N/A")</f>
        <v>#N/A</v>
      </c>
    </row>
    <row r="451" ht="15.75" customHeight="1">
      <c r="A451" s="5" t="str">
        <f t="shared" si="1"/>
        <v>AD507-0449</v>
      </c>
      <c r="C451" s="5"/>
      <c r="F451" s="5"/>
      <c r="G451" s="5" t="str">
        <f t="shared" si="2"/>
        <v/>
      </c>
      <c r="H451" s="5" t="str">
        <f t="shared" si="3"/>
        <v/>
      </c>
      <c r="I451" s="5" t="str">
        <f t="shared" si="4"/>
        <v/>
      </c>
      <c r="J451" s="5" t="str">
        <f t="shared" si="5"/>
        <v/>
      </c>
      <c r="K451" s="5" t="str">
        <f>IFERROR(__xludf.DUMMYFUNCTION("IF(C451&lt;&gt;"""",HYPERLINK(""https://wa.me/507""&amp;REGEXREPLACE(C451,""[^0-9]"","""")&amp;""?text=""&amp;ENCODEURL(""Ya llegue. Codigo: ""&amp;A451&amp;"". Ubicacion: ""&amp;""https://www.google.com/maps/search/?api=1&amp;query=""&amp;SUBSTITUTE(F451,"" "","""")),""📲 Avisar al cliente"""&amp;"),"""")"),"")</f>
        <v/>
      </c>
      <c r="L451" s="5" t="str">
        <f>IFERROR(__xludf.DUMMYFUNCTION("IF(C451&lt;&gt;"""",""https://api.qrserver.com/v1/create-qr-code/?size=200x200&amp;data=""&amp;ENCODEURL(""https://wa.me/507""&amp;REGEXREPLACE(C451,""[^0-9]"","""")&amp;""?text=""&amp;ENCODEURL(""Ya llegue. Codigo: ""&amp;A451&amp;"". Ubicacion: ""&amp;""https://www.google.com/maps/search/?a"&amp;"pi=1&amp;query=""&amp;SUBSTITUTE(F451,"" "",""""))),"""")"),"")</f>
        <v/>
      </c>
      <c r="M451" s="5" t="str">
        <f t="shared" si="6"/>
        <v/>
      </c>
      <c r="N451" s="5" t="str">
        <f>IFERROR(__xludf.DUMMYFUNCTION("IF(AND(F451&lt;&gt;"""",REGEXMATCH(SUBSTITUTE(F451,"" "",""""),""^-?\d+(\.\d+)?,-?\d+(\.\d+)?$""),VALUE(REGEXEXTRACT(SUBSTITUTE(F451,"" "",""""),""^-?\d+(\.\d+)?""))&gt;=-90,VALUE(REGEXEXTRACT(SUBSTITUTE(F451,"" "",""""),""^-?\d+(\.\d+)?""))&lt;=90,VALUE(REGEXEXTRACT"&amp;"(SUBSTITUTE(F451,"" "",""""),""-?\d+(\.\d+)?$""))&gt;=-180,VALUE(REGEXEXTRACT(SUBSTITUTE(F451,"" "",""""),""-?\d+(\.\d+)?$""))&lt;=180),""OK"",""REVISAR"")"),"#N/A")</f>
        <v>#N/A</v>
      </c>
    </row>
    <row r="452" ht="15.75" customHeight="1">
      <c r="A452" s="5" t="str">
        <f t="shared" si="1"/>
        <v>AD507-0450</v>
      </c>
      <c r="C452" s="5"/>
      <c r="F452" s="5"/>
      <c r="G452" s="5" t="str">
        <f t="shared" si="2"/>
        <v/>
      </c>
      <c r="H452" s="5" t="str">
        <f t="shared" si="3"/>
        <v/>
      </c>
      <c r="I452" s="5" t="str">
        <f t="shared" si="4"/>
        <v/>
      </c>
      <c r="J452" s="5" t="str">
        <f t="shared" si="5"/>
        <v/>
      </c>
      <c r="K452" s="5" t="str">
        <f>IFERROR(__xludf.DUMMYFUNCTION("IF(C452&lt;&gt;"""",HYPERLINK(""https://wa.me/507""&amp;REGEXREPLACE(C452,""[^0-9]"","""")&amp;""?text=""&amp;ENCODEURL(""Ya llegue. Codigo: ""&amp;A452&amp;"". Ubicacion: ""&amp;""https://www.google.com/maps/search/?api=1&amp;query=""&amp;SUBSTITUTE(F452,"" "","""")),""📲 Avisar al cliente"""&amp;"),"""")"),"")</f>
        <v/>
      </c>
      <c r="L452" s="5" t="str">
        <f>IFERROR(__xludf.DUMMYFUNCTION("IF(C452&lt;&gt;"""",""https://api.qrserver.com/v1/create-qr-code/?size=200x200&amp;data=""&amp;ENCODEURL(""https://wa.me/507""&amp;REGEXREPLACE(C452,""[^0-9]"","""")&amp;""?text=""&amp;ENCODEURL(""Ya llegue. Codigo: ""&amp;A452&amp;"". Ubicacion: ""&amp;""https://www.google.com/maps/search/?a"&amp;"pi=1&amp;query=""&amp;SUBSTITUTE(F452,"" "",""""))),"""")"),"")</f>
        <v/>
      </c>
      <c r="M452" s="5" t="str">
        <f t="shared" si="6"/>
        <v/>
      </c>
      <c r="N452" s="5" t="str">
        <f>IFERROR(__xludf.DUMMYFUNCTION("IF(AND(F452&lt;&gt;"""",REGEXMATCH(SUBSTITUTE(F452,"" "",""""),""^-?\d+(\.\d+)?,-?\d+(\.\d+)?$""),VALUE(REGEXEXTRACT(SUBSTITUTE(F452,"" "",""""),""^-?\d+(\.\d+)?""))&gt;=-90,VALUE(REGEXEXTRACT(SUBSTITUTE(F452,"" "",""""),""^-?\d+(\.\d+)?""))&lt;=90,VALUE(REGEXEXTRACT"&amp;"(SUBSTITUTE(F452,"" "",""""),""-?\d+(\.\d+)?$""))&gt;=-180,VALUE(REGEXEXTRACT(SUBSTITUTE(F452,"" "",""""),""-?\d+(\.\d+)?$""))&lt;=180),""OK"",""REVISAR"")"),"#N/A")</f>
        <v>#N/A</v>
      </c>
    </row>
    <row r="453" ht="15.75" customHeight="1">
      <c r="A453" s="5" t="str">
        <f t="shared" si="1"/>
        <v>AD507-0451</v>
      </c>
      <c r="C453" s="5"/>
      <c r="F453" s="5"/>
      <c r="G453" s="5" t="str">
        <f t="shared" si="2"/>
        <v/>
      </c>
      <c r="H453" s="5" t="str">
        <f t="shared" si="3"/>
        <v/>
      </c>
      <c r="I453" s="5" t="str">
        <f t="shared" si="4"/>
        <v/>
      </c>
      <c r="J453" s="5" t="str">
        <f t="shared" si="5"/>
        <v/>
      </c>
      <c r="K453" s="5" t="str">
        <f>IFERROR(__xludf.DUMMYFUNCTION("IF(C453&lt;&gt;"""",HYPERLINK(""https://wa.me/507""&amp;REGEXREPLACE(C453,""[^0-9]"","""")&amp;""?text=""&amp;ENCODEURL(""Ya llegue. Codigo: ""&amp;A453&amp;"". Ubicacion: ""&amp;""https://www.google.com/maps/search/?api=1&amp;query=""&amp;SUBSTITUTE(F453,"" "","""")),""📲 Avisar al cliente"""&amp;"),"""")"),"")</f>
        <v/>
      </c>
      <c r="L453" s="5" t="str">
        <f>IFERROR(__xludf.DUMMYFUNCTION("IF(C453&lt;&gt;"""",""https://api.qrserver.com/v1/create-qr-code/?size=200x200&amp;data=""&amp;ENCODEURL(""https://wa.me/507""&amp;REGEXREPLACE(C453,""[^0-9]"","""")&amp;""?text=""&amp;ENCODEURL(""Ya llegue. Codigo: ""&amp;A453&amp;"". Ubicacion: ""&amp;""https://www.google.com/maps/search/?a"&amp;"pi=1&amp;query=""&amp;SUBSTITUTE(F453,"" "",""""))),"""")"),"")</f>
        <v/>
      </c>
      <c r="M453" s="5" t="str">
        <f t="shared" si="6"/>
        <v/>
      </c>
      <c r="N453" s="5" t="str">
        <f>IFERROR(__xludf.DUMMYFUNCTION("IF(AND(F453&lt;&gt;"""",REGEXMATCH(SUBSTITUTE(F453,"" "",""""),""^-?\d+(\.\d+)?,-?\d+(\.\d+)?$""),VALUE(REGEXEXTRACT(SUBSTITUTE(F453,"" "",""""),""^-?\d+(\.\d+)?""))&gt;=-90,VALUE(REGEXEXTRACT(SUBSTITUTE(F453,"" "",""""),""^-?\d+(\.\d+)?""))&lt;=90,VALUE(REGEXEXTRACT"&amp;"(SUBSTITUTE(F453,"" "",""""),""-?\d+(\.\d+)?$""))&gt;=-180,VALUE(REGEXEXTRACT(SUBSTITUTE(F453,"" "",""""),""-?\d+(\.\d+)?$""))&lt;=180),""OK"",""REVISAR"")"),"#N/A")</f>
        <v>#N/A</v>
      </c>
    </row>
    <row r="454" ht="15.75" customHeight="1">
      <c r="A454" s="5" t="str">
        <f t="shared" si="1"/>
        <v>AD507-0452</v>
      </c>
      <c r="C454" s="5"/>
      <c r="F454" s="5"/>
      <c r="G454" s="5" t="str">
        <f t="shared" si="2"/>
        <v/>
      </c>
      <c r="H454" s="5" t="str">
        <f t="shared" si="3"/>
        <v/>
      </c>
      <c r="I454" s="5" t="str">
        <f t="shared" si="4"/>
        <v/>
      </c>
      <c r="J454" s="5" t="str">
        <f t="shared" si="5"/>
        <v/>
      </c>
      <c r="K454" s="5" t="str">
        <f>IFERROR(__xludf.DUMMYFUNCTION("IF(C454&lt;&gt;"""",HYPERLINK(""https://wa.me/507""&amp;REGEXREPLACE(C454,""[^0-9]"","""")&amp;""?text=""&amp;ENCODEURL(""Ya llegue. Codigo: ""&amp;A454&amp;"". Ubicacion: ""&amp;""https://www.google.com/maps/search/?api=1&amp;query=""&amp;SUBSTITUTE(F454,"" "","""")),""📲 Avisar al cliente"""&amp;"),"""")"),"")</f>
        <v/>
      </c>
      <c r="L454" s="5" t="str">
        <f>IFERROR(__xludf.DUMMYFUNCTION("IF(C454&lt;&gt;"""",""https://api.qrserver.com/v1/create-qr-code/?size=200x200&amp;data=""&amp;ENCODEURL(""https://wa.me/507""&amp;REGEXREPLACE(C454,""[^0-9]"","""")&amp;""?text=""&amp;ENCODEURL(""Ya llegue. Codigo: ""&amp;A454&amp;"". Ubicacion: ""&amp;""https://www.google.com/maps/search/?a"&amp;"pi=1&amp;query=""&amp;SUBSTITUTE(F454,"" "",""""))),"""")"),"")</f>
        <v/>
      </c>
      <c r="M454" s="5" t="str">
        <f t="shared" si="6"/>
        <v/>
      </c>
      <c r="N454" s="5" t="str">
        <f>IFERROR(__xludf.DUMMYFUNCTION("IF(AND(F454&lt;&gt;"""",REGEXMATCH(SUBSTITUTE(F454,"" "",""""),""^-?\d+(\.\d+)?,-?\d+(\.\d+)?$""),VALUE(REGEXEXTRACT(SUBSTITUTE(F454,"" "",""""),""^-?\d+(\.\d+)?""))&gt;=-90,VALUE(REGEXEXTRACT(SUBSTITUTE(F454,"" "",""""),""^-?\d+(\.\d+)?""))&lt;=90,VALUE(REGEXEXTRACT"&amp;"(SUBSTITUTE(F454,"" "",""""),""-?\d+(\.\d+)?$""))&gt;=-180,VALUE(REGEXEXTRACT(SUBSTITUTE(F454,"" "",""""),""-?\d+(\.\d+)?$""))&lt;=180),""OK"",""REVISAR"")"),"#N/A")</f>
        <v>#N/A</v>
      </c>
    </row>
    <row r="455" ht="15.75" customHeight="1">
      <c r="A455" s="5" t="str">
        <f t="shared" si="1"/>
        <v>AD507-0453</v>
      </c>
      <c r="C455" s="5"/>
      <c r="F455" s="5"/>
      <c r="G455" s="5" t="str">
        <f t="shared" si="2"/>
        <v/>
      </c>
      <c r="H455" s="5" t="str">
        <f t="shared" si="3"/>
        <v/>
      </c>
      <c r="I455" s="5" t="str">
        <f t="shared" si="4"/>
        <v/>
      </c>
      <c r="J455" s="5" t="str">
        <f t="shared" si="5"/>
        <v/>
      </c>
      <c r="K455" s="5" t="str">
        <f>IFERROR(__xludf.DUMMYFUNCTION("IF(C455&lt;&gt;"""",HYPERLINK(""https://wa.me/507""&amp;REGEXREPLACE(C455,""[^0-9]"","""")&amp;""?text=""&amp;ENCODEURL(""Ya llegue. Codigo: ""&amp;A455&amp;"". Ubicacion: ""&amp;""https://www.google.com/maps/search/?api=1&amp;query=""&amp;SUBSTITUTE(F455,"" "","""")),""📲 Avisar al cliente"""&amp;"),"""")"),"")</f>
        <v/>
      </c>
      <c r="L455" s="5" t="str">
        <f>IFERROR(__xludf.DUMMYFUNCTION("IF(C455&lt;&gt;"""",""https://api.qrserver.com/v1/create-qr-code/?size=200x200&amp;data=""&amp;ENCODEURL(""https://wa.me/507""&amp;REGEXREPLACE(C455,""[^0-9]"","""")&amp;""?text=""&amp;ENCODEURL(""Ya llegue. Codigo: ""&amp;A455&amp;"". Ubicacion: ""&amp;""https://www.google.com/maps/search/?a"&amp;"pi=1&amp;query=""&amp;SUBSTITUTE(F455,"" "",""""))),"""")"),"")</f>
        <v/>
      </c>
      <c r="M455" s="5" t="str">
        <f t="shared" si="6"/>
        <v/>
      </c>
      <c r="N455" s="5" t="str">
        <f>IFERROR(__xludf.DUMMYFUNCTION("IF(AND(F455&lt;&gt;"""",REGEXMATCH(SUBSTITUTE(F455,"" "",""""),""^-?\d+(\.\d+)?,-?\d+(\.\d+)?$""),VALUE(REGEXEXTRACT(SUBSTITUTE(F455,"" "",""""),""^-?\d+(\.\d+)?""))&gt;=-90,VALUE(REGEXEXTRACT(SUBSTITUTE(F455,"" "",""""),""^-?\d+(\.\d+)?""))&lt;=90,VALUE(REGEXEXTRACT"&amp;"(SUBSTITUTE(F455,"" "",""""),""-?\d+(\.\d+)?$""))&gt;=-180,VALUE(REGEXEXTRACT(SUBSTITUTE(F455,"" "",""""),""-?\d+(\.\d+)?$""))&lt;=180),""OK"",""REVISAR"")"),"#N/A")</f>
        <v>#N/A</v>
      </c>
    </row>
    <row r="456" ht="15.75" customHeight="1">
      <c r="A456" s="5" t="str">
        <f t="shared" si="1"/>
        <v>AD507-0454</v>
      </c>
      <c r="C456" s="5"/>
      <c r="F456" s="5"/>
      <c r="G456" s="5" t="str">
        <f t="shared" si="2"/>
        <v/>
      </c>
      <c r="H456" s="5" t="str">
        <f t="shared" si="3"/>
        <v/>
      </c>
      <c r="I456" s="5" t="str">
        <f t="shared" si="4"/>
        <v/>
      </c>
      <c r="J456" s="5" t="str">
        <f t="shared" si="5"/>
        <v/>
      </c>
      <c r="K456" s="5" t="str">
        <f>IFERROR(__xludf.DUMMYFUNCTION("IF(C456&lt;&gt;"""",HYPERLINK(""https://wa.me/507""&amp;REGEXREPLACE(C456,""[^0-9]"","""")&amp;""?text=""&amp;ENCODEURL(""Ya llegue. Codigo: ""&amp;A456&amp;"". Ubicacion: ""&amp;""https://www.google.com/maps/search/?api=1&amp;query=""&amp;SUBSTITUTE(F456,"" "","""")),""📲 Avisar al cliente"""&amp;"),"""")"),"")</f>
        <v/>
      </c>
      <c r="L456" s="5" t="str">
        <f>IFERROR(__xludf.DUMMYFUNCTION("IF(C456&lt;&gt;"""",""https://api.qrserver.com/v1/create-qr-code/?size=200x200&amp;data=""&amp;ENCODEURL(""https://wa.me/507""&amp;REGEXREPLACE(C456,""[^0-9]"","""")&amp;""?text=""&amp;ENCODEURL(""Ya llegue. Codigo: ""&amp;A456&amp;"". Ubicacion: ""&amp;""https://www.google.com/maps/search/?a"&amp;"pi=1&amp;query=""&amp;SUBSTITUTE(F456,"" "",""""))),"""")"),"")</f>
        <v/>
      </c>
      <c r="M456" s="5" t="str">
        <f t="shared" si="6"/>
        <v/>
      </c>
      <c r="N456" s="5" t="str">
        <f>IFERROR(__xludf.DUMMYFUNCTION("IF(AND(F456&lt;&gt;"""",REGEXMATCH(SUBSTITUTE(F456,"" "",""""),""^-?\d+(\.\d+)?,-?\d+(\.\d+)?$""),VALUE(REGEXEXTRACT(SUBSTITUTE(F456,"" "",""""),""^-?\d+(\.\d+)?""))&gt;=-90,VALUE(REGEXEXTRACT(SUBSTITUTE(F456,"" "",""""),""^-?\d+(\.\d+)?""))&lt;=90,VALUE(REGEXEXTRACT"&amp;"(SUBSTITUTE(F456,"" "",""""),""-?\d+(\.\d+)?$""))&gt;=-180,VALUE(REGEXEXTRACT(SUBSTITUTE(F456,"" "",""""),""-?\d+(\.\d+)?$""))&lt;=180),""OK"",""REVISAR"")"),"#N/A")</f>
        <v>#N/A</v>
      </c>
    </row>
    <row r="457" ht="15.75" customHeight="1">
      <c r="A457" s="5" t="str">
        <f t="shared" si="1"/>
        <v>AD507-0455</v>
      </c>
      <c r="C457" s="5"/>
      <c r="F457" s="5"/>
      <c r="G457" s="5" t="str">
        <f t="shared" si="2"/>
        <v/>
      </c>
      <c r="H457" s="5" t="str">
        <f t="shared" si="3"/>
        <v/>
      </c>
      <c r="I457" s="5" t="str">
        <f t="shared" si="4"/>
        <v/>
      </c>
      <c r="J457" s="5" t="str">
        <f t="shared" si="5"/>
        <v/>
      </c>
      <c r="K457" s="5" t="str">
        <f>IFERROR(__xludf.DUMMYFUNCTION("IF(C457&lt;&gt;"""",HYPERLINK(""https://wa.me/507""&amp;REGEXREPLACE(C457,""[^0-9]"","""")&amp;""?text=""&amp;ENCODEURL(""Ya llegue. Codigo: ""&amp;A457&amp;"". Ubicacion: ""&amp;""https://www.google.com/maps/search/?api=1&amp;query=""&amp;SUBSTITUTE(F457,"" "","""")),""📲 Avisar al cliente"""&amp;"),"""")"),"")</f>
        <v/>
      </c>
      <c r="L457" s="5" t="str">
        <f>IFERROR(__xludf.DUMMYFUNCTION("IF(C457&lt;&gt;"""",""https://api.qrserver.com/v1/create-qr-code/?size=200x200&amp;data=""&amp;ENCODEURL(""https://wa.me/507""&amp;REGEXREPLACE(C457,""[^0-9]"","""")&amp;""?text=""&amp;ENCODEURL(""Ya llegue. Codigo: ""&amp;A457&amp;"". Ubicacion: ""&amp;""https://www.google.com/maps/search/?a"&amp;"pi=1&amp;query=""&amp;SUBSTITUTE(F457,"" "",""""))),"""")"),"")</f>
        <v/>
      </c>
      <c r="M457" s="5" t="str">
        <f t="shared" si="6"/>
        <v/>
      </c>
      <c r="N457" s="5" t="str">
        <f>IFERROR(__xludf.DUMMYFUNCTION("IF(AND(F457&lt;&gt;"""",REGEXMATCH(SUBSTITUTE(F457,"" "",""""),""^-?\d+(\.\d+)?,-?\d+(\.\d+)?$""),VALUE(REGEXEXTRACT(SUBSTITUTE(F457,"" "",""""),""^-?\d+(\.\d+)?""))&gt;=-90,VALUE(REGEXEXTRACT(SUBSTITUTE(F457,"" "",""""),""^-?\d+(\.\d+)?""))&lt;=90,VALUE(REGEXEXTRACT"&amp;"(SUBSTITUTE(F457,"" "",""""),""-?\d+(\.\d+)?$""))&gt;=-180,VALUE(REGEXEXTRACT(SUBSTITUTE(F457,"" "",""""),""-?\d+(\.\d+)?$""))&lt;=180),""OK"",""REVISAR"")"),"#N/A")</f>
        <v>#N/A</v>
      </c>
    </row>
    <row r="458" ht="15.75" customHeight="1">
      <c r="A458" s="5" t="str">
        <f t="shared" si="1"/>
        <v>AD507-0456</v>
      </c>
      <c r="C458" s="5"/>
      <c r="F458" s="5"/>
      <c r="G458" s="5" t="str">
        <f t="shared" si="2"/>
        <v/>
      </c>
      <c r="H458" s="5" t="str">
        <f t="shared" si="3"/>
        <v/>
      </c>
      <c r="I458" s="5" t="str">
        <f t="shared" si="4"/>
        <v/>
      </c>
      <c r="J458" s="5" t="str">
        <f t="shared" si="5"/>
        <v/>
      </c>
      <c r="K458" s="5" t="str">
        <f>IFERROR(__xludf.DUMMYFUNCTION("IF(C458&lt;&gt;"""",HYPERLINK(""https://wa.me/507""&amp;REGEXREPLACE(C458,""[^0-9]"","""")&amp;""?text=""&amp;ENCODEURL(""Ya llegue. Codigo: ""&amp;A458&amp;"". Ubicacion: ""&amp;""https://www.google.com/maps/search/?api=1&amp;query=""&amp;SUBSTITUTE(F458,"" "","""")),""📲 Avisar al cliente"""&amp;"),"""")"),"")</f>
        <v/>
      </c>
      <c r="L458" s="5" t="str">
        <f>IFERROR(__xludf.DUMMYFUNCTION("IF(C458&lt;&gt;"""",""https://api.qrserver.com/v1/create-qr-code/?size=200x200&amp;data=""&amp;ENCODEURL(""https://wa.me/507""&amp;REGEXREPLACE(C458,""[^0-9]"","""")&amp;""?text=""&amp;ENCODEURL(""Ya llegue. Codigo: ""&amp;A458&amp;"". Ubicacion: ""&amp;""https://www.google.com/maps/search/?a"&amp;"pi=1&amp;query=""&amp;SUBSTITUTE(F458,"" "",""""))),"""")"),"")</f>
        <v/>
      </c>
      <c r="M458" s="5" t="str">
        <f t="shared" si="6"/>
        <v/>
      </c>
      <c r="N458" s="5" t="str">
        <f>IFERROR(__xludf.DUMMYFUNCTION("IF(AND(F458&lt;&gt;"""",REGEXMATCH(SUBSTITUTE(F458,"" "",""""),""^-?\d+(\.\d+)?,-?\d+(\.\d+)?$""),VALUE(REGEXEXTRACT(SUBSTITUTE(F458,"" "",""""),""^-?\d+(\.\d+)?""))&gt;=-90,VALUE(REGEXEXTRACT(SUBSTITUTE(F458,"" "",""""),""^-?\d+(\.\d+)?""))&lt;=90,VALUE(REGEXEXTRACT"&amp;"(SUBSTITUTE(F458,"" "",""""),""-?\d+(\.\d+)?$""))&gt;=-180,VALUE(REGEXEXTRACT(SUBSTITUTE(F458,"" "",""""),""-?\d+(\.\d+)?$""))&lt;=180),""OK"",""REVISAR"")"),"#N/A")</f>
        <v>#N/A</v>
      </c>
    </row>
    <row r="459" ht="15.75" customHeight="1">
      <c r="A459" s="5" t="str">
        <f t="shared" si="1"/>
        <v>AD507-0457</v>
      </c>
      <c r="C459" s="5"/>
      <c r="F459" s="5"/>
      <c r="G459" s="5" t="str">
        <f t="shared" si="2"/>
        <v/>
      </c>
      <c r="H459" s="5" t="str">
        <f t="shared" si="3"/>
        <v/>
      </c>
      <c r="I459" s="5" t="str">
        <f t="shared" si="4"/>
        <v/>
      </c>
      <c r="J459" s="5" t="str">
        <f t="shared" si="5"/>
        <v/>
      </c>
      <c r="K459" s="5" t="str">
        <f>IFERROR(__xludf.DUMMYFUNCTION("IF(C459&lt;&gt;"""",HYPERLINK(""https://wa.me/507""&amp;REGEXREPLACE(C459,""[^0-9]"","""")&amp;""?text=""&amp;ENCODEURL(""Ya llegue. Codigo: ""&amp;A459&amp;"". Ubicacion: ""&amp;""https://www.google.com/maps/search/?api=1&amp;query=""&amp;SUBSTITUTE(F459,"" "","""")),""📲 Avisar al cliente"""&amp;"),"""")"),"")</f>
        <v/>
      </c>
      <c r="L459" s="5" t="str">
        <f>IFERROR(__xludf.DUMMYFUNCTION("IF(C459&lt;&gt;"""",""https://api.qrserver.com/v1/create-qr-code/?size=200x200&amp;data=""&amp;ENCODEURL(""https://wa.me/507""&amp;REGEXREPLACE(C459,""[^0-9]"","""")&amp;""?text=""&amp;ENCODEURL(""Ya llegue. Codigo: ""&amp;A459&amp;"". Ubicacion: ""&amp;""https://www.google.com/maps/search/?a"&amp;"pi=1&amp;query=""&amp;SUBSTITUTE(F459,"" "",""""))),"""")"),"")</f>
        <v/>
      </c>
      <c r="M459" s="5" t="str">
        <f t="shared" si="6"/>
        <v/>
      </c>
      <c r="N459" s="5" t="str">
        <f>IFERROR(__xludf.DUMMYFUNCTION("IF(AND(F459&lt;&gt;"""",REGEXMATCH(SUBSTITUTE(F459,"" "",""""),""^-?\d+(\.\d+)?,-?\d+(\.\d+)?$""),VALUE(REGEXEXTRACT(SUBSTITUTE(F459,"" "",""""),""^-?\d+(\.\d+)?""))&gt;=-90,VALUE(REGEXEXTRACT(SUBSTITUTE(F459,"" "",""""),""^-?\d+(\.\d+)?""))&lt;=90,VALUE(REGEXEXTRACT"&amp;"(SUBSTITUTE(F459,"" "",""""),""-?\d+(\.\d+)?$""))&gt;=-180,VALUE(REGEXEXTRACT(SUBSTITUTE(F459,"" "",""""),""-?\d+(\.\d+)?$""))&lt;=180),""OK"",""REVISAR"")"),"#N/A")</f>
        <v>#N/A</v>
      </c>
    </row>
    <row r="460" ht="15.75" customHeight="1">
      <c r="A460" s="5" t="str">
        <f t="shared" si="1"/>
        <v>AD507-0458</v>
      </c>
      <c r="C460" s="5"/>
      <c r="F460" s="5"/>
      <c r="G460" s="5" t="str">
        <f t="shared" si="2"/>
        <v/>
      </c>
      <c r="H460" s="5" t="str">
        <f t="shared" si="3"/>
        <v/>
      </c>
      <c r="I460" s="5" t="str">
        <f t="shared" si="4"/>
        <v/>
      </c>
      <c r="J460" s="5" t="str">
        <f t="shared" si="5"/>
        <v/>
      </c>
      <c r="K460" s="5" t="str">
        <f>IFERROR(__xludf.DUMMYFUNCTION("IF(C460&lt;&gt;"""",HYPERLINK(""https://wa.me/507""&amp;REGEXREPLACE(C460,""[^0-9]"","""")&amp;""?text=""&amp;ENCODEURL(""Ya llegue. Codigo: ""&amp;A460&amp;"". Ubicacion: ""&amp;""https://www.google.com/maps/search/?api=1&amp;query=""&amp;SUBSTITUTE(F460,"" "","""")),""📲 Avisar al cliente"""&amp;"),"""")"),"")</f>
        <v/>
      </c>
      <c r="L460" s="5" t="str">
        <f>IFERROR(__xludf.DUMMYFUNCTION("IF(C460&lt;&gt;"""",""https://api.qrserver.com/v1/create-qr-code/?size=200x200&amp;data=""&amp;ENCODEURL(""https://wa.me/507""&amp;REGEXREPLACE(C460,""[^0-9]"","""")&amp;""?text=""&amp;ENCODEURL(""Ya llegue. Codigo: ""&amp;A460&amp;"". Ubicacion: ""&amp;""https://www.google.com/maps/search/?a"&amp;"pi=1&amp;query=""&amp;SUBSTITUTE(F460,"" "",""""))),"""")"),"")</f>
        <v/>
      </c>
      <c r="M460" s="5" t="str">
        <f t="shared" si="6"/>
        <v/>
      </c>
      <c r="N460" s="5" t="str">
        <f>IFERROR(__xludf.DUMMYFUNCTION("IF(AND(F460&lt;&gt;"""",REGEXMATCH(SUBSTITUTE(F460,"" "",""""),""^-?\d+(\.\d+)?,-?\d+(\.\d+)?$""),VALUE(REGEXEXTRACT(SUBSTITUTE(F460,"" "",""""),""^-?\d+(\.\d+)?""))&gt;=-90,VALUE(REGEXEXTRACT(SUBSTITUTE(F460,"" "",""""),""^-?\d+(\.\d+)?""))&lt;=90,VALUE(REGEXEXTRACT"&amp;"(SUBSTITUTE(F460,"" "",""""),""-?\d+(\.\d+)?$""))&gt;=-180,VALUE(REGEXEXTRACT(SUBSTITUTE(F460,"" "",""""),""-?\d+(\.\d+)?$""))&lt;=180),""OK"",""REVISAR"")"),"#N/A")</f>
        <v>#N/A</v>
      </c>
    </row>
    <row r="461" ht="15.75" customHeight="1">
      <c r="A461" s="5" t="str">
        <f t="shared" si="1"/>
        <v>AD507-0459</v>
      </c>
      <c r="C461" s="5"/>
      <c r="F461" s="5"/>
      <c r="G461" s="5" t="str">
        <f t="shared" si="2"/>
        <v/>
      </c>
      <c r="H461" s="5" t="str">
        <f t="shared" si="3"/>
        <v/>
      </c>
      <c r="I461" s="5" t="str">
        <f t="shared" si="4"/>
        <v/>
      </c>
      <c r="J461" s="5" t="str">
        <f t="shared" si="5"/>
        <v/>
      </c>
      <c r="K461" s="5" t="str">
        <f>IFERROR(__xludf.DUMMYFUNCTION("IF(C461&lt;&gt;"""",HYPERLINK(""https://wa.me/507""&amp;REGEXREPLACE(C461,""[^0-9]"","""")&amp;""?text=""&amp;ENCODEURL(""Ya llegue. Codigo: ""&amp;A461&amp;"". Ubicacion: ""&amp;""https://www.google.com/maps/search/?api=1&amp;query=""&amp;SUBSTITUTE(F461,"" "","""")),""📲 Avisar al cliente"""&amp;"),"""")"),"")</f>
        <v/>
      </c>
      <c r="L461" s="5" t="str">
        <f>IFERROR(__xludf.DUMMYFUNCTION("IF(C461&lt;&gt;"""",""https://api.qrserver.com/v1/create-qr-code/?size=200x200&amp;data=""&amp;ENCODEURL(""https://wa.me/507""&amp;REGEXREPLACE(C461,""[^0-9]"","""")&amp;""?text=""&amp;ENCODEURL(""Ya llegue. Codigo: ""&amp;A461&amp;"". Ubicacion: ""&amp;""https://www.google.com/maps/search/?a"&amp;"pi=1&amp;query=""&amp;SUBSTITUTE(F461,"" "",""""))),"""")"),"")</f>
        <v/>
      </c>
      <c r="M461" s="5" t="str">
        <f t="shared" si="6"/>
        <v/>
      </c>
      <c r="N461" s="5" t="str">
        <f>IFERROR(__xludf.DUMMYFUNCTION("IF(AND(F461&lt;&gt;"""",REGEXMATCH(SUBSTITUTE(F461,"" "",""""),""^-?\d+(\.\d+)?,-?\d+(\.\d+)?$""),VALUE(REGEXEXTRACT(SUBSTITUTE(F461,"" "",""""),""^-?\d+(\.\d+)?""))&gt;=-90,VALUE(REGEXEXTRACT(SUBSTITUTE(F461,"" "",""""),""^-?\d+(\.\d+)?""))&lt;=90,VALUE(REGEXEXTRACT"&amp;"(SUBSTITUTE(F461,"" "",""""),""-?\d+(\.\d+)?$""))&gt;=-180,VALUE(REGEXEXTRACT(SUBSTITUTE(F461,"" "",""""),""-?\d+(\.\d+)?$""))&lt;=180),""OK"",""REVISAR"")"),"#N/A")</f>
        <v>#N/A</v>
      </c>
    </row>
    <row r="462" ht="15.75" customHeight="1">
      <c r="A462" s="5" t="str">
        <f t="shared" si="1"/>
        <v>AD507-0460</v>
      </c>
      <c r="C462" s="5"/>
      <c r="F462" s="5"/>
      <c r="G462" s="5" t="str">
        <f t="shared" si="2"/>
        <v/>
      </c>
      <c r="H462" s="5" t="str">
        <f t="shared" si="3"/>
        <v/>
      </c>
      <c r="I462" s="5" t="str">
        <f t="shared" si="4"/>
        <v/>
      </c>
      <c r="J462" s="5" t="str">
        <f t="shared" si="5"/>
        <v/>
      </c>
      <c r="K462" s="5" t="str">
        <f>IFERROR(__xludf.DUMMYFUNCTION("IF(C462&lt;&gt;"""",HYPERLINK(""https://wa.me/507""&amp;REGEXREPLACE(C462,""[^0-9]"","""")&amp;""?text=""&amp;ENCODEURL(""Ya llegue. Codigo: ""&amp;A462&amp;"". Ubicacion: ""&amp;""https://www.google.com/maps/search/?api=1&amp;query=""&amp;SUBSTITUTE(F462,"" "","""")),""📲 Avisar al cliente"""&amp;"),"""")"),"")</f>
        <v/>
      </c>
      <c r="L462" s="5" t="str">
        <f>IFERROR(__xludf.DUMMYFUNCTION("IF(C462&lt;&gt;"""",""https://api.qrserver.com/v1/create-qr-code/?size=200x200&amp;data=""&amp;ENCODEURL(""https://wa.me/507""&amp;REGEXREPLACE(C462,""[^0-9]"","""")&amp;""?text=""&amp;ENCODEURL(""Ya llegue. Codigo: ""&amp;A462&amp;"". Ubicacion: ""&amp;""https://www.google.com/maps/search/?a"&amp;"pi=1&amp;query=""&amp;SUBSTITUTE(F462,"" "",""""))),"""")"),"")</f>
        <v/>
      </c>
      <c r="M462" s="5" t="str">
        <f t="shared" si="6"/>
        <v/>
      </c>
      <c r="N462" s="5" t="str">
        <f>IFERROR(__xludf.DUMMYFUNCTION("IF(AND(F462&lt;&gt;"""",REGEXMATCH(SUBSTITUTE(F462,"" "",""""),""^-?\d+(\.\d+)?,-?\d+(\.\d+)?$""),VALUE(REGEXEXTRACT(SUBSTITUTE(F462,"" "",""""),""^-?\d+(\.\d+)?""))&gt;=-90,VALUE(REGEXEXTRACT(SUBSTITUTE(F462,"" "",""""),""^-?\d+(\.\d+)?""))&lt;=90,VALUE(REGEXEXTRACT"&amp;"(SUBSTITUTE(F462,"" "",""""),""-?\d+(\.\d+)?$""))&gt;=-180,VALUE(REGEXEXTRACT(SUBSTITUTE(F462,"" "",""""),""-?\d+(\.\d+)?$""))&lt;=180),""OK"",""REVISAR"")"),"#N/A")</f>
        <v>#N/A</v>
      </c>
    </row>
    <row r="463" ht="15.75" customHeight="1">
      <c r="A463" s="5" t="str">
        <f t="shared" si="1"/>
        <v>AD507-0461</v>
      </c>
      <c r="C463" s="5"/>
      <c r="F463" s="5"/>
      <c r="G463" s="5" t="str">
        <f t="shared" si="2"/>
        <v/>
      </c>
      <c r="H463" s="5" t="str">
        <f t="shared" si="3"/>
        <v/>
      </c>
      <c r="I463" s="5" t="str">
        <f t="shared" si="4"/>
        <v/>
      </c>
      <c r="J463" s="5" t="str">
        <f t="shared" si="5"/>
        <v/>
      </c>
      <c r="K463" s="5" t="str">
        <f>IFERROR(__xludf.DUMMYFUNCTION("IF(C463&lt;&gt;"""",HYPERLINK(""https://wa.me/507""&amp;REGEXREPLACE(C463,""[^0-9]"","""")&amp;""?text=""&amp;ENCODEURL(""Ya llegue. Codigo: ""&amp;A463&amp;"". Ubicacion: ""&amp;""https://www.google.com/maps/search/?api=1&amp;query=""&amp;SUBSTITUTE(F463,"" "","""")),""📲 Avisar al cliente"""&amp;"),"""")"),"")</f>
        <v/>
      </c>
      <c r="L463" s="5" t="str">
        <f>IFERROR(__xludf.DUMMYFUNCTION("IF(C463&lt;&gt;"""",""https://api.qrserver.com/v1/create-qr-code/?size=200x200&amp;data=""&amp;ENCODEURL(""https://wa.me/507""&amp;REGEXREPLACE(C463,""[^0-9]"","""")&amp;""?text=""&amp;ENCODEURL(""Ya llegue. Codigo: ""&amp;A463&amp;"". Ubicacion: ""&amp;""https://www.google.com/maps/search/?a"&amp;"pi=1&amp;query=""&amp;SUBSTITUTE(F463,"" "",""""))),"""")"),"")</f>
        <v/>
      </c>
      <c r="M463" s="5" t="str">
        <f t="shared" si="6"/>
        <v/>
      </c>
      <c r="N463" s="5" t="str">
        <f>IFERROR(__xludf.DUMMYFUNCTION("IF(AND(F463&lt;&gt;"""",REGEXMATCH(SUBSTITUTE(F463,"" "",""""),""^-?\d+(\.\d+)?,-?\d+(\.\d+)?$""),VALUE(REGEXEXTRACT(SUBSTITUTE(F463,"" "",""""),""^-?\d+(\.\d+)?""))&gt;=-90,VALUE(REGEXEXTRACT(SUBSTITUTE(F463,"" "",""""),""^-?\d+(\.\d+)?""))&lt;=90,VALUE(REGEXEXTRACT"&amp;"(SUBSTITUTE(F463,"" "",""""),""-?\d+(\.\d+)?$""))&gt;=-180,VALUE(REGEXEXTRACT(SUBSTITUTE(F463,"" "",""""),""-?\d+(\.\d+)?$""))&lt;=180),""OK"",""REVISAR"")"),"#N/A")</f>
        <v>#N/A</v>
      </c>
    </row>
    <row r="464" ht="15.75" customHeight="1">
      <c r="A464" s="5" t="str">
        <f t="shared" si="1"/>
        <v>AD507-0462</v>
      </c>
      <c r="C464" s="5"/>
      <c r="F464" s="5"/>
      <c r="G464" s="5" t="str">
        <f t="shared" si="2"/>
        <v/>
      </c>
      <c r="H464" s="5" t="str">
        <f t="shared" si="3"/>
        <v/>
      </c>
      <c r="I464" s="5" t="str">
        <f t="shared" si="4"/>
        <v/>
      </c>
      <c r="J464" s="5" t="str">
        <f t="shared" si="5"/>
        <v/>
      </c>
      <c r="K464" s="5" t="str">
        <f>IFERROR(__xludf.DUMMYFUNCTION("IF(C464&lt;&gt;"""",HYPERLINK(""https://wa.me/507""&amp;REGEXREPLACE(C464,""[^0-9]"","""")&amp;""?text=""&amp;ENCODEURL(""Ya llegue. Codigo: ""&amp;A464&amp;"". Ubicacion: ""&amp;""https://www.google.com/maps/search/?api=1&amp;query=""&amp;SUBSTITUTE(F464,"" "","""")),""📲 Avisar al cliente"""&amp;"),"""")"),"")</f>
        <v/>
      </c>
      <c r="L464" s="5" t="str">
        <f>IFERROR(__xludf.DUMMYFUNCTION("IF(C464&lt;&gt;"""",""https://api.qrserver.com/v1/create-qr-code/?size=200x200&amp;data=""&amp;ENCODEURL(""https://wa.me/507""&amp;REGEXREPLACE(C464,""[^0-9]"","""")&amp;""?text=""&amp;ENCODEURL(""Ya llegue. Codigo: ""&amp;A464&amp;"". Ubicacion: ""&amp;""https://www.google.com/maps/search/?a"&amp;"pi=1&amp;query=""&amp;SUBSTITUTE(F464,"" "",""""))),"""")"),"")</f>
        <v/>
      </c>
      <c r="M464" s="5" t="str">
        <f t="shared" si="6"/>
        <v/>
      </c>
      <c r="N464" s="5" t="str">
        <f>IFERROR(__xludf.DUMMYFUNCTION("IF(AND(F464&lt;&gt;"""",REGEXMATCH(SUBSTITUTE(F464,"" "",""""),""^-?\d+(\.\d+)?,-?\d+(\.\d+)?$""),VALUE(REGEXEXTRACT(SUBSTITUTE(F464,"" "",""""),""^-?\d+(\.\d+)?""))&gt;=-90,VALUE(REGEXEXTRACT(SUBSTITUTE(F464,"" "",""""),""^-?\d+(\.\d+)?""))&lt;=90,VALUE(REGEXEXTRACT"&amp;"(SUBSTITUTE(F464,"" "",""""),""-?\d+(\.\d+)?$""))&gt;=-180,VALUE(REGEXEXTRACT(SUBSTITUTE(F464,"" "",""""),""-?\d+(\.\d+)?$""))&lt;=180),""OK"",""REVISAR"")"),"#N/A")</f>
        <v>#N/A</v>
      </c>
    </row>
    <row r="465" ht="15.75" customHeight="1">
      <c r="A465" s="5" t="str">
        <f t="shared" si="1"/>
        <v>AD507-0463</v>
      </c>
      <c r="C465" s="5"/>
      <c r="F465" s="5"/>
      <c r="G465" s="5" t="str">
        <f t="shared" si="2"/>
        <v/>
      </c>
      <c r="H465" s="5" t="str">
        <f t="shared" si="3"/>
        <v/>
      </c>
      <c r="I465" s="5" t="str">
        <f t="shared" si="4"/>
        <v/>
      </c>
      <c r="J465" s="5" t="str">
        <f t="shared" si="5"/>
        <v/>
      </c>
      <c r="K465" s="5" t="str">
        <f>IFERROR(__xludf.DUMMYFUNCTION("IF(C465&lt;&gt;"""",HYPERLINK(""https://wa.me/507""&amp;REGEXREPLACE(C465,""[^0-9]"","""")&amp;""?text=""&amp;ENCODEURL(""Ya llegue. Codigo: ""&amp;A465&amp;"". Ubicacion: ""&amp;""https://www.google.com/maps/search/?api=1&amp;query=""&amp;SUBSTITUTE(F465,"" "","""")),""📲 Avisar al cliente"""&amp;"),"""")"),"")</f>
        <v/>
      </c>
      <c r="L465" s="5" t="str">
        <f>IFERROR(__xludf.DUMMYFUNCTION("IF(C465&lt;&gt;"""",""https://api.qrserver.com/v1/create-qr-code/?size=200x200&amp;data=""&amp;ENCODEURL(""https://wa.me/507""&amp;REGEXREPLACE(C465,""[^0-9]"","""")&amp;""?text=""&amp;ENCODEURL(""Ya llegue. Codigo: ""&amp;A465&amp;"". Ubicacion: ""&amp;""https://www.google.com/maps/search/?a"&amp;"pi=1&amp;query=""&amp;SUBSTITUTE(F465,"" "",""""))),"""")"),"")</f>
        <v/>
      </c>
      <c r="M465" s="5" t="str">
        <f t="shared" si="6"/>
        <v/>
      </c>
      <c r="N465" s="5" t="str">
        <f>IFERROR(__xludf.DUMMYFUNCTION("IF(AND(F465&lt;&gt;"""",REGEXMATCH(SUBSTITUTE(F465,"" "",""""),""^-?\d+(\.\d+)?,-?\d+(\.\d+)?$""),VALUE(REGEXEXTRACT(SUBSTITUTE(F465,"" "",""""),""^-?\d+(\.\d+)?""))&gt;=-90,VALUE(REGEXEXTRACT(SUBSTITUTE(F465,"" "",""""),""^-?\d+(\.\d+)?""))&lt;=90,VALUE(REGEXEXTRACT"&amp;"(SUBSTITUTE(F465,"" "",""""),""-?\d+(\.\d+)?$""))&gt;=-180,VALUE(REGEXEXTRACT(SUBSTITUTE(F465,"" "",""""),""-?\d+(\.\d+)?$""))&lt;=180),""OK"",""REVISAR"")"),"#N/A")</f>
        <v>#N/A</v>
      </c>
    </row>
    <row r="466" ht="15.75" customHeight="1">
      <c r="A466" s="5" t="str">
        <f t="shared" si="1"/>
        <v>AD507-0464</v>
      </c>
      <c r="C466" s="5"/>
      <c r="F466" s="5"/>
      <c r="G466" s="5" t="str">
        <f t="shared" si="2"/>
        <v/>
      </c>
      <c r="H466" s="5" t="str">
        <f t="shared" si="3"/>
        <v/>
      </c>
      <c r="I466" s="5" t="str">
        <f t="shared" si="4"/>
        <v/>
      </c>
      <c r="J466" s="5" t="str">
        <f t="shared" si="5"/>
        <v/>
      </c>
      <c r="K466" s="5" t="str">
        <f>IFERROR(__xludf.DUMMYFUNCTION("IF(C466&lt;&gt;"""",HYPERLINK(""https://wa.me/507""&amp;REGEXREPLACE(C466,""[^0-9]"","""")&amp;""?text=""&amp;ENCODEURL(""Ya llegue. Codigo: ""&amp;A466&amp;"". Ubicacion: ""&amp;""https://www.google.com/maps/search/?api=1&amp;query=""&amp;SUBSTITUTE(F466,"" "","""")),""📲 Avisar al cliente"""&amp;"),"""")"),"")</f>
        <v/>
      </c>
      <c r="L466" s="5" t="str">
        <f>IFERROR(__xludf.DUMMYFUNCTION("IF(C466&lt;&gt;"""",""https://api.qrserver.com/v1/create-qr-code/?size=200x200&amp;data=""&amp;ENCODEURL(""https://wa.me/507""&amp;REGEXREPLACE(C466,""[^0-9]"","""")&amp;""?text=""&amp;ENCODEURL(""Ya llegue. Codigo: ""&amp;A466&amp;"". Ubicacion: ""&amp;""https://www.google.com/maps/search/?a"&amp;"pi=1&amp;query=""&amp;SUBSTITUTE(F466,"" "",""""))),"""")"),"")</f>
        <v/>
      </c>
      <c r="M466" s="5" t="str">
        <f t="shared" si="6"/>
        <v/>
      </c>
      <c r="N466" s="5" t="str">
        <f>IFERROR(__xludf.DUMMYFUNCTION("IF(AND(F466&lt;&gt;"""",REGEXMATCH(SUBSTITUTE(F466,"" "",""""),""^-?\d+(\.\d+)?,-?\d+(\.\d+)?$""),VALUE(REGEXEXTRACT(SUBSTITUTE(F466,"" "",""""),""^-?\d+(\.\d+)?""))&gt;=-90,VALUE(REGEXEXTRACT(SUBSTITUTE(F466,"" "",""""),""^-?\d+(\.\d+)?""))&lt;=90,VALUE(REGEXEXTRACT"&amp;"(SUBSTITUTE(F466,"" "",""""),""-?\d+(\.\d+)?$""))&gt;=-180,VALUE(REGEXEXTRACT(SUBSTITUTE(F466,"" "",""""),""-?\d+(\.\d+)?$""))&lt;=180),""OK"",""REVISAR"")"),"#N/A")</f>
        <v>#N/A</v>
      </c>
    </row>
    <row r="467" ht="15.75" customHeight="1">
      <c r="A467" s="5" t="str">
        <f t="shared" si="1"/>
        <v>AD507-0465</v>
      </c>
      <c r="C467" s="5"/>
      <c r="F467" s="5"/>
      <c r="G467" s="5" t="str">
        <f t="shared" si="2"/>
        <v/>
      </c>
      <c r="H467" s="5" t="str">
        <f t="shared" si="3"/>
        <v/>
      </c>
      <c r="I467" s="5" t="str">
        <f t="shared" si="4"/>
        <v/>
      </c>
      <c r="J467" s="5" t="str">
        <f t="shared" si="5"/>
        <v/>
      </c>
      <c r="K467" s="5" t="str">
        <f>IFERROR(__xludf.DUMMYFUNCTION("IF(C467&lt;&gt;"""",HYPERLINK(""https://wa.me/507""&amp;REGEXREPLACE(C467,""[^0-9]"","""")&amp;""?text=""&amp;ENCODEURL(""Ya llegue. Codigo: ""&amp;A467&amp;"". Ubicacion: ""&amp;""https://www.google.com/maps/search/?api=1&amp;query=""&amp;SUBSTITUTE(F467,"" "","""")),""📲 Avisar al cliente"""&amp;"),"""")"),"")</f>
        <v/>
      </c>
      <c r="L467" s="5" t="str">
        <f>IFERROR(__xludf.DUMMYFUNCTION("IF(C467&lt;&gt;"""",""https://api.qrserver.com/v1/create-qr-code/?size=200x200&amp;data=""&amp;ENCODEURL(""https://wa.me/507""&amp;REGEXREPLACE(C467,""[^0-9]"","""")&amp;""?text=""&amp;ENCODEURL(""Ya llegue. Codigo: ""&amp;A467&amp;"". Ubicacion: ""&amp;""https://www.google.com/maps/search/?a"&amp;"pi=1&amp;query=""&amp;SUBSTITUTE(F467,"" "",""""))),"""")"),"")</f>
        <v/>
      </c>
      <c r="M467" s="5" t="str">
        <f t="shared" si="6"/>
        <v/>
      </c>
      <c r="N467" s="5" t="str">
        <f>IFERROR(__xludf.DUMMYFUNCTION("IF(AND(F467&lt;&gt;"""",REGEXMATCH(SUBSTITUTE(F467,"" "",""""),""^-?\d+(\.\d+)?,-?\d+(\.\d+)?$""),VALUE(REGEXEXTRACT(SUBSTITUTE(F467,"" "",""""),""^-?\d+(\.\d+)?""))&gt;=-90,VALUE(REGEXEXTRACT(SUBSTITUTE(F467,"" "",""""),""^-?\d+(\.\d+)?""))&lt;=90,VALUE(REGEXEXTRACT"&amp;"(SUBSTITUTE(F467,"" "",""""),""-?\d+(\.\d+)?$""))&gt;=-180,VALUE(REGEXEXTRACT(SUBSTITUTE(F467,"" "",""""),""-?\d+(\.\d+)?$""))&lt;=180),""OK"",""REVISAR"")"),"#N/A")</f>
        <v>#N/A</v>
      </c>
    </row>
    <row r="468" ht="15.75" customHeight="1">
      <c r="A468" s="5" t="str">
        <f t="shared" si="1"/>
        <v>AD507-0466</v>
      </c>
      <c r="C468" s="5"/>
      <c r="F468" s="5"/>
      <c r="G468" s="5" t="str">
        <f t="shared" si="2"/>
        <v/>
      </c>
      <c r="H468" s="5" t="str">
        <f t="shared" si="3"/>
        <v/>
      </c>
      <c r="I468" s="5" t="str">
        <f t="shared" si="4"/>
        <v/>
      </c>
      <c r="J468" s="5" t="str">
        <f t="shared" si="5"/>
        <v/>
      </c>
      <c r="K468" s="5" t="str">
        <f>IFERROR(__xludf.DUMMYFUNCTION("IF(C468&lt;&gt;"""",HYPERLINK(""https://wa.me/507""&amp;REGEXREPLACE(C468,""[^0-9]"","""")&amp;""?text=""&amp;ENCODEURL(""Ya llegue. Codigo: ""&amp;A468&amp;"". Ubicacion: ""&amp;""https://www.google.com/maps/search/?api=1&amp;query=""&amp;SUBSTITUTE(F468,"" "","""")),""📲 Avisar al cliente"""&amp;"),"""")"),"")</f>
        <v/>
      </c>
      <c r="L468" s="5" t="str">
        <f>IFERROR(__xludf.DUMMYFUNCTION("IF(C468&lt;&gt;"""",""https://api.qrserver.com/v1/create-qr-code/?size=200x200&amp;data=""&amp;ENCODEURL(""https://wa.me/507""&amp;REGEXREPLACE(C468,""[^0-9]"","""")&amp;""?text=""&amp;ENCODEURL(""Ya llegue. Codigo: ""&amp;A468&amp;"". Ubicacion: ""&amp;""https://www.google.com/maps/search/?a"&amp;"pi=1&amp;query=""&amp;SUBSTITUTE(F468,"" "",""""))),"""")"),"")</f>
        <v/>
      </c>
      <c r="M468" s="5" t="str">
        <f t="shared" si="6"/>
        <v/>
      </c>
      <c r="N468" s="5" t="str">
        <f>IFERROR(__xludf.DUMMYFUNCTION("IF(AND(F468&lt;&gt;"""",REGEXMATCH(SUBSTITUTE(F468,"" "",""""),""^-?\d+(\.\d+)?,-?\d+(\.\d+)?$""),VALUE(REGEXEXTRACT(SUBSTITUTE(F468,"" "",""""),""^-?\d+(\.\d+)?""))&gt;=-90,VALUE(REGEXEXTRACT(SUBSTITUTE(F468,"" "",""""),""^-?\d+(\.\d+)?""))&lt;=90,VALUE(REGEXEXTRACT"&amp;"(SUBSTITUTE(F468,"" "",""""),""-?\d+(\.\d+)?$""))&gt;=-180,VALUE(REGEXEXTRACT(SUBSTITUTE(F468,"" "",""""),""-?\d+(\.\d+)?$""))&lt;=180),""OK"",""REVISAR"")"),"#N/A")</f>
        <v>#N/A</v>
      </c>
    </row>
    <row r="469" ht="15.75" customHeight="1">
      <c r="A469" s="5" t="str">
        <f t="shared" si="1"/>
        <v>AD507-0467</v>
      </c>
      <c r="C469" s="5"/>
      <c r="F469" s="5"/>
      <c r="G469" s="5" t="str">
        <f t="shared" si="2"/>
        <v/>
      </c>
      <c r="H469" s="5" t="str">
        <f t="shared" si="3"/>
        <v/>
      </c>
      <c r="I469" s="5" t="str">
        <f t="shared" si="4"/>
        <v/>
      </c>
      <c r="J469" s="5" t="str">
        <f t="shared" si="5"/>
        <v/>
      </c>
      <c r="K469" s="5" t="str">
        <f>IFERROR(__xludf.DUMMYFUNCTION("IF(C469&lt;&gt;"""",HYPERLINK(""https://wa.me/507""&amp;REGEXREPLACE(C469,""[^0-9]"","""")&amp;""?text=""&amp;ENCODEURL(""Ya llegue. Codigo: ""&amp;A469&amp;"". Ubicacion: ""&amp;""https://www.google.com/maps/search/?api=1&amp;query=""&amp;SUBSTITUTE(F469,"" "","""")),""📲 Avisar al cliente"""&amp;"),"""")"),"")</f>
        <v/>
      </c>
      <c r="L469" s="5" t="str">
        <f>IFERROR(__xludf.DUMMYFUNCTION("IF(C469&lt;&gt;"""",""https://api.qrserver.com/v1/create-qr-code/?size=200x200&amp;data=""&amp;ENCODEURL(""https://wa.me/507""&amp;REGEXREPLACE(C469,""[^0-9]"","""")&amp;""?text=""&amp;ENCODEURL(""Ya llegue. Codigo: ""&amp;A469&amp;"". Ubicacion: ""&amp;""https://www.google.com/maps/search/?a"&amp;"pi=1&amp;query=""&amp;SUBSTITUTE(F469,"" "",""""))),"""")"),"")</f>
        <v/>
      </c>
      <c r="M469" s="5" t="str">
        <f t="shared" si="6"/>
        <v/>
      </c>
      <c r="N469" s="5" t="str">
        <f>IFERROR(__xludf.DUMMYFUNCTION("IF(AND(F469&lt;&gt;"""",REGEXMATCH(SUBSTITUTE(F469,"" "",""""),""^-?\d+(\.\d+)?,-?\d+(\.\d+)?$""),VALUE(REGEXEXTRACT(SUBSTITUTE(F469,"" "",""""),""^-?\d+(\.\d+)?""))&gt;=-90,VALUE(REGEXEXTRACT(SUBSTITUTE(F469,"" "",""""),""^-?\d+(\.\d+)?""))&lt;=90,VALUE(REGEXEXTRACT"&amp;"(SUBSTITUTE(F469,"" "",""""),""-?\d+(\.\d+)?$""))&gt;=-180,VALUE(REGEXEXTRACT(SUBSTITUTE(F469,"" "",""""),""-?\d+(\.\d+)?$""))&lt;=180),""OK"",""REVISAR"")"),"#N/A")</f>
        <v>#N/A</v>
      </c>
    </row>
    <row r="470" ht="15.75" customHeight="1">
      <c r="A470" s="5" t="str">
        <f t="shared" si="1"/>
        <v>AD507-0468</v>
      </c>
      <c r="C470" s="5"/>
      <c r="F470" s="5"/>
      <c r="G470" s="5" t="str">
        <f t="shared" si="2"/>
        <v/>
      </c>
      <c r="H470" s="5" t="str">
        <f t="shared" si="3"/>
        <v/>
      </c>
      <c r="I470" s="5" t="str">
        <f t="shared" si="4"/>
        <v/>
      </c>
      <c r="J470" s="5" t="str">
        <f t="shared" si="5"/>
        <v/>
      </c>
      <c r="K470" s="5" t="str">
        <f>IFERROR(__xludf.DUMMYFUNCTION("IF(C470&lt;&gt;"""",HYPERLINK(""https://wa.me/507""&amp;REGEXREPLACE(C470,""[^0-9]"","""")&amp;""?text=""&amp;ENCODEURL(""Ya llegue. Codigo: ""&amp;A470&amp;"". Ubicacion: ""&amp;""https://www.google.com/maps/search/?api=1&amp;query=""&amp;SUBSTITUTE(F470,"" "","""")),""📲 Avisar al cliente"""&amp;"),"""")"),"")</f>
        <v/>
      </c>
      <c r="L470" s="5" t="str">
        <f>IFERROR(__xludf.DUMMYFUNCTION("IF(C470&lt;&gt;"""",""https://api.qrserver.com/v1/create-qr-code/?size=200x200&amp;data=""&amp;ENCODEURL(""https://wa.me/507""&amp;REGEXREPLACE(C470,""[^0-9]"","""")&amp;""?text=""&amp;ENCODEURL(""Ya llegue. Codigo: ""&amp;A470&amp;"". Ubicacion: ""&amp;""https://www.google.com/maps/search/?a"&amp;"pi=1&amp;query=""&amp;SUBSTITUTE(F470,"" "",""""))),"""")"),"")</f>
        <v/>
      </c>
      <c r="M470" s="5" t="str">
        <f t="shared" si="6"/>
        <v/>
      </c>
      <c r="N470" s="5" t="str">
        <f>IFERROR(__xludf.DUMMYFUNCTION("IF(AND(F470&lt;&gt;"""",REGEXMATCH(SUBSTITUTE(F470,"" "",""""),""^-?\d+(\.\d+)?,-?\d+(\.\d+)?$""),VALUE(REGEXEXTRACT(SUBSTITUTE(F470,"" "",""""),""^-?\d+(\.\d+)?""))&gt;=-90,VALUE(REGEXEXTRACT(SUBSTITUTE(F470,"" "",""""),""^-?\d+(\.\d+)?""))&lt;=90,VALUE(REGEXEXTRACT"&amp;"(SUBSTITUTE(F470,"" "",""""),""-?\d+(\.\d+)?$""))&gt;=-180,VALUE(REGEXEXTRACT(SUBSTITUTE(F470,"" "",""""),""-?\d+(\.\d+)?$""))&lt;=180),""OK"",""REVISAR"")"),"#N/A")</f>
        <v>#N/A</v>
      </c>
    </row>
    <row r="471" ht="15.75" customHeight="1">
      <c r="A471" s="5" t="str">
        <f t="shared" si="1"/>
        <v>AD507-0469</v>
      </c>
      <c r="C471" s="5"/>
      <c r="F471" s="5"/>
      <c r="G471" s="5" t="str">
        <f t="shared" si="2"/>
        <v/>
      </c>
      <c r="H471" s="5" t="str">
        <f t="shared" si="3"/>
        <v/>
      </c>
      <c r="I471" s="5" t="str">
        <f t="shared" si="4"/>
        <v/>
      </c>
      <c r="J471" s="5" t="str">
        <f t="shared" si="5"/>
        <v/>
      </c>
      <c r="K471" s="5" t="str">
        <f>IFERROR(__xludf.DUMMYFUNCTION("IF(C471&lt;&gt;"""",HYPERLINK(""https://wa.me/507""&amp;REGEXREPLACE(C471,""[^0-9]"","""")&amp;""?text=""&amp;ENCODEURL(""Ya llegue. Codigo: ""&amp;A471&amp;"". Ubicacion: ""&amp;""https://www.google.com/maps/search/?api=1&amp;query=""&amp;SUBSTITUTE(F471,"" "","""")),""📲 Avisar al cliente"""&amp;"),"""")"),"")</f>
        <v/>
      </c>
      <c r="L471" s="5" t="str">
        <f>IFERROR(__xludf.DUMMYFUNCTION("IF(C471&lt;&gt;"""",""https://api.qrserver.com/v1/create-qr-code/?size=200x200&amp;data=""&amp;ENCODEURL(""https://wa.me/507""&amp;REGEXREPLACE(C471,""[^0-9]"","""")&amp;""?text=""&amp;ENCODEURL(""Ya llegue. Codigo: ""&amp;A471&amp;"". Ubicacion: ""&amp;""https://www.google.com/maps/search/?a"&amp;"pi=1&amp;query=""&amp;SUBSTITUTE(F471,"" "",""""))),"""")"),"")</f>
        <v/>
      </c>
      <c r="M471" s="5" t="str">
        <f t="shared" si="6"/>
        <v/>
      </c>
      <c r="N471" s="5" t="str">
        <f>IFERROR(__xludf.DUMMYFUNCTION("IF(AND(F471&lt;&gt;"""",REGEXMATCH(SUBSTITUTE(F471,"" "",""""),""^-?\d+(\.\d+)?,-?\d+(\.\d+)?$""),VALUE(REGEXEXTRACT(SUBSTITUTE(F471,"" "",""""),""^-?\d+(\.\d+)?""))&gt;=-90,VALUE(REGEXEXTRACT(SUBSTITUTE(F471,"" "",""""),""^-?\d+(\.\d+)?""))&lt;=90,VALUE(REGEXEXTRACT"&amp;"(SUBSTITUTE(F471,"" "",""""),""-?\d+(\.\d+)?$""))&gt;=-180,VALUE(REGEXEXTRACT(SUBSTITUTE(F471,"" "",""""),""-?\d+(\.\d+)?$""))&lt;=180),""OK"",""REVISAR"")"),"#N/A")</f>
        <v>#N/A</v>
      </c>
    </row>
    <row r="472" ht="15.75" customHeight="1">
      <c r="A472" s="5" t="str">
        <f t="shared" si="1"/>
        <v>AD507-0470</v>
      </c>
      <c r="C472" s="5"/>
      <c r="F472" s="5"/>
      <c r="G472" s="5" t="str">
        <f t="shared" si="2"/>
        <v/>
      </c>
      <c r="H472" s="5" t="str">
        <f t="shared" si="3"/>
        <v/>
      </c>
      <c r="I472" s="5" t="str">
        <f t="shared" si="4"/>
        <v/>
      </c>
      <c r="J472" s="5" t="str">
        <f t="shared" si="5"/>
        <v/>
      </c>
      <c r="K472" s="5" t="str">
        <f>IFERROR(__xludf.DUMMYFUNCTION("IF(C472&lt;&gt;"""",HYPERLINK(""https://wa.me/507""&amp;REGEXREPLACE(C472,""[^0-9]"","""")&amp;""?text=""&amp;ENCODEURL(""Ya llegue. Codigo: ""&amp;A472&amp;"". Ubicacion: ""&amp;""https://www.google.com/maps/search/?api=1&amp;query=""&amp;SUBSTITUTE(F472,"" "","""")),""📲 Avisar al cliente"""&amp;"),"""")"),"")</f>
        <v/>
      </c>
      <c r="L472" s="5" t="str">
        <f>IFERROR(__xludf.DUMMYFUNCTION("IF(C472&lt;&gt;"""",""https://api.qrserver.com/v1/create-qr-code/?size=200x200&amp;data=""&amp;ENCODEURL(""https://wa.me/507""&amp;REGEXREPLACE(C472,""[^0-9]"","""")&amp;""?text=""&amp;ENCODEURL(""Ya llegue. Codigo: ""&amp;A472&amp;"". Ubicacion: ""&amp;""https://www.google.com/maps/search/?a"&amp;"pi=1&amp;query=""&amp;SUBSTITUTE(F472,"" "",""""))),"""")"),"")</f>
        <v/>
      </c>
      <c r="M472" s="5" t="str">
        <f t="shared" si="6"/>
        <v/>
      </c>
      <c r="N472" s="5" t="str">
        <f>IFERROR(__xludf.DUMMYFUNCTION("IF(AND(F472&lt;&gt;"""",REGEXMATCH(SUBSTITUTE(F472,"" "",""""),""^-?\d+(\.\d+)?,-?\d+(\.\d+)?$""),VALUE(REGEXEXTRACT(SUBSTITUTE(F472,"" "",""""),""^-?\d+(\.\d+)?""))&gt;=-90,VALUE(REGEXEXTRACT(SUBSTITUTE(F472,"" "",""""),""^-?\d+(\.\d+)?""))&lt;=90,VALUE(REGEXEXTRACT"&amp;"(SUBSTITUTE(F472,"" "",""""),""-?\d+(\.\d+)?$""))&gt;=-180,VALUE(REGEXEXTRACT(SUBSTITUTE(F472,"" "",""""),""-?\d+(\.\d+)?$""))&lt;=180),""OK"",""REVISAR"")"),"#N/A")</f>
        <v>#N/A</v>
      </c>
    </row>
    <row r="473" ht="15.75" customHeight="1">
      <c r="A473" s="5" t="str">
        <f t="shared" si="1"/>
        <v>AD507-0471</v>
      </c>
      <c r="C473" s="5"/>
      <c r="F473" s="5"/>
      <c r="G473" s="5" t="str">
        <f t="shared" si="2"/>
        <v/>
      </c>
      <c r="H473" s="5" t="str">
        <f t="shared" si="3"/>
        <v/>
      </c>
      <c r="I473" s="5" t="str">
        <f t="shared" si="4"/>
        <v/>
      </c>
      <c r="J473" s="5" t="str">
        <f t="shared" si="5"/>
        <v/>
      </c>
      <c r="K473" s="5" t="str">
        <f>IFERROR(__xludf.DUMMYFUNCTION("IF(C473&lt;&gt;"""",HYPERLINK(""https://wa.me/507""&amp;REGEXREPLACE(C473,""[^0-9]"","""")&amp;""?text=""&amp;ENCODEURL(""Ya llegue. Codigo: ""&amp;A473&amp;"". Ubicacion: ""&amp;""https://www.google.com/maps/search/?api=1&amp;query=""&amp;SUBSTITUTE(F473,"" "","""")),""📲 Avisar al cliente"""&amp;"),"""")"),"")</f>
        <v/>
      </c>
      <c r="L473" s="5" t="str">
        <f>IFERROR(__xludf.DUMMYFUNCTION("IF(C473&lt;&gt;"""",""https://api.qrserver.com/v1/create-qr-code/?size=200x200&amp;data=""&amp;ENCODEURL(""https://wa.me/507""&amp;REGEXREPLACE(C473,""[^0-9]"","""")&amp;""?text=""&amp;ENCODEURL(""Ya llegue. Codigo: ""&amp;A473&amp;"". Ubicacion: ""&amp;""https://www.google.com/maps/search/?a"&amp;"pi=1&amp;query=""&amp;SUBSTITUTE(F473,"" "",""""))),"""")"),"")</f>
        <v/>
      </c>
      <c r="M473" s="5" t="str">
        <f t="shared" si="6"/>
        <v/>
      </c>
      <c r="N473" s="5" t="str">
        <f>IFERROR(__xludf.DUMMYFUNCTION("IF(AND(F473&lt;&gt;"""",REGEXMATCH(SUBSTITUTE(F473,"" "",""""),""^-?\d+(\.\d+)?,-?\d+(\.\d+)?$""),VALUE(REGEXEXTRACT(SUBSTITUTE(F473,"" "",""""),""^-?\d+(\.\d+)?""))&gt;=-90,VALUE(REGEXEXTRACT(SUBSTITUTE(F473,"" "",""""),""^-?\d+(\.\d+)?""))&lt;=90,VALUE(REGEXEXTRACT"&amp;"(SUBSTITUTE(F473,"" "",""""),""-?\d+(\.\d+)?$""))&gt;=-180,VALUE(REGEXEXTRACT(SUBSTITUTE(F473,"" "",""""),""-?\d+(\.\d+)?$""))&lt;=180),""OK"",""REVISAR"")"),"#N/A")</f>
        <v>#N/A</v>
      </c>
    </row>
    <row r="474" ht="15.75" customHeight="1">
      <c r="A474" s="5" t="str">
        <f t="shared" si="1"/>
        <v>AD507-0472</v>
      </c>
      <c r="C474" s="5"/>
      <c r="F474" s="5"/>
      <c r="G474" s="5" t="str">
        <f t="shared" si="2"/>
        <v/>
      </c>
      <c r="H474" s="5" t="str">
        <f t="shared" si="3"/>
        <v/>
      </c>
      <c r="I474" s="5" t="str">
        <f t="shared" si="4"/>
        <v/>
      </c>
      <c r="J474" s="5" t="str">
        <f t="shared" si="5"/>
        <v/>
      </c>
      <c r="K474" s="5" t="str">
        <f>IFERROR(__xludf.DUMMYFUNCTION("IF(C474&lt;&gt;"""",HYPERLINK(""https://wa.me/507""&amp;REGEXREPLACE(C474,""[^0-9]"","""")&amp;""?text=""&amp;ENCODEURL(""Ya llegue. Codigo: ""&amp;A474&amp;"". Ubicacion: ""&amp;""https://www.google.com/maps/search/?api=1&amp;query=""&amp;SUBSTITUTE(F474,"" "","""")),""📲 Avisar al cliente"""&amp;"),"""")"),"")</f>
        <v/>
      </c>
      <c r="L474" s="5" t="str">
        <f>IFERROR(__xludf.DUMMYFUNCTION("IF(C474&lt;&gt;"""",""https://api.qrserver.com/v1/create-qr-code/?size=200x200&amp;data=""&amp;ENCODEURL(""https://wa.me/507""&amp;REGEXREPLACE(C474,""[^0-9]"","""")&amp;""?text=""&amp;ENCODEURL(""Ya llegue. Codigo: ""&amp;A474&amp;"". Ubicacion: ""&amp;""https://www.google.com/maps/search/?a"&amp;"pi=1&amp;query=""&amp;SUBSTITUTE(F474,"" "",""""))),"""")"),"")</f>
        <v/>
      </c>
      <c r="M474" s="5" t="str">
        <f t="shared" si="6"/>
        <v/>
      </c>
      <c r="N474" s="5" t="str">
        <f>IFERROR(__xludf.DUMMYFUNCTION("IF(AND(F474&lt;&gt;"""",REGEXMATCH(SUBSTITUTE(F474,"" "",""""),""^-?\d+(\.\d+)?,-?\d+(\.\d+)?$""),VALUE(REGEXEXTRACT(SUBSTITUTE(F474,"" "",""""),""^-?\d+(\.\d+)?""))&gt;=-90,VALUE(REGEXEXTRACT(SUBSTITUTE(F474,"" "",""""),""^-?\d+(\.\d+)?""))&lt;=90,VALUE(REGEXEXTRACT"&amp;"(SUBSTITUTE(F474,"" "",""""),""-?\d+(\.\d+)?$""))&gt;=-180,VALUE(REGEXEXTRACT(SUBSTITUTE(F474,"" "",""""),""-?\d+(\.\d+)?$""))&lt;=180),""OK"",""REVISAR"")"),"#N/A")</f>
        <v>#N/A</v>
      </c>
    </row>
    <row r="475" ht="15.75" customHeight="1">
      <c r="A475" s="5" t="str">
        <f t="shared" si="1"/>
        <v>AD507-0473</v>
      </c>
      <c r="C475" s="5"/>
      <c r="F475" s="5"/>
      <c r="G475" s="5" t="str">
        <f t="shared" si="2"/>
        <v/>
      </c>
      <c r="H475" s="5" t="str">
        <f t="shared" si="3"/>
        <v/>
      </c>
      <c r="I475" s="5" t="str">
        <f t="shared" si="4"/>
        <v/>
      </c>
      <c r="J475" s="5" t="str">
        <f t="shared" si="5"/>
        <v/>
      </c>
      <c r="K475" s="5" t="str">
        <f>IFERROR(__xludf.DUMMYFUNCTION("IF(C475&lt;&gt;"""",HYPERLINK(""https://wa.me/507""&amp;REGEXREPLACE(C475,""[^0-9]"","""")&amp;""?text=""&amp;ENCODEURL(""Ya llegue. Codigo: ""&amp;A475&amp;"". Ubicacion: ""&amp;""https://www.google.com/maps/search/?api=1&amp;query=""&amp;SUBSTITUTE(F475,"" "","""")),""📲 Avisar al cliente"""&amp;"),"""")"),"")</f>
        <v/>
      </c>
      <c r="L475" s="5" t="str">
        <f>IFERROR(__xludf.DUMMYFUNCTION("IF(C475&lt;&gt;"""",""https://api.qrserver.com/v1/create-qr-code/?size=200x200&amp;data=""&amp;ENCODEURL(""https://wa.me/507""&amp;REGEXREPLACE(C475,""[^0-9]"","""")&amp;""?text=""&amp;ENCODEURL(""Ya llegue. Codigo: ""&amp;A475&amp;"". Ubicacion: ""&amp;""https://www.google.com/maps/search/?a"&amp;"pi=1&amp;query=""&amp;SUBSTITUTE(F475,"" "",""""))),"""")"),"")</f>
        <v/>
      </c>
      <c r="M475" s="5" t="str">
        <f t="shared" si="6"/>
        <v/>
      </c>
      <c r="N475" s="5" t="str">
        <f>IFERROR(__xludf.DUMMYFUNCTION("IF(AND(F475&lt;&gt;"""",REGEXMATCH(SUBSTITUTE(F475,"" "",""""),""^-?\d+(\.\d+)?,-?\d+(\.\d+)?$""),VALUE(REGEXEXTRACT(SUBSTITUTE(F475,"" "",""""),""^-?\d+(\.\d+)?""))&gt;=-90,VALUE(REGEXEXTRACT(SUBSTITUTE(F475,"" "",""""),""^-?\d+(\.\d+)?""))&lt;=90,VALUE(REGEXEXTRACT"&amp;"(SUBSTITUTE(F475,"" "",""""),""-?\d+(\.\d+)?$""))&gt;=-180,VALUE(REGEXEXTRACT(SUBSTITUTE(F475,"" "",""""),""-?\d+(\.\d+)?$""))&lt;=180),""OK"",""REVISAR"")"),"#N/A")</f>
        <v>#N/A</v>
      </c>
    </row>
    <row r="476" ht="15.75" customHeight="1">
      <c r="A476" s="5" t="str">
        <f t="shared" si="1"/>
        <v>AD507-0474</v>
      </c>
      <c r="C476" s="5"/>
      <c r="F476" s="5"/>
      <c r="G476" s="5" t="str">
        <f t="shared" si="2"/>
        <v/>
      </c>
      <c r="H476" s="5" t="str">
        <f t="shared" si="3"/>
        <v/>
      </c>
      <c r="I476" s="5" t="str">
        <f t="shared" si="4"/>
        <v/>
      </c>
      <c r="J476" s="5" t="str">
        <f t="shared" si="5"/>
        <v/>
      </c>
      <c r="K476" s="5" t="str">
        <f>IFERROR(__xludf.DUMMYFUNCTION("IF(C476&lt;&gt;"""",HYPERLINK(""https://wa.me/507""&amp;REGEXREPLACE(C476,""[^0-9]"","""")&amp;""?text=""&amp;ENCODEURL(""Ya llegue. Codigo: ""&amp;A476&amp;"". Ubicacion: ""&amp;""https://www.google.com/maps/search/?api=1&amp;query=""&amp;SUBSTITUTE(F476,"" "","""")),""📲 Avisar al cliente"""&amp;"),"""")"),"")</f>
        <v/>
      </c>
      <c r="L476" s="5" t="str">
        <f>IFERROR(__xludf.DUMMYFUNCTION("IF(C476&lt;&gt;"""",""https://api.qrserver.com/v1/create-qr-code/?size=200x200&amp;data=""&amp;ENCODEURL(""https://wa.me/507""&amp;REGEXREPLACE(C476,""[^0-9]"","""")&amp;""?text=""&amp;ENCODEURL(""Ya llegue. Codigo: ""&amp;A476&amp;"". Ubicacion: ""&amp;""https://www.google.com/maps/search/?a"&amp;"pi=1&amp;query=""&amp;SUBSTITUTE(F476,"" "",""""))),"""")"),"")</f>
        <v/>
      </c>
      <c r="M476" s="5" t="str">
        <f t="shared" si="6"/>
        <v/>
      </c>
      <c r="N476" s="5" t="str">
        <f>IFERROR(__xludf.DUMMYFUNCTION("IF(AND(F476&lt;&gt;"""",REGEXMATCH(SUBSTITUTE(F476,"" "",""""),""^-?\d+(\.\d+)?,-?\d+(\.\d+)?$""),VALUE(REGEXEXTRACT(SUBSTITUTE(F476,"" "",""""),""^-?\d+(\.\d+)?""))&gt;=-90,VALUE(REGEXEXTRACT(SUBSTITUTE(F476,"" "",""""),""^-?\d+(\.\d+)?""))&lt;=90,VALUE(REGEXEXTRACT"&amp;"(SUBSTITUTE(F476,"" "",""""),""-?\d+(\.\d+)?$""))&gt;=-180,VALUE(REGEXEXTRACT(SUBSTITUTE(F476,"" "",""""),""-?\d+(\.\d+)?$""))&lt;=180),""OK"",""REVISAR"")"),"#N/A")</f>
        <v>#N/A</v>
      </c>
    </row>
    <row r="477" ht="15.75" customHeight="1">
      <c r="A477" s="5" t="str">
        <f t="shared" si="1"/>
        <v>AD507-0475</v>
      </c>
      <c r="C477" s="5"/>
      <c r="F477" s="5"/>
      <c r="G477" s="5" t="str">
        <f t="shared" si="2"/>
        <v/>
      </c>
      <c r="H477" s="5" t="str">
        <f t="shared" si="3"/>
        <v/>
      </c>
      <c r="I477" s="5" t="str">
        <f t="shared" si="4"/>
        <v/>
      </c>
      <c r="J477" s="5" t="str">
        <f t="shared" si="5"/>
        <v/>
      </c>
      <c r="K477" s="5" t="str">
        <f>IFERROR(__xludf.DUMMYFUNCTION("IF(C477&lt;&gt;"""",HYPERLINK(""https://wa.me/507""&amp;REGEXREPLACE(C477,""[^0-9]"","""")&amp;""?text=""&amp;ENCODEURL(""Ya llegue. Codigo: ""&amp;A477&amp;"". Ubicacion: ""&amp;""https://www.google.com/maps/search/?api=1&amp;query=""&amp;SUBSTITUTE(F477,"" "","""")),""📲 Avisar al cliente"""&amp;"),"""")"),"")</f>
        <v/>
      </c>
      <c r="L477" s="5" t="str">
        <f>IFERROR(__xludf.DUMMYFUNCTION("IF(C477&lt;&gt;"""",""https://api.qrserver.com/v1/create-qr-code/?size=200x200&amp;data=""&amp;ENCODEURL(""https://wa.me/507""&amp;REGEXREPLACE(C477,""[^0-9]"","""")&amp;""?text=""&amp;ENCODEURL(""Ya llegue. Codigo: ""&amp;A477&amp;"". Ubicacion: ""&amp;""https://www.google.com/maps/search/?a"&amp;"pi=1&amp;query=""&amp;SUBSTITUTE(F477,"" "",""""))),"""")"),"")</f>
        <v/>
      </c>
      <c r="M477" s="5" t="str">
        <f t="shared" si="6"/>
        <v/>
      </c>
      <c r="N477" s="5" t="str">
        <f>IFERROR(__xludf.DUMMYFUNCTION("IF(AND(F477&lt;&gt;"""",REGEXMATCH(SUBSTITUTE(F477,"" "",""""),""^-?\d+(\.\d+)?,-?\d+(\.\d+)?$""),VALUE(REGEXEXTRACT(SUBSTITUTE(F477,"" "",""""),""^-?\d+(\.\d+)?""))&gt;=-90,VALUE(REGEXEXTRACT(SUBSTITUTE(F477,"" "",""""),""^-?\d+(\.\d+)?""))&lt;=90,VALUE(REGEXEXTRACT"&amp;"(SUBSTITUTE(F477,"" "",""""),""-?\d+(\.\d+)?$""))&gt;=-180,VALUE(REGEXEXTRACT(SUBSTITUTE(F477,"" "",""""),""-?\d+(\.\d+)?$""))&lt;=180),""OK"",""REVISAR"")"),"#N/A")</f>
        <v>#N/A</v>
      </c>
    </row>
    <row r="478" ht="15.75" customHeight="1">
      <c r="A478" s="5" t="str">
        <f t="shared" si="1"/>
        <v>AD507-0476</v>
      </c>
      <c r="C478" s="5"/>
      <c r="F478" s="5"/>
      <c r="G478" s="5" t="str">
        <f t="shared" si="2"/>
        <v/>
      </c>
      <c r="H478" s="5" t="str">
        <f t="shared" si="3"/>
        <v/>
      </c>
      <c r="I478" s="5" t="str">
        <f t="shared" si="4"/>
        <v/>
      </c>
      <c r="J478" s="5" t="str">
        <f t="shared" si="5"/>
        <v/>
      </c>
      <c r="K478" s="5" t="str">
        <f>IFERROR(__xludf.DUMMYFUNCTION("IF(C478&lt;&gt;"""",HYPERLINK(""https://wa.me/507""&amp;REGEXREPLACE(C478,""[^0-9]"","""")&amp;""?text=""&amp;ENCODEURL(""Ya llegue. Codigo: ""&amp;A478&amp;"". Ubicacion: ""&amp;""https://www.google.com/maps/search/?api=1&amp;query=""&amp;SUBSTITUTE(F478,"" "","""")),""📲 Avisar al cliente"""&amp;"),"""")"),"")</f>
        <v/>
      </c>
      <c r="L478" s="5" t="str">
        <f>IFERROR(__xludf.DUMMYFUNCTION("IF(C478&lt;&gt;"""",""https://api.qrserver.com/v1/create-qr-code/?size=200x200&amp;data=""&amp;ENCODEURL(""https://wa.me/507""&amp;REGEXREPLACE(C478,""[^0-9]"","""")&amp;""?text=""&amp;ENCODEURL(""Ya llegue. Codigo: ""&amp;A478&amp;"". Ubicacion: ""&amp;""https://www.google.com/maps/search/?a"&amp;"pi=1&amp;query=""&amp;SUBSTITUTE(F478,"" "",""""))),"""")"),"")</f>
        <v/>
      </c>
      <c r="M478" s="5" t="str">
        <f t="shared" si="6"/>
        <v/>
      </c>
      <c r="N478" s="5" t="str">
        <f>IFERROR(__xludf.DUMMYFUNCTION("IF(AND(F478&lt;&gt;"""",REGEXMATCH(SUBSTITUTE(F478,"" "",""""),""^-?\d+(\.\d+)?,-?\d+(\.\d+)?$""),VALUE(REGEXEXTRACT(SUBSTITUTE(F478,"" "",""""),""^-?\d+(\.\d+)?""))&gt;=-90,VALUE(REGEXEXTRACT(SUBSTITUTE(F478,"" "",""""),""^-?\d+(\.\d+)?""))&lt;=90,VALUE(REGEXEXTRACT"&amp;"(SUBSTITUTE(F478,"" "",""""),""-?\d+(\.\d+)?$""))&gt;=-180,VALUE(REGEXEXTRACT(SUBSTITUTE(F478,"" "",""""),""-?\d+(\.\d+)?$""))&lt;=180),""OK"",""REVISAR"")"),"#N/A")</f>
        <v>#N/A</v>
      </c>
    </row>
    <row r="479" ht="15.75" customHeight="1">
      <c r="A479" s="5" t="str">
        <f t="shared" si="1"/>
        <v>AD507-0477</v>
      </c>
      <c r="C479" s="5"/>
      <c r="F479" s="5"/>
      <c r="G479" s="5" t="str">
        <f t="shared" si="2"/>
        <v/>
      </c>
      <c r="H479" s="5" t="str">
        <f t="shared" si="3"/>
        <v/>
      </c>
      <c r="I479" s="5" t="str">
        <f t="shared" si="4"/>
        <v/>
      </c>
      <c r="J479" s="5" t="str">
        <f t="shared" si="5"/>
        <v/>
      </c>
      <c r="K479" s="5" t="str">
        <f>IFERROR(__xludf.DUMMYFUNCTION("IF(C479&lt;&gt;"""",HYPERLINK(""https://wa.me/507""&amp;REGEXREPLACE(C479,""[^0-9]"","""")&amp;""?text=""&amp;ENCODEURL(""Ya llegue. Codigo: ""&amp;A479&amp;"". Ubicacion: ""&amp;""https://www.google.com/maps/search/?api=1&amp;query=""&amp;SUBSTITUTE(F479,"" "","""")),""📲 Avisar al cliente"""&amp;"),"""")"),"")</f>
        <v/>
      </c>
      <c r="L479" s="5" t="str">
        <f>IFERROR(__xludf.DUMMYFUNCTION("IF(C479&lt;&gt;"""",""https://api.qrserver.com/v1/create-qr-code/?size=200x200&amp;data=""&amp;ENCODEURL(""https://wa.me/507""&amp;REGEXREPLACE(C479,""[^0-9]"","""")&amp;""?text=""&amp;ENCODEURL(""Ya llegue. Codigo: ""&amp;A479&amp;"". Ubicacion: ""&amp;""https://www.google.com/maps/search/?a"&amp;"pi=1&amp;query=""&amp;SUBSTITUTE(F479,"" "",""""))),"""")"),"")</f>
        <v/>
      </c>
      <c r="M479" s="5" t="str">
        <f t="shared" si="6"/>
        <v/>
      </c>
      <c r="N479" s="5" t="str">
        <f>IFERROR(__xludf.DUMMYFUNCTION("IF(AND(F479&lt;&gt;"""",REGEXMATCH(SUBSTITUTE(F479,"" "",""""),""^-?\d+(\.\d+)?,-?\d+(\.\d+)?$""),VALUE(REGEXEXTRACT(SUBSTITUTE(F479,"" "",""""),""^-?\d+(\.\d+)?""))&gt;=-90,VALUE(REGEXEXTRACT(SUBSTITUTE(F479,"" "",""""),""^-?\d+(\.\d+)?""))&lt;=90,VALUE(REGEXEXTRACT"&amp;"(SUBSTITUTE(F479,"" "",""""),""-?\d+(\.\d+)?$""))&gt;=-180,VALUE(REGEXEXTRACT(SUBSTITUTE(F479,"" "",""""),""-?\d+(\.\d+)?$""))&lt;=180),""OK"",""REVISAR"")"),"#N/A")</f>
        <v>#N/A</v>
      </c>
    </row>
    <row r="480" ht="15.75" customHeight="1">
      <c r="A480" s="5" t="str">
        <f t="shared" si="1"/>
        <v>AD507-0478</v>
      </c>
      <c r="C480" s="5"/>
      <c r="F480" s="5"/>
      <c r="G480" s="5" t="str">
        <f t="shared" si="2"/>
        <v/>
      </c>
      <c r="H480" s="5" t="str">
        <f t="shared" si="3"/>
        <v/>
      </c>
      <c r="I480" s="5" t="str">
        <f t="shared" si="4"/>
        <v/>
      </c>
      <c r="J480" s="5" t="str">
        <f t="shared" si="5"/>
        <v/>
      </c>
      <c r="K480" s="5" t="str">
        <f>IFERROR(__xludf.DUMMYFUNCTION("IF(C480&lt;&gt;"""",HYPERLINK(""https://wa.me/507""&amp;REGEXREPLACE(C480,""[^0-9]"","""")&amp;""?text=""&amp;ENCODEURL(""Ya llegue. Codigo: ""&amp;A480&amp;"". Ubicacion: ""&amp;""https://www.google.com/maps/search/?api=1&amp;query=""&amp;SUBSTITUTE(F480,"" "","""")),""📲 Avisar al cliente"""&amp;"),"""")"),"")</f>
        <v/>
      </c>
      <c r="L480" s="5" t="str">
        <f>IFERROR(__xludf.DUMMYFUNCTION("IF(C480&lt;&gt;"""",""https://api.qrserver.com/v1/create-qr-code/?size=200x200&amp;data=""&amp;ENCODEURL(""https://wa.me/507""&amp;REGEXREPLACE(C480,""[^0-9]"","""")&amp;""?text=""&amp;ENCODEURL(""Ya llegue. Codigo: ""&amp;A480&amp;"". Ubicacion: ""&amp;""https://www.google.com/maps/search/?a"&amp;"pi=1&amp;query=""&amp;SUBSTITUTE(F480,"" "",""""))),"""")"),"")</f>
        <v/>
      </c>
      <c r="M480" s="5" t="str">
        <f t="shared" si="6"/>
        <v/>
      </c>
      <c r="N480" s="5" t="str">
        <f>IFERROR(__xludf.DUMMYFUNCTION("IF(AND(F480&lt;&gt;"""",REGEXMATCH(SUBSTITUTE(F480,"" "",""""),""^-?\d+(\.\d+)?,-?\d+(\.\d+)?$""),VALUE(REGEXEXTRACT(SUBSTITUTE(F480,"" "",""""),""^-?\d+(\.\d+)?""))&gt;=-90,VALUE(REGEXEXTRACT(SUBSTITUTE(F480,"" "",""""),""^-?\d+(\.\d+)?""))&lt;=90,VALUE(REGEXEXTRACT"&amp;"(SUBSTITUTE(F480,"" "",""""),""-?\d+(\.\d+)?$""))&gt;=-180,VALUE(REGEXEXTRACT(SUBSTITUTE(F480,"" "",""""),""-?\d+(\.\d+)?$""))&lt;=180),""OK"",""REVISAR"")"),"#N/A")</f>
        <v>#N/A</v>
      </c>
    </row>
    <row r="481" ht="15.75" customHeight="1">
      <c r="A481" s="5" t="str">
        <f t="shared" si="1"/>
        <v>AD507-0479</v>
      </c>
      <c r="C481" s="5"/>
      <c r="F481" s="5"/>
      <c r="G481" s="5" t="str">
        <f t="shared" si="2"/>
        <v/>
      </c>
      <c r="H481" s="5" t="str">
        <f t="shared" si="3"/>
        <v/>
      </c>
      <c r="I481" s="5" t="str">
        <f t="shared" si="4"/>
        <v/>
      </c>
      <c r="J481" s="5" t="str">
        <f t="shared" si="5"/>
        <v/>
      </c>
      <c r="K481" s="5" t="str">
        <f>IFERROR(__xludf.DUMMYFUNCTION("IF(C481&lt;&gt;"""",HYPERLINK(""https://wa.me/507""&amp;REGEXREPLACE(C481,""[^0-9]"","""")&amp;""?text=""&amp;ENCODEURL(""Ya llegue. Codigo: ""&amp;A481&amp;"". Ubicacion: ""&amp;""https://www.google.com/maps/search/?api=1&amp;query=""&amp;SUBSTITUTE(F481,"" "","""")),""📲 Avisar al cliente"""&amp;"),"""")"),"")</f>
        <v/>
      </c>
      <c r="L481" s="5" t="str">
        <f>IFERROR(__xludf.DUMMYFUNCTION("IF(C481&lt;&gt;"""",""https://api.qrserver.com/v1/create-qr-code/?size=200x200&amp;data=""&amp;ENCODEURL(""https://wa.me/507""&amp;REGEXREPLACE(C481,""[^0-9]"","""")&amp;""?text=""&amp;ENCODEURL(""Ya llegue. Codigo: ""&amp;A481&amp;"". Ubicacion: ""&amp;""https://www.google.com/maps/search/?a"&amp;"pi=1&amp;query=""&amp;SUBSTITUTE(F481,"" "",""""))),"""")"),"")</f>
        <v/>
      </c>
      <c r="M481" s="5" t="str">
        <f t="shared" si="6"/>
        <v/>
      </c>
      <c r="N481" s="5" t="str">
        <f>IFERROR(__xludf.DUMMYFUNCTION("IF(AND(F481&lt;&gt;"""",REGEXMATCH(SUBSTITUTE(F481,"" "",""""),""^-?\d+(\.\d+)?,-?\d+(\.\d+)?$""),VALUE(REGEXEXTRACT(SUBSTITUTE(F481,"" "",""""),""^-?\d+(\.\d+)?""))&gt;=-90,VALUE(REGEXEXTRACT(SUBSTITUTE(F481,"" "",""""),""^-?\d+(\.\d+)?""))&lt;=90,VALUE(REGEXEXTRACT"&amp;"(SUBSTITUTE(F481,"" "",""""),""-?\d+(\.\d+)?$""))&gt;=-180,VALUE(REGEXEXTRACT(SUBSTITUTE(F481,"" "",""""),""-?\d+(\.\d+)?$""))&lt;=180),""OK"",""REVISAR"")"),"#N/A")</f>
        <v>#N/A</v>
      </c>
    </row>
    <row r="482" ht="15.75" customHeight="1">
      <c r="A482" s="5" t="str">
        <f t="shared" si="1"/>
        <v>AD507-0480</v>
      </c>
      <c r="C482" s="5"/>
      <c r="F482" s="5"/>
      <c r="G482" s="5" t="str">
        <f t="shared" si="2"/>
        <v/>
      </c>
      <c r="H482" s="5" t="str">
        <f t="shared" si="3"/>
        <v/>
      </c>
      <c r="I482" s="5" t="str">
        <f t="shared" si="4"/>
        <v/>
      </c>
      <c r="J482" s="5" t="str">
        <f t="shared" si="5"/>
        <v/>
      </c>
      <c r="K482" s="5" t="str">
        <f>IFERROR(__xludf.DUMMYFUNCTION("IF(C482&lt;&gt;"""",HYPERLINK(""https://wa.me/507""&amp;REGEXREPLACE(C482,""[^0-9]"","""")&amp;""?text=""&amp;ENCODEURL(""Ya llegue. Codigo: ""&amp;A482&amp;"". Ubicacion: ""&amp;""https://www.google.com/maps/search/?api=1&amp;query=""&amp;SUBSTITUTE(F482,"" "","""")),""📲 Avisar al cliente"""&amp;"),"""")"),"")</f>
        <v/>
      </c>
      <c r="L482" s="5" t="str">
        <f>IFERROR(__xludf.DUMMYFUNCTION("IF(C482&lt;&gt;"""",""https://api.qrserver.com/v1/create-qr-code/?size=200x200&amp;data=""&amp;ENCODEURL(""https://wa.me/507""&amp;REGEXREPLACE(C482,""[^0-9]"","""")&amp;""?text=""&amp;ENCODEURL(""Ya llegue. Codigo: ""&amp;A482&amp;"". Ubicacion: ""&amp;""https://www.google.com/maps/search/?a"&amp;"pi=1&amp;query=""&amp;SUBSTITUTE(F482,"" "",""""))),"""")"),"")</f>
        <v/>
      </c>
      <c r="M482" s="5" t="str">
        <f t="shared" si="6"/>
        <v/>
      </c>
      <c r="N482" s="5" t="str">
        <f>IFERROR(__xludf.DUMMYFUNCTION("IF(AND(F482&lt;&gt;"""",REGEXMATCH(SUBSTITUTE(F482,"" "",""""),""^-?\d+(\.\d+)?,-?\d+(\.\d+)?$""),VALUE(REGEXEXTRACT(SUBSTITUTE(F482,"" "",""""),""^-?\d+(\.\d+)?""))&gt;=-90,VALUE(REGEXEXTRACT(SUBSTITUTE(F482,"" "",""""),""^-?\d+(\.\d+)?""))&lt;=90,VALUE(REGEXEXTRACT"&amp;"(SUBSTITUTE(F482,"" "",""""),""-?\d+(\.\d+)?$""))&gt;=-180,VALUE(REGEXEXTRACT(SUBSTITUTE(F482,"" "",""""),""-?\d+(\.\d+)?$""))&lt;=180),""OK"",""REVISAR"")"),"#N/A")</f>
        <v>#N/A</v>
      </c>
    </row>
    <row r="483" ht="15.75" customHeight="1">
      <c r="A483" s="5" t="str">
        <f t="shared" si="1"/>
        <v>AD507-0481</v>
      </c>
      <c r="C483" s="5"/>
      <c r="F483" s="5"/>
      <c r="G483" s="5" t="str">
        <f t="shared" si="2"/>
        <v/>
      </c>
      <c r="H483" s="5" t="str">
        <f t="shared" si="3"/>
        <v/>
      </c>
      <c r="I483" s="5" t="str">
        <f t="shared" si="4"/>
        <v/>
      </c>
      <c r="J483" s="5" t="str">
        <f t="shared" si="5"/>
        <v/>
      </c>
      <c r="K483" s="5" t="str">
        <f>IFERROR(__xludf.DUMMYFUNCTION("IF(C483&lt;&gt;"""",HYPERLINK(""https://wa.me/507""&amp;REGEXREPLACE(C483,""[^0-9]"","""")&amp;""?text=""&amp;ENCODEURL(""Ya llegue. Codigo: ""&amp;A483&amp;"". Ubicacion: ""&amp;""https://www.google.com/maps/search/?api=1&amp;query=""&amp;SUBSTITUTE(F483,"" "","""")),""📲 Avisar al cliente"""&amp;"),"""")"),"")</f>
        <v/>
      </c>
      <c r="L483" s="5" t="str">
        <f>IFERROR(__xludf.DUMMYFUNCTION("IF(C483&lt;&gt;"""",""https://api.qrserver.com/v1/create-qr-code/?size=200x200&amp;data=""&amp;ENCODEURL(""https://wa.me/507""&amp;REGEXREPLACE(C483,""[^0-9]"","""")&amp;""?text=""&amp;ENCODEURL(""Ya llegue. Codigo: ""&amp;A483&amp;"". Ubicacion: ""&amp;""https://www.google.com/maps/search/?a"&amp;"pi=1&amp;query=""&amp;SUBSTITUTE(F483,"" "",""""))),"""")"),"")</f>
        <v/>
      </c>
      <c r="M483" s="5" t="str">
        <f t="shared" si="6"/>
        <v/>
      </c>
      <c r="N483" s="5" t="str">
        <f>IFERROR(__xludf.DUMMYFUNCTION("IF(AND(F483&lt;&gt;"""",REGEXMATCH(SUBSTITUTE(F483,"" "",""""),""^-?\d+(\.\d+)?,-?\d+(\.\d+)?$""),VALUE(REGEXEXTRACT(SUBSTITUTE(F483,"" "",""""),""^-?\d+(\.\d+)?""))&gt;=-90,VALUE(REGEXEXTRACT(SUBSTITUTE(F483,"" "",""""),""^-?\d+(\.\d+)?""))&lt;=90,VALUE(REGEXEXTRACT"&amp;"(SUBSTITUTE(F483,"" "",""""),""-?\d+(\.\d+)?$""))&gt;=-180,VALUE(REGEXEXTRACT(SUBSTITUTE(F483,"" "",""""),""-?\d+(\.\d+)?$""))&lt;=180),""OK"",""REVISAR"")"),"#N/A")</f>
        <v>#N/A</v>
      </c>
    </row>
    <row r="484" ht="15.75" customHeight="1">
      <c r="A484" s="5" t="str">
        <f t="shared" si="1"/>
        <v>AD507-0482</v>
      </c>
      <c r="C484" s="5"/>
      <c r="F484" s="5"/>
      <c r="G484" s="5" t="str">
        <f t="shared" si="2"/>
        <v/>
      </c>
      <c r="H484" s="5" t="str">
        <f t="shared" si="3"/>
        <v/>
      </c>
      <c r="I484" s="5" t="str">
        <f t="shared" si="4"/>
        <v/>
      </c>
      <c r="J484" s="5" t="str">
        <f t="shared" si="5"/>
        <v/>
      </c>
      <c r="K484" s="5" t="str">
        <f>IFERROR(__xludf.DUMMYFUNCTION("IF(C484&lt;&gt;"""",HYPERLINK(""https://wa.me/507""&amp;REGEXREPLACE(C484,""[^0-9]"","""")&amp;""?text=""&amp;ENCODEURL(""Ya llegue. Codigo: ""&amp;A484&amp;"". Ubicacion: ""&amp;""https://www.google.com/maps/search/?api=1&amp;query=""&amp;SUBSTITUTE(F484,"" "","""")),""📲 Avisar al cliente"""&amp;"),"""")"),"")</f>
        <v/>
      </c>
      <c r="L484" s="5" t="str">
        <f>IFERROR(__xludf.DUMMYFUNCTION("IF(C484&lt;&gt;"""",""https://api.qrserver.com/v1/create-qr-code/?size=200x200&amp;data=""&amp;ENCODEURL(""https://wa.me/507""&amp;REGEXREPLACE(C484,""[^0-9]"","""")&amp;""?text=""&amp;ENCODEURL(""Ya llegue. Codigo: ""&amp;A484&amp;"". Ubicacion: ""&amp;""https://www.google.com/maps/search/?a"&amp;"pi=1&amp;query=""&amp;SUBSTITUTE(F484,"" "",""""))),"""")"),"")</f>
        <v/>
      </c>
      <c r="M484" s="5" t="str">
        <f t="shared" si="6"/>
        <v/>
      </c>
      <c r="N484" s="5" t="str">
        <f>IFERROR(__xludf.DUMMYFUNCTION("IF(AND(F484&lt;&gt;"""",REGEXMATCH(SUBSTITUTE(F484,"" "",""""),""^-?\d+(\.\d+)?,-?\d+(\.\d+)?$""),VALUE(REGEXEXTRACT(SUBSTITUTE(F484,"" "",""""),""^-?\d+(\.\d+)?""))&gt;=-90,VALUE(REGEXEXTRACT(SUBSTITUTE(F484,"" "",""""),""^-?\d+(\.\d+)?""))&lt;=90,VALUE(REGEXEXTRACT"&amp;"(SUBSTITUTE(F484,"" "",""""),""-?\d+(\.\d+)?$""))&gt;=-180,VALUE(REGEXEXTRACT(SUBSTITUTE(F484,"" "",""""),""-?\d+(\.\d+)?$""))&lt;=180),""OK"",""REVISAR"")"),"#N/A")</f>
        <v>#N/A</v>
      </c>
    </row>
    <row r="485" ht="15.75" customHeight="1">
      <c r="A485" s="5" t="str">
        <f t="shared" si="1"/>
        <v>AD507-0483</v>
      </c>
      <c r="C485" s="5"/>
      <c r="F485" s="5"/>
      <c r="G485" s="5" t="str">
        <f t="shared" si="2"/>
        <v/>
      </c>
      <c r="H485" s="5" t="str">
        <f t="shared" si="3"/>
        <v/>
      </c>
      <c r="I485" s="5" t="str">
        <f t="shared" si="4"/>
        <v/>
      </c>
      <c r="J485" s="5" t="str">
        <f t="shared" si="5"/>
        <v/>
      </c>
      <c r="K485" s="5" t="str">
        <f>IFERROR(__xludf.DUMMYFUNCTION("IF(C485&lt;&gt;"""",HYPERLINK(""https://wa.me/507""&amp;REGEXREPLACE(C485,""[^0-9]"","""")&amp;""?text=""&amp;ENCODEURL(""Ya llegue. Codigo: ""&amp;A485&amp;"". Ubicacion: ""&amp;""https://www.google.com/maps/search/?api=1&amp;query=""&amp;SUBSTITUTE(F485,"" "","""")),""📲 Avisar al cliente"""&amp;"),"""")"),"")</f>
        <v/>
      </c>
      <c r="L485" s="5" t="str">
        <f>IFERROR(__xludf.DUMMYFUNCTION("IF(C485&lt;&gt;"""",""https://api.qrserver.com/v1/create-qr-code/?size=200x200&amp;data=""&amp;ENCODEURL(""https://wa.me/507""&amp;REGEXREPLACE(C485,""[^0-9]"","""")&amp;""?text=""&amp;ENCODEURL(""Ya llegue. Codigo: ""&amp;A485&amp;"". Ubicacion: ""&amp;""https://www.google.com/maps/search/?a"&amp;"pi=1&amp;query=""&amp;SUBSTITUTE(F485,"" "",""""))),"""")"),"")</f>
        <v/>
      </c>
      <c r="M485" s="5" t="str">
        <f t="shared" si="6"/>
        <v/>
      </c>
      <c r="N485" s="5" t="str">
        <f>IFERROR(__xludf.DUMMYFUNCTION("IF(AND(F485&lt;&gt;"""",REGEXMATCH(SUBSTITUTE(F485,"" "",""""),""^-?\d+(\.\d+)?,-?\d+(\.\d+)?$""),VALUE(REGEXEXTRACT(SUBSTITUTE(F485,"" "",""""),""^-?\d+(\.\d+)?""))&gt;=-90,VALUE(REGEXEXTRACT(SUBSTITUTE(F485,"" "",""""),""^-?\d+(\.\d+)?""))&lt;=90,VALUE(REGEXEXTRACT"&amp;"(SUBSTITUTE(F485,"" "",""""),""-?\d+(\.\d+)?$""))&gt;=-180,VALUE(REGEXEXTRACT(SUBSTITUTE(F485,"" "",""""),""-?\d+(\.\d+)?$""))&lt;=180),""OK"",""REVISAR"")"),"#N/A")</f>
        <v>#N/A</v>
      </c>
    </row>
    <row r="486" ht="15.75" customHeight="1">
      <c r="A486" s="5" t="str">
        <f t="shared" si="1"/>
        <v>AD507-0484</v>
      </c>
      <c r="C486" s="5"/>
      <c r="F486" s="5"/>
      <c r="G486" s="5" t="str">
        <f t="shared" si="2"/>
        <v/>
      </c>
      <c r="H486" s="5" t="str">
        <f t="shared" si="3"/>
        <v/>
      </c>
      <c r="I486" s="5" t="str">
        <f t="shared" si="4"/>
        <v/>
      </c>
      <c r="J486" s="5" t="str">
        <f t="shared" si="5"/>
        <v/>
      </c>
      <c r="K486" s="5" t="str">
        <f>IFERROR(__xludf.DUMMYFUNCTION("IF(C486&lt;&gt;"""",HYPERLINK(""https://wa.me/507""&amp;REGEXREPLACE(C486,""[^0-9]"","""")&amp;""?text=""&amp;ENCODEURL(""Ya llegue. Codigo: ""&amp;A486&amp;"". Ubicacion: ""&amp;""https://www.google.com/maps/search/?api=1&amp;query=""&amp;SUBSTITUTE(F486,"" "","""")),""📲 Avisar al cliente"""&amp;"),"""")"),"")</f>
        <v/>
      </c>
      <c r="L486" s="5" t="str">
        <f>IFERROR(__xludf.DUMMYFUNCTION("IF(C486&lt;&gt;"""",""https://api.qrserver.com/v1/create-qr-code/?size=200x200&amp;data=""&amp;ENCODEURL(""https://wa.me/507""&amp;REGEXREPLACE(C486,""[^0-9]"","""")&amp;""?text=""&amp;ENCODEURL(""Ya llegue. Codigo: ""&amp;A486&amp;"". Ubicacion: ""&amp;""https://www.google.com/maps/search/?a"&amp;"pi=1&amp;query=""&amp;SUBSTITUTE(F486,"" "",""""))),"""")"),"")</f>
        <v/>
      </c>
      <c r="M486" s="5" t="str">
        <f t="shared" si="6"/>
        <v/>
      </c>
      <c r="N486" s="5" t="str">
        <f>IFERROR(__xludf.DUMMYFUNCTION("IF(AND(F486&lt;&gt;"""",REGEXMATCH(SUBSTITUTE(F486,"" "",""""),""^-?\d+(\.\d+)?,-?\d+(\.\d+)?$""),VALUE(REGEXEXTRACT(SUBSTITUTE(F486,"" "",""""),""^-?\d+(\.\d+)?""))&gt;=-90,VALUE(REGEXEXTRACT(SUBSTITUTE(F486,"" "",""""),""^-?\d+(\.\d+)?""))&lt;=90,VALUE(REGEXEXTRACT"&amp;"(SUBSTITUTE(F486,"" "",""""),""-?\d+(\.\d+)?$""))&gt;=-180,VALUE(REGEXEXTRACT(SUBSTITUTE(F486,"" "",""""),""-?\d+(\.\d+)?$""))&lt;=180),""OK"",""REVISAR"")"),"#N/A")</f>
        <v>#N/A</v>
      </c>
    </row>
    <row r="487" ht="15.75" customHeight="1">
      <c r="A487" s="5" t="str">
        <f t="shared" si="1"/>
        <v>AD507-0485</v>
      </c>
      <c r="C487" s="5"/>
      <c r="F487" s="5"/>
      <c r="G487" s="5" t="str">
        <f t="shared" si="2"/>
        <v/>
      </c>
      <c r="H487" s="5" t="str">
        <f t="shared" si="3"/>
        <v/>
      </c>
      <c r="I487" s="5" t="str">
        <f t="shared" si="4"/>
        <v/>
      </c>
      <c r="J487" s="5" t="str">
        <f t="shared" si="5"/>
        <v/>
      </c>
      <c r="K487" s="5" t="str">
        <f>IFERROR(__xludf.DUMMYFUNCTION("IF(C487&lt;&gt;"""",HYPERLINK(""https://wa.me/507""&amp;REGEXREPLACE(C487,""[^0-9]"","""")&amp;""?text=""&amp;ENCODEURL(""Ya llegue. Codigo: ""&amp;A487&amp;"". Ubicacion: ""&amp;""https://www.google.com/maps/search/?api=1&amp;query=""&amp;SUBSTITUTE(F487,"" "","""")),""📲 Avisar al cliente"""&amp;"),"""")"),"")</f>
        <v/>
      </c>
      <c r="L487" s="5" t="str">
        <f>IFERROR(__xludf.DUMMYFUNCTION("IF(C487&lt;&gt;"""",""https://api.qrserver.com/v1/create-qr-code/?size=200x200&amp;data=""&amp;ENCODEURL(""https://wa.me/507""&amp;REGEXREPLACE(C487,""[^0-9]"","""")&amp;""?text=""&amp;ENCODEURL(""Ya llegue. Codigo: ""&amp;A487&amp;"". Ubicacion: ""&amp;""https://www.google.com/maps/search/?a"&amp;"pi=1&amp;query=""&amp;SUBSTITUTE(F487,"" "",""""))),"""")"),"")</f>
        <v/>
      </c>
      <c r="M487" s="5" t="str">
        <f t="shared" si="6"/>
        <v/>
      </c>
      <c r="N487" s="5" t="str">
        <f>IFERROR(__xludf.DUMMYFUNCTION("IF(AND(F487&lt;&gt;"""",REGEXMATCH(SUBSTITUTE(F487,"" "",""""),""^-?\d+(\.\d+)?,-?\d+(\.\d+)?$""),VALUE(REGEXEXTRACT(SUBSTITUTE(F487,"" "",""""),""^-?\d+(\.\d+)?""))&gt;=-90,VALUE(REGEXEXTRACT(SUBSTITUTE(F487,"" "",""""),""^-?\d+(\.\d+)?""))&lt;=90,VALUE(REGEXEXTRACT"&amp;"(SUBSTITUTE(F487,"" "",""""),""-?\d+(\.\d+)?$""))&gt;=-180,VALUE(REGEXEXTRACT(SUBSTITUTE(F487,"" "",""""),""-?\d+(\.\d+)?$""))&lt;=180),""OK"",""REVISAR"")"),"#N/A")</f>
        <v>#N/A</v>
      </c>
    </row>
    <row r="488" ht="15.75" customHeight="1">
      <c r="A488" s="5" t="str">
        <f t="shared" si="1"/>
        <v>AD507-0486</v>
      </c>
      <c r="C488" s="5"/>
      <c r="F488" s="5"/>
      <c r="G488" s="5" t="str">
        <f t="shared" si="2"/>
        <v/>
      </c>
      <c r="H488" s="5" t="str">
        <f t="shared" si="3"/>
        <v/>
      </c>
      <c r="I488" s="5" t="str">
        <f t="shared" si="4"/>
        <v/>
      </c>
      <c r="J488" s="5" t="str">
        <f t="shared" si="5"/>
        <v/>
      </c>
      <c r="K488" s="5" t="str">
        <f>IFERROR(__xludf.DUMMYFUNCTION("IF(C488&lt;&gt;"""",HYPERLINK(""https://wa.me/507""&amp;REGEXREPLACE(C488,""[^0-9]"","""")&amp;""?text=""&amp;ENCODEURL(""Ya llegue. Codigo: ""&amp;A488&amp;"". Ubicacion: ""&amp;""https://www.google.com/maps/search/?api=1&amp;query=""&amp;SUBSTITUTE(F488,"" "","""")),""📲 Avisar al cliente"""&amp;"),"""")"),"")</f>
        <v/>
      </c>
      <c r="L488" s="5" t="str">
        <f>IFERROR(__xludf.DUMMYFUNCTION("IF(C488&lt;&gt;"""",""https://api.qrserver.com/v1/create-qr-code/?size=200x200&amp;data=""&amp;ENCODEURL(""https://wa.me/507""&amp;REGEXREPLACE(C488,""[^0-9]"","""")&amp;""?text=""&amp;ENCODEURL(""Ya llegue. Codigo: ""&amp;A488&amp;"". Ubicacion: ""&amp;""https://www.google.com/maps/search/?a"&amp;"pi=1&amp;query=""&amp;SUBSTITUTE(F488,"" "",""""))),"""")"),"")</f>
        <v/>
      </c>
      <c r="M488" s="5" t="str">
        <f t="shared" si="6"/>
        <v/>
      </c>
      <c r="N488" s="5" t="str">
        <f>IFERROR(__xludf.DUMMYFUNCTION("IF(AND(F488&lt;&gt;"""",REGEXMATCH(SUBSTITUTE(F488,"" "",""""),""^-?\d+(\.\d+)?,-?\d+(\.\d+)?$""),VALUE(REGEXEXTRACT(SUBSTITUTE(F488,"" "",""""),""^-?\d+(\.\d+)?""))&gt;=-90,VALUE(REGEXEXTRACT(SUBSTITUTE(F488,"" "",""""),""^-?\d+(\.\d+)?""))&lt;=90,VALUE(REGEXEXTRACT"&amp;"(SUBSTITUTE(F488,"" "",""""),""-?\d+(\.\d+)?$""))&gt;=-180,VALUE(REGEXEXTRACT(SUBSTITUTE(F488,"" "",""""),""-?\d+(\.\d+)?$""))&lt;=180),""OK"",""REVISAR"")"),"#N/A")</f>
        <v>#N/A</v>
      </c>
    </row>
    <row r="489" ht="15.75" customHeight="1">
      <c r="A489" s="5" t="str">
        <f t="shared" si="1"/>
        <v>AD507-0487</v>
      </c>
      <c r="C489" s="5"/>
      <c r="F489" s="5"/>
      <c r="G489" s="5" t="str">
        <f t="shared" si="2"/>
        <v/>
      </c>
      <c r="H489" s="5" t="str">
        <f t="shared" si="3"/>
        <v/>
      </c>
      <c r="I489" s="5" t="str">
        <f t="shared" si="4"/>
        <v/>
      </c>
      <c r="J489" s="5" t="str">
        <f t="shared" si="5"/>
        <v/>
      </c>
      <c r="K489" s="5" t="str">
        <f>IFERROR(__xludf.DUMMYFUNCTION("IF(C489&lt;&gt;"""",HYPERLINK(""https://wa.me/507""&amp;REGEXREPLACE(C489,""[^0-9]"","""")&amp;""?text=""&amp;ENCODEURL(""Ya llegue. Codigo: ""&amp;A489&amp;"". Ubicacion: ""&amp;""https://www.google.com/maps/search/?api=1&amp;query=""&amp;SUBSTITUTE(F489,"" "","""")),""📲 Avisar al cliente"""&amp;"),"""")"),"")</f>
        <v/>
      </c>
      <c r="L489" s="5" t="str">
        <f>IFERROR(__xludf.DUMMYFUNCTION("IF(C489&lt;&gt;"""",""https://api.qrserver.com/v1/create-qr-code/?size=200x200&amp;data=""&amp;ENCODEURL(""https://wa.me/507""&amp;REGEXREPLACE(C489,""[^0-9]"","""")&amp;""?text=""&amp;ENCODEURL(""Ya llegue. Codigo: ""&amp;A489&amp;"". Ubicacion: ""&amp;""https://www.google.com/maps/search/?a"&amp;"pi=1&amp;query=""&amp;SUBSTITUTE(F489,"" "",""""))),"""")"),"")</f>
        <v/>
      </c>
      <c r="M489" s="5" t="str">
        <f t="shared" si="6"/>
        <v/>
      </c>
      <c r="N489" s="5" t="str">
        <f>IFERROR(__xludf.DUMMYFUNCTION("IF(AND(F489&lt;&gt;"""",REGEXMATCH(SUBSTITUTE(F489,"" "",""""),""^-?\d+(\.\d+)?,-?\d+(\.\d+)?$""),VALUE(REGEXEXTRACT(SUBSTITUTE(F489,"" "",""""),""^-?\d+(\.\d+)?""))&gt;=-90,VALUE(REGEXEXTRACT(SUBSTITUTE(F489,"" "",""""),""^-?\d+(\.\d+)?""))&lt;=90,VALUE(REGEXEXTRACT"&amp;"(SUBSTITUTE(F489,"" "",""""),""-?\d+(\.\d+)?$""))&gt;=-180,VALUE(REGEXEXTRACT(SUBSTITUTE(F489,"" "",""""),""-?\d+(\.\d+)?$""))&lt;=180),""OK"",""REVISAR"")"),"#N/A")</f>
        <v>#N/A</v>
      </c>
    </row>
    <row r="490" ht="15.75" customHeight="1">
      <c r="A490" s="5" t="str">
        <f t="shared" si="1"/>
        <v>AD507-0488</v>
      </c>
      <c r="C490" s="5"/>
      <c r="F490" s="5"/>
      <c r="G490" s="5" t="str">
        <f t="shared" si="2"/>
        <v/>
      </c>
      <c r="H490" s="5" t="str">
        <f t="shared" si="3"/>
        <v/>
      </c>
      <c r="I490" s="5" t="str">
        <f t="shared" si="4"/>
        <v/>
      </c>
      <c r="J490" s="5" t="str">
        <f t="shared" si="5"/>
        <v/>
      </c>
      <c r="K490" s="5" t="str">
        <f>IFERROR(__xludf.DUMMYFUNCTION("IF(C490&lt;&gt;"""",HYPERLINK(""https://wa.me/507""&amp;REGEXREPLACE(C490,""[^0-9]"","""")&amp;""?text=""&amp;ENCODEURL(""Ya llegue. Codigo: ""&amp;A490&amp;"". Ubicacion: ""&amp;""https://www.google.com/maps/search/?api=1&amp;query=""&amp;SUBSTITUTE(F490,"" "","""")),""📲 Avisar al cliente"""&amp;"),"""")"),"")</f>
        <v/>
      </c>
      <c r="L490" s="5" t="str">
        <f>IFERROR(__xludf.DUMMYFUNCTION("IF(C490&lt;&gt;"""",""https://api.qrserver.com/v1/create-qr-code/?size=200x200&amp;data=""&amp;ENCODEURL(""https://wa.me/507""&amp;REGEXREPLACE(C490,""[^0-9]"","""")&amp;""?text=""&amp;ENCODEURL(""Ya llegue. Codigo: ""&amp;A490&amp;"". Ubicacion: ""&amp;""https://www.google.com/maps/search/?a"&amp;"pi=1&amp;query=""&amp;SUBSTITUTE(F490,"" "",""""))),"""")"),"")</f>
        <v/>
      </c>
      <c r="M490" s="5" t="str">
        <f t="shared" si="6"/>
        <v/>
      </c>
      <c r="N490" s="5" t="str">
        <f>IFERROR(__xludf.DUMMYFUNCTION("IF(AND(F490&lt;&gt;"""",REGEXMATCH(SUBSTITUTE(F490,"" "",""""),""^-?\d+(\.\d+)?,-?\d+(\.\d+)?$""),VALUE(REGEXEXTRACT(SUBSTITUTE(F490,"" "",""""),""^-?\d+(\.\d+)?""))&gt;=-90,VALUE(REGEXEXTRACT(SUBSTITUTE(F490,"" "",""""),""^-?\d+(\.\d+)?""))&lt;=90,VALUE(REGEXEXTRACT"&amp;"(SUBSTITUTE(F490,"" "",""""),""-?\d+(\.\d+)?$""))&gt;=-180,VALUE(REGEXEXTRACT(SUBSTITUTE(F490,"" "",""""),""-?\d+(\.\d+)?$""))&lt;=180),""OK"",""REVISAR"")"),"#N/A")</f>
        <v>#N/A</v>
      </c>
    </row>
    <row r="491" ht="15.75" customHeight="1">
      <c r="A491" s="5" t="str">
        <f t="shared" si="1"/>
        <v>AD507-0489</v>
      </c>
      <c r="C491" s="5"/>
      <c r="F491" s="5"/>
      <c r="G491" s="5" t="str">
        <f t="shared" si="2"/>
        <v/>
      </c>
      <c r="H491" s="5" t="str">
        <f t="shared" si="3"/>
        <v/>
      </c>
      <c r="I491" s="5" t="str">
        <f t="shared" si="4"/>
        <v/>
      </c>
      <c r="J491" s="5" t="str">
        <f t="shared" si="5"/>
        <v/>
      </c>
      <c r="K491" s="5" t="str">
        <f>IFERROR(__xludf.DUMMYFUNCTION("IF(C491&lt;&gt;"""",HYPERLINK(""https://wa.me/507""&amp;REGEXREPLACE(C491,""[^0-9]"","""")&amp;""?text=""&amp;ENCODEURL(""Ya llegue. Codigo: ""&amp;A491&amp;"". Ubicacion: ""&amp;""https://www.google.com/maps/search/?api=1&amp;query=""&amp;SUBSTITUTE(F491,"" "","""")),""📲 Avisar al cliente"""&amp;"),"""")"),"")</f>
        <v/>
      </c>
      <c r="L491" s="5" t="str">
        <f>IFERROR(__xludf.DUMMYFUNCTION("IF(C491&lt;&gt;"""",""https://api.qrserver.com/v1/create-qr-code/?size=200x200&amp;data=""&amp;ENCODEURL(""https://wa.me/507""&amp;REGEXREPLACE(C491,""[^0-9]"","""")&amp;""?text=""&amp;ENCODEURL(""Ya llegue. Codigo: ""&amp;A491&amp;"". Ubicacion: ""&amp;""https://www.google.com/maps/search/?a"&amp;"pi=1&amp;query=""&amp;SUBSTITUTE(F491,"" "",""""))),"""")"),"")</f>
        <v/>
      </c>
      <c r="M491" s="5" t="str">
        <f t="shared" si="6"/>
        <v/>
      </c>
      <c r="N491" s="5" t="str">
        <f>IFERROR(__xludf.DUMMYFUNCTION("IF(AND(F491&lt;&gt;"""",REGEXMATCH(SUBSTITUTE(F491,"" "",""""),""^-?\d+(\.\d+)?,-?\d+(\.\d+)?$""),VALUE(REGEXEXTRACT(SUBSTITUTE(F491,"" "",""""),""^-?\d+(\.\d+)?""))&gt;=-90,VALUE(REGEXEXTRACT(SUBSTITUTE(F491,"" "",""""),""^-?\d+(\.\d+)?""))&lt;=90,VALUE(REGEXEXTRACT"&amp;"(SUBSTITUTE(F491,"" "",""""),""-?\d+(\.\d+)?$""))&gt;=-180,VALUE(REGEXEXTRACT(SUBSTITUTE(F491,"" "",""""),""-?\d+(\.\d+)?$""))&lt;=180),""OK"",""REVISAR"")"),"#N/A")</f>
        <v>#N/A</v>
      </c>
    </row>
    <row r="492" ht="15.75" customHeight="1">
      <c r="A492" s="5" t="str">
        <f t="shared" si="1"/>
        <v>AD507-0490</v>
      </c>
      <c r="C492" s="5"/>
      <c r="F492" s="5"/>
      <c r="G492" s="5" t="str">
        <f t="shared" si="2"/>
        <v/>
      </c>
      <c r="H492" s="5" t="str">
        <f t="shared" si="3"/>
        <v/>
      </c>
      <c r="I492" s="5" t="str">
        <f t="shared" si="4"/>
        <v/>
      </c>
      <c r="J492" s="5" t="str">
        <f t="shared" si="5"/>
        <v/>
      </c>
      <c r="K492" s="5" t="str">
        <f>IFERROR(__xludf.DUMMYFUNCTION("IF(C492&lt;&gt;"""",HYPERLINK(""https://wa.me/507""&amp;REGEXREPLACE(C492,""[^0-9]"","""")&amp;""?text=""&amp;ENCODEURL(""Ya llegue. Codigo: ""&amp;A492&amp;"". Ubicacion: ""&amp;""https://www.google.com/maps/search/?api=1&amp;query=""&amp;SUBSTITUTE(F492,"" "","""")),""📲 Avisar al cliente"""&amp;"),"""")"),"")</f>
        <v/>
      </c>
      <c r="L492" s="5" t="str">
        <f>IFERROR(__xludf.DUMMYFUNCTION("IF(C492&lt;&gt;"""",""https://api.qrserver.com/v1/create-qr-code/?size=200x200&amp;data=""&amp;ENCODEURL(""https://wa.me/507""&amp;REGEXREPLACE(C492,""[^0-9]"","""")&amp;""?text=""&amp;ENCODEURL(""Ya llegue. Codigo: ""&amp;A492&amp;"". Ubicacion: ""&amp;""https://www.google.com/maps/search/?a"&amp;"pi=1&amp;query=""&amp;SUBSTITUTE(F492,"" "",""""))),"""")"),"")</f>
        <v/>
      </c>
      <c r="M492" s="5" t="str">
        <f t="shared" si="6"/>
        <v/>
      </c>
      <c r="N492" s="5" t="str">
        <f>IFERROR(__xludf.DUMMYFUNCTION("IF(AND(F492&lt;&gt;"""",REGEXMATCH(SUBSTITUTE(F492,"" "",""""),""^-?\d+(\.\d+)?,-?\d+(\.\d+)?$""),VALUE(REGEXEXTRACT(SUBSTITUTE(F492,"" "",""""),""^-?\d+(\.\d+)?""))&gt;=-90,VALUE(REGEXEXTRACT(SUBSTITUTE(F492,"" "",""""),""^-?\d+(\.\d+)?""))&lt;=90,VALUE(REGEXEXTRACT"&amp;"(SUBSTITUTE(F492,"" "",""""),""-?\d+(\.\d+)?$""))&gt;=-180,VALUE(REGEXEXTRACT(SUBSTITUTE(F492,"" "",""""),""-?\d+(\.\d+)?$""))&lt;=180),""OK"",""REVISAR"")"),"#N/A")</f>
        <v>#N/A</v>
      </c>
    </row>
    <row r="493" ht="15.75" customHeight="1">
      <c r="A493" s="5" t="str">
        <f t="shared" si="1"/>
        <v>AD507-0491</v>
      </c>
      <c r="C493" s="5"/>
      <c r="F493" s="5"/>
      <c r="G493" s="5" t="str">
        <f t="shared" si="2"/>
        <v/>
      </c>
      <c r="H493" s="5" t="str">
        <f t="shared" si="3"/>
        <v/>
      </c>
      <c r="I493" s="5" t="str">
        <f t="shared" si="4"/>
        <v/>
      </c>
      <c r="J493" s="5" t="str">
        <f t="shared" si="5"/>
        <v/>
      </c>
      <c r="K493" s="5" t="str">
        <f>IFERROR(__xludf.DUMMYFUNCTION("IF(C493&lt;&gt;"""",HYPERLINK(""https://wa.me/507""&amp;REGEXREPLACE(C493,""[^0-9]"","""")&amp;""?text=""&amp;ENCODEURL(""Ya llegue. Codigo: ""&amp;A493&amp;"". Ubicacion: ""&amp;""https://www.google.com/maps/search/?api=1&amp;query=""&amp;SUBSTITUTE(F493,"" "","""")),""📲 Avisar al cliente"""&amp;"),"""")"),"")</f>
        <v/>
      </c>
      <c r="L493" s="5" t="str">
        <f>IFERROR(__xludf.DUMMYFUNCTION("IF(C493&lt;&gt;"""",""https://api.qrserver.com/v1/create-qr-code/?size=200x200&amp;data=""&amp;ENCODEURL(""https://wa.me/507""&amp;REGEXREPLACE(C493,""[^0-9]"","""")&amp;""?text=""&amp;ENCODEURL(""Ya llegue. Codigo: ""&amp;A493&amp;"". Ubicacion: ""&amp;""https://www.google.com/maps/search/?a"&amp;"pi=1&amp;query=""&amp;SUBSTITUTE(F493,"" "",""""))),"""")"),"")</f>
        <v/>
      </c>
      <c r="M493" s="5" t="str">
        <f t="shared" si="6"/>
        <v/>
      </c>
      <c r="N493" s="5" t="str">
        <f>IFERROR(__xludf.DUMMYFUNCTION("IF(AND(F493&lt;&gt;"""",REGEXMATCH(SUBSTITUTE(F493,"" "",""""),""^-?\d+(\.\d+)?,-?\d+(\.\d+)?$""),VALUE(REGEXEXTRACT(SUBSTITUTE(F493,"" "",""""),""^-?\d+(\.\d+)?""))&gt;=-90,VALUE(REGEXEXTRACT(SUBSTITUTE(F493,"" "",""""),""^-?\d+(\.\d+)?""))&lt;=90,VALUE(REGEXEXTRACT"&amp;"(SUBSTITUTE(F493,"" "",""""),""-?\d+(\.\d+)?$""))&gt;=-180,VALUE(REGEXEXTRACT(SUBSTITUTE(F493,"" "",""""),""-?\d+(\.\d+)?$""))&lt;=180),""OK"",""REVISAR"")"),"#N/A")</f>
        <v>#N/A</v>
      </c>
    </row>
    <row r="494" ht="15.75" customHeight="1">
      <c r="A494" s="5" t="str">
        <f t="shared" si="1"/>
        <v>AD507-0492</v>
      </c>
      <c r="C494" s="5"/>
      <c r="F494" s="5"/>
      <c r="G494" s="5" t="str">
        <f t="shared" si="2"/>
        <v/>
      </c>
      <c r="H494" s="5" t="str">
        <f t="shared" si="3"/>
        <v/>
      </c>
      <c r="I494" s="5" t="str">
        <f t="shared" si="4"/>
        <v/>
      </c>
      <c r="J494" s="5" t="str">
        <f t="shared" si="5"/>
        <v/>
      </c>
      <c r="K494" s="5" t="str">
        <f>IFERROR(__xludf.DUMMYFUNCTION("IF(C494&lt;&gt;"""",HYPERLINK(""https://wa.me/507""&amp;REGEXREPLACE(C494,""[^0-9]"","""")&amp;""?text=""&amp;ENCODEURL(""Ya llegue. Codigo: ""&amp;A494&amp;"". Ubicacion: ""&amp;""https://www.google.com/maps/search/?api=1&amp;query=""&amp;SUBSTITUTE(F494,"" "","""")),""📲 Avisar al cliente"""&amp;"),"""")"),"")</f>
        <v/>
      </c>
      <c r="L494" s="5" t="str">
        <f>IFERROR(__xludf.DUMMYFUNCTION("IF(C494&lt;&gt;"""",""https://api.qrserver.com/v1/create-qr-code/?size=200x200&amp;data=""&amp;ENCODEURL(""https://wa.me/507""&amp;REGEXREPLACE(C494,""[^0-9]"","""")&amp;""?text=""&amp;ENCODEURL(""Ya llegue. Codigo: ""&amp;A494&amp;"". Ubicacion: ""&amp;""https://www.google.com/maps/search/?a"&amp;"pi=1&amp;query=""&amp;SUBSTITUTE(F494,"" "",""""))),"""")"),"")</f>
        <v/>
      </c>
      <c r="M494" s="5" t="str">
        <f t="shared" si="6"/>
        <v/>
      </c>
      <c r="N494" s="5" t="str">
        <f>IFERROR(__xludf.DUMMYFUNCTION("IF(AND(F494&lt;&gt;"""",REGEXMATCH(SUBSTITUTE(F494,"" "",""""),""^-?\d+(\.\d+)?,-?\d+(\.\d+)?$""),VALUE(REGEXEXTRACT(SUBSTITUTE(F494,"" "",""""),""^-?\d+(\.\d+)?""))&gt;=-90,VALUE(REGEXEXTRACT(SUBSTITUTE(F494,"" "",""""),""^-?\d+(\.\d+)?""))&lt;=90,VALUE(REGEXEXTRACT"&amp;"(SUBSTITUTE(F494,"" "",""""),""-?\d+(\.\d+)?$""))&gt;=-180,VALUE(REGEXEXTRACT(SUBSTITUTE(F494,"" "",""""),""-?\d+(\.\d+)?$""))&lt;=180),""OK"",""REVISAR"")"),"#N/A")</f>
        <v>#N/A</v>
      </c>
    </row>
    <row r="495" ht="15.75" customHeight="1">
      <c r="A495" s="5" t="str">
        <f t="shared" si="1"/>
        <v>AD507-0493</v>
      </c>
      <c r="C495" s="5"/>
      <c r="F495" s="5"/>
      <c r="G495" s="5" t="str">
        <f t="shared" si="2"/>
        <v/>
      </c>
      <c r="H495" s="5" t="str">
        <f t="shared" si="3"/>
        <v/>
      </c>
      <c r="I495" s="5" t="str">
        <f t="shared" si="4"/>
        <v/>
      </c>
      <c r="J495" s="5" t="str">
        <f t="shared" si="5"/>
        <v/>
      </c>
      <c r="K495" s="5" t="str">
        <f>IFERROR(__xludf.DUMMYFUNCTION("IF(C495&lt;&gt;"""",HYPERLINK(""https://wa.me/507""&amp;REGEXREPLACE(C495,""[^0-9]"","""")&amp;""?text=""&amp;ENCODEURL(""Ya llegue. Codigo: ""&amp;A495&amp;"". Ubicacion: ""&amp;""https://www.google.com/maps/search/?api=1&amp;query=""&amp;SUBSTITUTE(F495,"" "","""")),""📲 Avisar al cliente"""&amp;"),"""")"),"")</f>
        <v/>
      </c>
      <c r="L495" s="5" t="str">
        <f>IFERROR(__xludf.DUMMYFUNCTION("IF(C495&lt;&gt;"""",""https://api.qrserver.com/v1/create-qr-code/?size=200x200&amp;data=""&amp;ENCODEURL(""https://wa.me/507""&amp;REGEXREPLACE(C495,""[^0-9]"","""")&amp;""?text=""&amp;ENCODEURL(""Ya llegue. Codigo: ""&amp;A495&amp;"". Ubicacion: ""&amp;""https://www.google.com/maps/search/?a"&amp;"pi=1&amp;query=""&amp;SUBSTITUTE(F495,"" "",""""))),"""")"),"")</f>
        <v/>
      </c>
      <c r="M495" s="5" t="str">
        <f t="shared" si="6"/>
        <v/>
      </c>
      <c r="N495" s="5" t="str">
        <f>IFERROR(__xludf.DUMMYFUNCTION("IF(AND(F495&lt;&gt;"""",REGEXMATCH(SUBSTITUTE(F495,"" "",""""),""^-?\d+(\.\d+)?,-?\d+(\.\d+)?$""),VALUE(REGEXEXTRACT(SUBSTITUTE(F495,"" "",""""),""^-?\d+(\.\d+)?""))&gt;=-90,VALUE(REGEXEXTRACT(SUBSTITUTE(F495,"" "",""""),""^-?\d+(\.\d+)?""))&lt;=90,VALUE(REGEXEXTRACT"&amp;"(SUBSTITUTE(F495,"" "",""""),""-?\d+(\.\d+)?$""))&gt;=-180,VALUE(REGEXEXTRACT(SUBSTITUTE(F495,"" "",""""),""-?\d+(\.\d+)?$""))&lt;=180),""OK"",""REVISAR"")"),"#N/A")</f>
        <v>#N/A</v>
      </c>
    </row>
    <row r="496" ht="15.75" customHeight="1">
      <c r="A496" s="5" t="str">
        <f t="shared" si="1"/>
        <v>AD507-0494</v>
      </c>
      <c r="C496" s="5"/>
      <c r="F496" s="5"/>
      <c r="G496" s="5" t="str">
        <f t="shared" si="2"/>
        <v/>
      </c>
      <c r="H496" s="5" t="str">
        <f t="shared" si="3"/>
        <v/>
      </c>
      <c r="I496" s="5" t="str">
        <f t="shared" si="4"/>
        <v/>
      </c>
      <c r="J496" s="5" t="str">
        <f t="shared" si="5"/>
        <v/>
      </c>
      <c r="K496" s="5" t="str">
        <f>IFERROR(__xludf.DUMMYFUNCTION("IF(C496&lt;&gt;"""",HYPERLINK(""https://wa.me/507""&amp;REGEXREPLACE(C496,""[^0-9]"","""")&amp;""?text=""&amp;ENCODEURL(""Ya llegue. Codigo: ""&amp;A496&amp;"". Ubicacion: ""&amp;""https://www.google.com/maps/search/?api=1&amp;query=""&amp;SUBSTITUTE(F496,"" "","""")),""📲 Avisar al cliente"""&amp;"),"""")"),"")</f>
        <v/>
      </c>
      <c r="L496" s="5" t="str">
        <f>IFERROR(__xludf.DUMMYFUNCTION("IF(C496&lt;&gt;"""",""https://api.qrserver.com/v1/create-qr-code/?size=200x200&amp;data=""&amp;ENCODEURL(""https://wa.me/507""&amp;REGEXREPLACE(C496,""[^0-9]"","""")&amp;""?text=""&amp;ENCODEURL(""Ya llegue. Codigo: ""&amp;A496&amp;"". Ubicacion: ""&amp;""https://www.google.com/maps/search/?a"&amp;"pi=1&amp;query=""&amp;SUBSTITUTE(F496,"" "",""""))),"""")"),"")</f>
        <v/>
      </c>
      <c r="M496" s="5" t="str">
        <f t="shared" si="6"/>
        <v/>
      </c>
      <c r="N496" s="5" t="str">
        <f>IFERROR(__xludf.DUMMYFUNCTION("IF(AND(F496&lt;&gt;"""",REGEXMATCH(SUBSTITUTE(F496,"" "",""""),""^-?\d+(\.\d+)?,-?\d+(\.\d+)?$""),VALUE(REGEXEXTRACT(SUBSTITUTE(F496,"" "",""""),""^-?\d+(\.\d+)?""))&gt;=-90,VALUE(REGEXEXTRACT(SUBSTITUTE(F496,"" "",""""),""^-?\d+(\.\d+)?""))&lt;=90,VALUE(REGEXEXTRACT"&amp;"(SUBSTITUTE(F496,"" "",""""),""-?\d+(\.\d+)?$""))&gt;=-180,VALUE(REGEXEXTRACT(SUBSTITUTE(F496,"" "",""""),""-?\d+(\.\d+)?$""))&lt;=180),""OK"",""REVISAR"")"),"#N/A")</f>
        <v>#N/A</v>
      </c>
    </row>
    <row r="497" ht="15.75" customHeight="1">
      <c r="A497" s="5" t="str">
        <f t="shared" si="1"/>
        <v>AD507-0495</v>
      </c>
      <c r="C497" s="5"/>
      <c r="F497" s="5"/>
      <c r="G497" s="5" t="str">
        <f t="shared" si="2"/>
        <v/>
      </c>
      <c r="H497" s="5" t="str">
        <f t="shared" si="3"/>
        <v/>
      </c>
      <c r="I497" s="5" t="str">
        <f t="shared" si="4"/>
        <v/>
      </c>
      <c r="J497" s="5" t="str">
        <f t="shared" si="5"/>
        <v/>
      </c>
      <c r="K497" s="5" t="str">
        <f>IFERROR(__xludf.DUMMYFUNCTION("IF(C497&lt;&gt;"""",HYPERLINK(""https://wa.me/507""&amp;REGEXREPLACE(C497,""[^0-9]"","""")&amp;""?text=""&amp;ENCODEURL(""Ya llegue. Codigo: ""&amp;A497&amp;"". Ubicacion: ""&amp;""https://www.google.com/maps/search/?api=1&amp;query=""&amp;SUBSTITUTE(F497,"" "","""")),""📲 Avisar al cliente"""&amp;"),"""")"),"")</f>
        <v/>
      </c>
      <c r="L497" s="5" t="str">
        <f>IFERROR(__xludf.DUMMYFUNCTION("IF(C497&lt;&gt;"""",""https://api.qrserver.com/v1/create-qr-code/?size=200x200&amp;data=""&amp;ENCODEURL(""https://wa.me/507""&amp;REGEXREPLACE(C497,""[^0-9]"","""")&amp;""?text=""&amp;ENCODEURL(""Ya llegue. Codigo: ""&amp;A497&amp;"". Ubicacion: ""&amp;""https://www.google.com/maps/search/?a"&amp;"pi=1&amp;query=""&amp;SUBSTITUTE(F497,"" "",""""))),"""")"),"")</f>
        <v/>
      </c>
      <c r="M497" s="5" t="str">
        <f t="shared" si="6"/>
        <v/>
      </c>
      <c r="N497" s="5" t="str">
        <f>IFERROR(__xludf.DUMMYFUNCTION("IF(AND(F497&lt;&gt;"""",REGEXMATCH(SUBSTITUTE(F497,"" "",""""),""^-?\d+(\.\d+)?,-?\d+(\.\d+)?$""),VALUE(REGEXEXTRACT(SUBSTITUTE(F497,"" "",""""),""^-?\d+(\.\d+)?""))&gt;=-90,VALUE(REGEXEXTRACT(SUBSTITUTE(F497,"" "",""""),""^-?\d+(\.\d+)?""))&lt;=90,VALUE(REGEXEXTRACT"&amp;"(SUBSTITUTE(F497,"" "",""""),""-?\d+(\.\d+)?$""))&gt;=-180,VALUE(REGEXEXTRACT(SUBSTITUTE(F497,"" "",""""),""-?\d+(\.\d+)?$""))&lt;=180),""OK"",""REVISAR"")"),"#N/A")</f>
        <v>#N/A</v>
      </c>
    </row>
    <row r="498" ht="15.75" customHeight="1">
      <c r="A498" s="5" t="str">
        <f t="shared" si="1"/>
        <v>AD507-0496</v>
      </c>
      <c r="C498" s="5"/>
      <c r="F498" s="5"/>
      <c r="G498" s="5" t="str">
        <f t="shared" si="2"/>
        <v/>
      </c>
      <c r="H498" s="5" t="str">
        <f t="shared" si="3"/>
        <v/>
      </c>
      <c r="I498" s="5" t="str">
        <f t="shared" si="4"/>
        <v/>
      </c>
      <c r="J498" s="5" t="str">
        <f t="shared" si="5"/>
        <v/>
      </c>
      <c r="K498" s="5" t="str">
        <f>IFERROR(__xludf.DUMMYFUNCTION("IF(C498&lt;&gt;"""",HYPERLINK(""https://wa.me/507""&amp;REGEXREPLACE(C498,""[^0-9]"","""")&amp;""?text=""&amp;ENCODEURL(""Ya llegue. Codigo: ""&amp;A498&amp;"". Ubicacion: ""&amp;""https://www.google.com/maps/search/?api=1&amp;query=""&amp;SUBSTITUTE(F498,"" "","""")),""📲 Avisar al cliente"""&amp;"),"""")"),"")</f>
        <v/>
      </c>
      <c r="L498" s="5" t="str">
        <f>IFERROR(__xludf.DUMMYFUNCTION("IF(C498&lt;&gt;"""",""https://api.qrserver.com/v1/create-qr-code/?size=200x200&amp;data=""&amp;ENCODEURL(""https://wa.me/507""&amp;REGEXREPLACE(C498,""[^0-9]"","""")&amp;""?text=""&amp;ENCODEURL(""Ya llegue. Codigo: ""&amp;A498&amp;"". Ubicacion: ""&amp;""https://www.google.com/maps/search/?a"&amp;"pi=1&amp;query=""&amp;SUBSTITUTE(F498,"" "",""""))),"""")"),"")</f>
        <v/>
      </c>
      <c r="M498" s="5" t="str">
        <f t="shared" si="6"/>
        <v/>
      </c>
      <c r="N498" s="5" t="str">
        <f>IFERROR(__xludf.DUMMYFUNCTION("IF(AND(F498&lt;&gt;"""",REGEXMATCH(SUBSTITUTE(F498,"" "",""""),""^-?\d+(\.\d+)?,-?\d+(\.\d+)?$""),VALUE(REGEXEXTRACT(SUBSTITUTE(F498,"" "",""""),""^-?\d+(\.\d+)?""))&gt;=-90,VALUE(REGEXEXTRACT(SUBSTITUTE(F498,"" "",""""),""^-?\d+(\.\d+)?""))&lt;=90,VALUE(REGEXEXTRACT"&amp;"(SUBSTITUTE(F498,"" "",""""),""-?\d+(\.\d+)?$""))&gt;=-180,VALUE(REGEXEXTRACT(SUBSTITUTE(F498,"" "",""""),""-?\d+(\.\d+)?$""))&lt;=180),""OK"",""REVISAR"")"),"#N/A")</f>
        <v>#N/A</v>
      </c>
    </row>
    <row r="499" ht="15.75" customHeight="1">
      <c r="A499" s="5" t="str">
        <f t="shared" si="1"/>
        <v>AD507-0497</v>
      </c>
      <c r="C499" s="5"/>
      <c r="F499" s="5"/>
      <c r="G499" s="5" t="str">
        <f t="shared" si="2"/>
        <v/>
      </c>
      <c r="H499" s="5" t="str">
        <f t="shared" si="3"/>
        <v/>
      </c>
      <c r="I499" s="5" t="str">
        <f t="shared" si="4"/>
        <v/>
      </c>
      <c r="J499" s="5" t="str">
        <f t="shared" si="5"/>
        <v/>
      </c>
      <c r="K499" s="5" t="str">
        <f>IFERROR(__xludf.DUMMYFUNCTION("IF(C499&lt;&gt;"""",HYPERLINK(""https://wa.me/507""&amp;REGEXREPLACE(C499,""[^0-9]"","""")&amp;""?text=""&amp;ENCODEURL(""Ya llegue. Codigo: ""&amp;A499&amp;"". Ubicacion: ""&amp;""https://www.google.com/maps/search/?api=1&amp;query=""&amp;SUBSTITUTE(F499,"" "","""")),""📲 Avisar al cliente"""&amp;"),"""")"),"")</f>
        <v/>
      </c>
      <c r="L499" s="5" t="str">
        <f>IFERROR(__xludf.DUMMYFUNCTION("IF(C499&lt;&gt;"""",""https://api.qrserver.com/v1/create-qr-code/?size=200x200&amp;data=""&amp;ENCODEURL(""https://wa.me/507""&amp;REGEXREPLACE(C499,""[^0-9]"","""")&amp;""?text=""&amp;ENCODEURL(""Ya llegue. Codigo: ""&amp;A499&amp;"". Ubicacion: ""&amp;""https://www.google.com/maps/search/?a"&amp;"pi=1&amp;query=""&amp;SUBSTITUTE(F499,"" "",""""))),"""")"),"")</f>
        <v/>
      </c>
      <c r="M499" s="5" t="str">
        <f t="shared" si="6"/>
        <v/>
      </c>
      <c r="N499" s="5" t="str">
        <f>IFERROR(__xludf.DUMMYFUNCTION("IF(AND(F499&lt;&gt;"""",REGEXMATCH(SUBSTITUTE(F499,"" "",""""),""^-?\d+(\.\d+)?,-?\d+(\.\d+)?$""),VALUE(REGEXEXTRACT(SUBSTITUTE(F499,"" "",""""),""^-?\d+(\.\d+)?""))&gt;=-90,VALUE(REGEXEXTRACT(SUBSTITUTE(F499,"" "",""""),""^-?\d+(\.\d+)?""))&lt;=90,VALUE(REGEXEXTRACT"&amp;"(SUBSTITUTE(F499,"" "",""""),""-?\d+(\.\d+)?$""))&gt;=-180,VALUE(REGEXEXTRACT(SUBSTITUTE(F499,"" "",""""),""-?\d+(\.\d+)?$""))&lt;=180),""OK"",""REVISAR"")"),"#N/A")</f>
        <v>#N/A</v>
      </c>
    </row>
    <row r="500" ht="15.75" customHeight="1">
      <c r="A500" s="5" t="str">
        <f t="shared" si="1"/>
        <v>AD507-0498</v>
      </c>
      <c r="C500" s="5"/>
      <c r="F500" s="5"/>
      <c r="G500" s="5" t="str">
        <f t="shared" si="2"/>
        <v/>
      </c>
      <c r="H500" s="5" t="str">
        <f t="shared" si="3"/>
        <v/>
      </c>
      <c r="I500" s="5" t="str">
        <f t="shared" si="4"/>
        <v/>
      </c>
      <c r="J500" s="5" t="str">
        <f t="shared" si="5"/>
        <v/>
      </c>
      <c r="K500" s="5" t="str">
        <f>IFERROR(__xludf.DUMMYFUNCTION("IF(C500&lt;&gt;"""",HYPERLINK(""https://wa.me/507""&amp;REGEXREPLACE(C500,""[^0-9]"","""")&amp;""?text=""&amp;ENCODEURL(""Ya llegue. Codigo: ""&amp;A500&amp;"". Ubicacion: ""&amp;""https://www.google.com/maps/search/?api=1&amp;query=""&amp;SUBSTITUTE(F500,"" "","""")),""📲 Avisar al cliente"""&amp;"),"""")"),"")</f>
        <v/>
      </c>
      <c r="L500" s="5" t="str">
        <f>IFERROR(__xludf.DUMMYFUNCTION("IF(C500&lt;&gt;"""",""https://api.qrserver.com/v1/create-qr-code/?size=200x200&amp;data=""&amp;ENCODEURL(""https://wa.me/507""&amp;REGEXREPLACE(C500,""[^0-9]"","""")&amp;""?text=""&amp;ENCODEURL(""Ya llegue. Codigo: ""&amp;A500&amp;"". Ubicacion: ""&amp;""https://www.google.com/maps/search/?a"&amp;"pi=1&amp;query=""&amp;SUBSTITUTE(F500,"" "",""""))),"""")"),"")</f>
        <v/>
      </c>
      <c r="M500" s="5" t="str">
        <f t="shared" si="6"/>
        <v/>
      </c>
      <c r="N500" s="5" t="str">
        <f>IFERROR(__xludf.DUMMYFUNCTION("IF(AND(F500&lt;&gt;"""",REGEXMATCH(SUBSTITUTE(F500,"" "",""""),""^-?\d+(\.\d+)?,-?\d+(\.\d+)?$""),VALUE(REGEXEXTRACT(SUBSTITUTE(F500,"" "",""""),""^-?\d+(\.\d+)?""))&gt;=-90,VALUE(REGEXEXTRACT(SUBSTITUTE(F500,"" "",""""),""^-?\d+(\.\d+)?""))&lt;=90,VALUE(REGEXEXTRACT"&amp;"(SUBSTITUTE(F500,"" "",""""),""-?\d+(\.\d+)?$""))&gt;=-180,VALUE(REGEXEXTRACT(SUBSTITUTE(F500,"" "",""""),""-?\d+(\.\d+)?$""))&lt;=180),""OK"",""REVISAR"")"),"#N/A")</f>
        <v>#N/A</v>
      </c>
    </row>
    <row r="501" ht="15.75" customHeight="1">
      <c r="A501" s="5" t="str">
        <f t="shared" si="1"/>
        <v>AD507-0499</v>
      </c>
      <c r="C501" s="5"/>
      <c r="F501" s="5"/>
      <c r="G501" s="5" t="str">
        <f t="shared" si="2"/>
        <v/>
      </c>
      <c r="H501" s="5" t="str">
        <f t="shared" si="3"/>
        <v/>
      </c>
      <c r="I501" s="5" t="str">
        <f t="shared" si="4"/>
        <v/>
      </c>
      <c r="J501" s="5" t="str">
        <f t="shared" si="5"/>
        <v/>
      </c>
      <c r="K501" s="5" t="str">
        <f>IFERROR(__xludf.DUMMYFUNCTION("IF(C501&lt;&gt;"""",HYPERLINK(""https://wa.me/507""&amp;REGEXREPLACE(C501,""[^0-9]"","""")&amp;""?text=""&amp;ENCODEURL(""Ya llegue. Codigo: ""&amp;A501&amp;"". Ubicacion: ""&amp;""https://www.google.com/maps/search/?api=1&amp;query=""&amp;SUBSTITUTE(F501,"" "","""")),""📲 Avisar al cliente"""&amp;"),"""")"),"")</f>
        <v/>
      </c>
      <c r="L501" s="5" t="str">
        <f>IFERROR(__xludf.DUMMYFUNCTION("IF(C501&lt;&gt;"""",""https://api.qrserver.com/v1/create-qr-code/?size=200x200&amp;data=""&amp;ENCODEURL(""https://wa.me/507""&amp;REGEXREPLACE(C501,""[^0-9]"","""")&amp;""?text=""&amp;ENCODEURL(""Ya llegue. Codigo: ""&amp;A501&amp;"". Ubicacion: ""&amp;""https://www.google.com/maps/search/?a"&amp;"pi=1&amp;query=""&amp;SUBSTITUTE(F501,"" "",""""))),"""")"),"")</f>
        <v/>
      </c>
      <c r="M501" s="5" t="str">
        <f t="shared" si="6"/>
        <v/>
      </c>
      <c r="N501" s="5" t="str">
        <f>IFERROR(__xludf.DUMMYFUNCTION("IF(AND(F501&lt;&gt;"""",REGEXMATCH(SUBSTITUTE(F501,"" "",""""),""^-?\d+(\.\d+)?,-?\d+(\.\d+)?$""),VALUE(REGEXEXTRACT(SUBSTITUTE(F501,"" "",""""),""^-?\d+(\.\d+)?""))&gt;=-90,VALUE(REGEXEXTRACT(SUBSTITUTE(F501,"" "",""""),""^-?\d+(\.\d+)?""))&lt;=90,VALUE(REGEXEXTRACT"&amp;"(SUBSTITUTE(F501,"" "",""""),""-?\d+(\.\d+)?$""))&gt;=-180,VALUE(REGEXEXTRACT(SUBSTITUTE(F501,"" "",""""),""-?\d+(\.\d+)?$""))&lt;=180),""OK"",""REVISAR"")"),"#N/A")</f>
        <v>#N/A</v>
      </c>
    </row>
    <row r="502" ht="15.75" customHeight="1">
      <c r="A502" s="5" t="str">
        <f t="shared" si="1"/>
        <v>AD507-0500</v>
      </c>
      <c r="C502" s="5"/>
      <c r="F502" s="5"/>
      <c r="G502" s="5" t="str">
        <f t="shared" si="2"/>
        <v/>
      </c>
      <c r="H502" s="5" t="str">
        <f t="shared" si="3"/>
        <v/>
      </c>
      <c r="I502" s="5" t="str">
        <f t="shared" si="4"/>
        <v/>
      </c>
      <c r="J502" s="5" t="str">
        <f t="shared" si="5"/>
        <v/>
      </c>
      <c r="K502" s="5" t="str">
        <f>IFERROR(__xludf.DUMMYFUNCTION("IF(C502&lt;&gt;"""",HYPERLINK(""https://wa.me/507""&amp;REGEXREPLACE(C502,""[^0-9]"","""")&amp;""?text=""&amp;ENCODEURL(""Ya llegue. Codigo: ""&amp;A502&amp;"". Ubicacion: ""&amp;""https://www.google.com/maps/search/?api=1&amp;query=""&amp;SUBSTITUTE(F502,"" "","""")),""📲 Avisar al cliente"""&amp;"),"""")"),"")</f>
        <v/>
      </c>
      <c r="L502" s="5" t="str">
        <f>IFERROR(__xludf.DUMMYFUNCTION("IF(C502&lt;&gt;"""",""https://api.qrserver.com/v1/create-qr-code/?size=200x200&amp;data=""&amp;ENCODEURL(""https://wa.me/507""&amp;REGEXREPLACE(C502,""[^0-9]"","""")&amp;""?text=""&amp;ENCODEURL(""Ya llegue. Codigo: ""&amp;A502&amp;"". Ubicacion: ""&amp;""https://www.google.com/maps/search/?a"&amp;"pi=1&amp;query=""&amp;SUBSTITUTE(F502,"" "",""""))),"""")"),"")</f>
        <v/>
      </c>
      <c r="M502" s="5" t="str">
        <f t="shared" si="6"/>
        <v/>
      </c>
      <c r="N502" s="5" t="str">
        <f>IFERROR(__xludf.DUMMYFUNCTION("IF(AND(F502&lt;&gt;"""",REGEXMATCH(SUBSTITUTE(F502,"" "",""""),""^-?\d+(\.\d+)?,-?\d+(\.\d+)?$""),VALUE(REGEXEXTRACT(SUBSTITUTE(F502,"" "",""""),""^-?\d+(\.\d+)?""))&gt;=-90,VALUE(REGEXEXTRACT(SUBSTITUTE(F502,"" "",""""),""^-?\d+(\.\d+)?""))&lt;=90,VALUE(REGEXEXTRACT"&amp;"(SUBSTITUTE(F502,"" "",""""),""-?\d+(\.\d+)?$""))&gt;=-180,VALUE(REGEXEXTRACT(SUBSTITUTE(F502,"" "",""""),""-?\d+(\.\d+)?$""))&lt;=180),""OK"",""REVISAR"")"),"#N/A")</f>
        <v>#N/A</v>
      </c>
    </row>
    <row r="503" ht="15.75" customHeight="1">
      <c r="A503" s="5" t="str">
        <f t="shared" si="1"/>
        <v>AD507-0501</v>
      </c>
      <c r="C503" s="5"/>
      <c r="F503" s="5"/>
      <c r="G503" s="5" t="str">
        <f t="shared" si="2"/>
        <v/>
      </c>
      <c r="H503" s="5" t="str">
        <f t="shared" si="3"/>
        <v/>
      </c>
      <c r="I503" s="5" t="str">
        <f t="shared" si="4"/>
        <v/>
      </c>
      <c r="J503" s="5" t="str">
        <f t="shared" si="5"/>
        <v/>
      </c>
      <c r="K503" s="5" t="str">
        <f>IFERROR(__xludf.DUMMYFUNCTION("IF(C503&lt;&gt;"""",HYPERLINK(""https://wa.me/507""&amp;REGEXREPLACE(C503,""[^0-9]"","""")&amp;""?text=""&amp;ENCODEURL(""Ya llegue. Codigo: ""&amp;A503&amp;"". Ubicacion: ""&amp;""https://www.google.com/maps/search/?api=1&amp;query=""&amp;SUBSTITUTE(F503,"" "","""")),""📲 Avisar al cliente"""&amp;"),"""")"),"")</f>
        <v/>
      </c>
      <c r="L503" s="5" t="str">
        <f>IFERROR(__xludf.DUMMYFUNCTION("IF(C503&lt;&gt;"""",""https://api.qrserver.com/v1/create-qr-code/?size=200x200&amp;data=""&amp;ENCODEURL(""https://wa.me/507""&amp;REGEXREPLACE(C503,""[^0-9]"","""")&amp;""?text=""&amp;ENCODEURL(""Ya llegue. Codigo: ""&amp;A503&amp;"". Ubicacion: ""&amp;""https://www.google.com/maps/search/?a"&amp;"pi=1&amp;query=""&amp;SUBSTITUTE(F503,"" "",""""))),"""")"),"")</f>
        <v/>
      </c>
      <c r="M503" s="5" t="str">
        <f t="shared" si="6"/>
        <v/>
      </c>
      <c r="N503" s="5" t="str">
        <f>IFERROR(__xludf.DUMMYFUNCTION("IF(AND(F503&lt;&gt;"""",REGEXMATCH(SUBSTITUTE(F503,"" "",""""),""^-?\d+(\.\d+)?,-?\d+(\.\d+)?$""),VALUE(REGEXEXTRACT(SUBSTITUTE(F503,"" "",""""),""^-?\d+(\.\d+)?""))&gt;=-90,VALUE(REGEXEXTRACT(SUBSTITUTE(F503,"" "",""""),""^-?\d+(\.\d+)?""))&lt;=90,VALUE(REGEXEXTRACT"&amp;"(SUBSTITUTE(F503,"" "",""""),""-?\d+(\.\d+)?$""))&gt;=-180,VALUE(REGEXEXTRACT(SUBSTITUTE(F503,"" "",""""),""-?\d+(\.\d+)?$""))&lt;=180),""OK"",""REVISAR"")"),"#N/A")</f>
        <v>#N/A</v>
      </c>
    </row>
    <row r="504" ht="15.75" customHeight="1">
      <c r="A504" s="5" t="str">
        <f t="shared" si="1"/>
        <v>AD507-0502</v>
      </c>
      <c r="C504" s="5"/>
      <c r="F504" s="5"/>
      <c r="G504" s="5" t="str">
        <f t="shared" si="2"/>
        <v/>
      </c>
      <c r="H504" s="5" t="str">
        <f t="shared" si="3"/>
        <v/>
      </c>
      <c r="I504" s="5" t="str">
        <f t="shared" si="4"/>
        <v/>
      </c>
      <c r="J504" s="5" t="str">
        <f t="shared" si="5"/>
        <v/>
      </c>
      <c r="K504" s="5" t="str">
        <f>IFERROR(__xludf.DUMMYFUNCTION("IF(C504&lt;&gt;"""",HYPERLINK(""https://wa.me/507""&amp;REGEXREPLACE(C504,""[^0-9]"","""")&amp;""?text=""&amp;ENCODEURL(""Ya llegue. Codigo: ""&amp;A504&amp;"". Ubicacion: ""&amp;""https://www.google.com/maps/search/?api=1&amp;query=""&amp;SUBSTITUTE(F504,"" "","""")),""📲 Avisar al cliente"""&amp;"),"""")"),"")</f>
        <v/>
      </c>
      <c r="L504" s="5" t="str">
        <f>IFERROR(__xludf.DUMMYFUNCTION("IF(C504&lt;&gt;"""",""https://api.qrserver.com/v1/create-qr-code/?size=200x200&amp;data=""&amp;ENCODEURL(""https://wa.me/507""&amp;REGEXREPLACE(C504,""[^0-9]"","""")&amp;""?text=""&amp;ENCODEURL(""Ya llegue. Codigo: ""&amp;A504&amp;"". Ubicacion: ""&amp;""https://www.google.com/maps/search/?a"&amp;"pi=1&amp;query=""&amp;SUBSTITUTE(F504,"" "",""""))),"""")"),"")</f>
        <v/>
      </c>
      <c r="M504" s="5" t="str">
        <f t="shared" si="6"/>
        <v/>
      </c>
      <c r="N504" s="5" t="str">
        <f>IFERROR(__xludf.DUMMYFUNCTION("IF(AND(F504&lt;&gt;"""",REGEXMATCH(SUBSTITUTE(F504,"" "",""""),""^-?\d+(\.\d+)?,-?\d+(\.\d+)?$""),VALUE(REGEXEXTRACT(SUBSTITUTE(F504,"" "",""""),""^-?\d+(\.\d+)?""))&gt;=-90,VALUE(REGEXEXTRACT(SUBSTITUTE(F504,"" "",""""),""^-?\d+(\.\d+)?""))&lt;=90,VALUE(REGEXEXTRACT"&amp;"(SUBSTITUTE(F504,"" "",""""),""-?\d+(\.\d+)?$""))&gt;=-180,VALUE(REGEXEXTRACT(SUBSTITUTE(F504,"" "",""""),""-?\d+(\.\d+)?$""))&lt;=180),""OK"",""REVISAR"")"),"#N/A")</f>
        <v>#N/A</v>
      </c>
    </row>
    <row r="505" ht="15.75" customHeight="1">
      <c r="A505" s="5" t="str">
        <f t="shared" si="1"/>
        <v>AD507-0503</v>
      </c>
      <c r="C505" s="5"/>
      <c r="F505" s="5"/>
      <c r="G505" s="5" t="str">
        <f t="shared" si="2"/>
        <v/>
      </c>
      <c r="H505" s="5" t="str">
        <f t="shared" si="3"/>
        <v/>
      </c>
      <c r="I505" s="5" t="str">
        <f t="shared" si="4"/>
        <v/>
      </c>
      <c r="J505" s="5" t="str">
        <f t="shared" si="5"/>
        <v/>
      </c>
      <c r="K505" s="5" t="str">
        <f>IFERROR(__xludf.DUMMYFUNCTION("IF(C505&lt;&gt;"""",HYPERLINK(""https://wa.me/507""&amp;REGEXREPLACE(C505,""[^0-9]"","""")&amp;""?text=""&amp;ENCODEURL(""Ya llegue. Codigo: ""&amp;A505&amp;"". Ubicacion: ""&amp;""https://www.google.com/maps/search/?api=1&amp;query=""&amp;SUBSTITUTE(F505,"" "","""")),""📲 Avisar al cliente"""&amp;"),"""")"),"")</f>
        <v/>
      </c>
      <c r="L505" s="5" t="str">
        <f>IFERROR(__xludf.DUMMYFUNCTION("IF(C505&lt;&gt;"""",""https://api.qrserver.com/v1/create-qr-code/?size=200x200&amp;data=""&amp;ENCODEURL(""https://wa.me/507""&amp;REGEXREPLACE(C505,""[^0-9]"","""")&amp;""?text=""&amp;ENCODEURL(""Ya llegue. Codigo: ""&amp;A505&amp;"". Ubicacion: ""&amp;""https://www.google.com/maps/search/?a"&amp;"pi=1&amp;query=""&amp;SUBSTITUTE(F505,"" "",""""))),"""")"),"")</f>
        <v/>
      </c>
      <c r="M505" s="5" t="str">
        <f t="shared" si="6"/>
        <v/>
      </c>
      <c r="N505" s="5" t="str">
        <f>IFERROR(__xludf.DUMMYFUNCTION("IF(AND(F505&lt;&gt;"""",REGEXMATCH(SUBSTITUTE(F505,"" "",""""),""^-?\d+(\.\d+)?,-?\d+(\.\d+)?$""),VALUE(REGEXEXTRACT(SUBSTITUTE(F505,"" "",""""),""^-?\d+(\.\d+)?""))&gt;=-90,VALUE(REGEXEXTRACT(SUBSTITUTE(F505,"" "",""""),""^-?\d+(\.\d+)?""))&lt;=90,VALUE(REGEXEXTRACT"&amp;"(SUBSTITUTE(F505,"" "",""""),""-?\d+(\.\d+)?$""))&gt;=-180,VALUE(REGEXEXTRACT(SUBSTITUTE(F505,"" "",""""),""-?\d+(\.\d+)?$""))&lt;=180),""OK"",""REVISAR"")"),"#N/A")</f>
        <v>#N/A</v>
      </c>
    </row>
    <row r="506" ht="15.75" customHeight="1">
      <c r="A506" s="5" t="str">
        <f t="shared" si="1"/>
        <v>AD507-0504</v>
      </c>
      <c r="C506" s="5"/>
      <c r="F506" s="5"/>
      <c r="G506" s="5" t="str">
        <f t="shared" si="2"/>
        <v/>
      </c>
      <c r="H506" s="5" t="str">
        <f t="shared" si="3"/>
        <v/>
      </c>
      <c r="I506" s="5" t="str">
        <f t="shared" si="4"/>
        <v/>
      </c>
      <c r="J506" s="5" t="str">
        <f t="shared" si="5"/>
        <v/>
      </c>
      <c r="K506" s="5" t="str">
        <f>IFERROR(__xludf.DUMMYFUNCTION("IF(C506&lt;&gt;"""",HYPERLINK(""https://wa.me/507""&amp;REGEXREPLACE(C506,""[^0-9]"","""")&amp;""?text=""&amp;ENCODEURL(""Ya llegue. Codigo: ""&amp;A506&amp;"". Ubicacion: ""&amp;""https://www.google.com/maps/search/?api=1&amp;query=""&amp;SUBSTITUTE(F506,"" "","""")),""📲 Avisar al cliente"""&amp;"),"""")"),"")</f>
        <v/>
      </c>
      <c r="L506" s="5" t="str">
        <f>IFERROR(__xludf.DUMMYFUNCTION("IF(C506&lt;&gt;"""",""https://api.qrserver.com/v1/create-qr-code/?size=200x200&amp;data=""&amp;ENCODEURL(""https://wa.me/507""&amp;REGEXREPLACE(C506,""[^0-9]"","""")&amp;""?text=""&amp;ENCODEURL(""Ya llegue. Codigo: ""&amp;A506&amp;"". Ubicacion: ""&amp;""https://www.google.com/maps/search/?a"&amp;"pi=1&amp;query=""&amp;SUBSTITUTE(F506,"" "",""""))),"""")"),"")</f>
        <v/>
      </c>
      <c r="M506" s="5" t="str">
        <f t="shared" si="6"/>
        <v/>
      </c>
      <c r="N506" s="5" t="str">
        <f>IFERROR(__xludf.DUMMYFUNCTION("IF(AND(F506&lt;&gt;"""",REGEXMATCH(SUBSTITUTE(F506,"" "",""""),""^-?\d+(\.\d+)?,-?\d+(\.\d+)?$""),VALUE(REGEXEXTRACT(SUBSTITUTE(F506,"" "",""""),""^-?\d+(\.\d+)?""))&gt;=-90,VALUE(REGEXEXTRACT(SUBSTITUTE(F506,"" "",""""),""^-?\d+(\.\d+)?""))&lt;=90,VALUE(REGEXEXTRACT"&amp;"(SUBSTITUTE(F506,"" "",""""),""-?\d+(\.\d+)?$""))&gt;=-180,VALUE(REGEXEXTRACT(SUBSTITUTE(F506,"" "",""""),""-?\d+(\.\d+)?$""))&lt;=180),""OK"",""REVISAR"")"),"#N/A")</f>
        <v>#N/A</v>
      </c>
    </row>
    <row r="507" ht="15.75" customHeight="1">
      <c r="A507" s="5" t="str">
        <f t="shared" si="1"/>
        <v>AD507-0505</v>
      </c>
      <c r="C507" s="5"/>
      <c r="F507" s="5"/>
      <c r="G507" s="5" t="str">
        <f t="shared" si="2"/>
        <v/>
      </c>
      <c r="H507" s="5" t="str">
        <f t="shared" si="3"/>
        <v/>
      </c>
      <c r="I507" s="5" t="str">
        <f t="shared" si="4"/>
        <v/>
      </c>
      <c r="J507" s="5" t="str">
        <f t="shared" si="5"/>
        <v/>
      </c>
      <c r="K507" s="5" t="str">
        <f>IFERROR(__xludf.DUMMYFUNCTION("IF(C507&lt;&gt;"""",HYPERLINK(""https://wa.me/507""&amp;REGEXREPLACE(C507,""[^0-9]"","""")&amp;""?text=""&amp;ENCODEURL(""Ya llegue. Codigo: ""&amp;A507&amp;"". Ubicacion: ""&amp;""https://www.google.com/maps/search/?api=1&amp;query=""&amp;SUBSTITUTE(F507,"" "","""")),""📲 Avisar al cliente"""&amp;"),"""")"),"")</f>
        <v/>
      </c>
      <c r="L507" s="5" t="str">
        <f>IFERROR(__xludf.DUMMYFUNCTION("IF(C507&lt;&gt;"""",""https://api.qrserver.com/v1/create-qr-code/?size=200x200&amp;data=""&amp;ENCODEURL(""https://wa.me/507""&amp;REGEXREPLACE(C507,""[^0-9]"","""")&amp;""?text=""&amp;ENCODEURL(""Ya llegue. Codigo: ""&amp;A507&amp;"". Ubicacion: ""&amp;""https://www.google.com/maps/search/?a"&amp;"pi=1&amp;query=""&amp;SUBSTITUTE(F507,"" "",""""))),"""")"),"")</f>
        <v/>
      </c>
      <c r="M507" s="5" t="str">
        <f t="shared" si="6"/>
        <v/>
      </c>
      <c r="N507" s="5" t="str">
        <f>IFERROR(__xludf.DUMMYFUNCTION("IF(AND(F507&lt;&gt;"""",REGEXMATCH(SUBSTITUTE(F507,"" "",""""),""^-?\d+(\.\d+)?,-?\d+(\.\d+)?$""),VALUE(REGEXEXTRACT(SUBSTITUTE(F507,"" "",""""),""^-?\d+(\.\d+)?""))&gt;=-90,VALUE(REGEXEXTRACT(SUBSTITUTE(F507,"" "",""""),""^-?\d+(\.\d+)?""))&lt;=90,VALUE(REGEXEXTRACT"&amp;"(SUBSTITUTE(F507,"" "",""""),""-?\d+(\.\d+)?$""))&gt;=-180,VALUE(REGEXEXTRACT(SUBSTITUTE(F507,"" "",""""),""-?\d+(\.\d+)?$""))&lt;=180),""OK"",""REVISAR"")"),"#N/A")</f>
        <v>#N/A</v>
      </c>
    </row>
    <row r="508" ht="15.75" customHeight="1">
      <c r="A508" s="5" t="str">
        <f t="shared" si="1"/>
        <v>AD507-0506</v>
      </c>
      <c r="C508" s="5"/>
      <c r="F508" s="5"/>
      <c r="G508" s="5" t="str">
        <f t="shared" si="2"/>
        <v/>
      </c>
      <c r="H508" s="5" t="str">
        <f t="shared" si="3"/>
        <v/>
      </c>
      <c r="I508" s="5" t="str">
        <f t="shared" si="4"/>
        <v/>
      </c>
      <c r="J508" s="5" t="str">
        <f t="shared" si="5"/>
        <v/>
      </c>
      <c r="K508" s="5" t="str">
        <f>IFERROR(__xludf.DUMMYFUNCTION("IF(C508&lt;&gt;"""",HYPERLINK(""https://wa.me/507""&amp;REGEXREPLACE(C508,""[^0-9]"","""")&amp;""?text=""&amp;ENCODEURL(""Ya llegue. Codigo: ""&amp;A508&amp;"". Ubicacion: ""&amp;""https://www.google.com/maps/search/?api=1&amp;query=""&amp;SUBSTITUTE(F508,"" "","""")),""📲 Avisar al cliente"""&amp;"),"""")"),"")</f>
        <v/>
      </c>
      <c r="L508" s="5" t="str">
        <f>IFERROR(__xludf.DUMMYFUNCTION("IF(C508&lt;&gt;"""",""https://api.qrserver.com/v1/create-qr-code/?size=200x200&amp;data=""&amp;ENCODEURL(""https://wa.me/507""&amp;REGEXREPLACE(C508,""[^0-9]"","""")&amp;""?text=""&amp;ENCODEURL(""Ya llegue. Codigo: ""&amp;A508&amp;"". Ubicacion: ""&amp;""https://www.google.com/maps/search/?a"&amp;"pi=1&amp;query=""&amp;SUBSTITUTE(F508,"" "",""""))),"""")"),"")</f>
        <v/>
      </c>
      <c r="M508" s="5" t="str">
        <f t="shared" si="6"/>
        <v/>
      </c>
      <c r="N508" s="5" t="str">
        <f>IFERROR(__xludf.DUMMYFUNCTION("IF(AND(F508&lt;&gt;"""",REGEXMATCH(SUBSTITUTE(F508,"" "",""""),""^-?\d+(\.\d+)?,-?\d+(\.\d+)?$""),VALUE(REGEXEXTRACT(SUBSTITUTE(F508,"" "",""""),""^-?\d+(\.\d+)?""))&gt;=-90,VALUE(REGEXEXTRACT(SUBSTITUTE(F508,"" "",""""),""^-?\d+(\.\d+)?""))&lt;=90,VALUE(REGEXEXTRACT"&amp;"(SUBSTITUTE(F508,"" "",""""),""-?\d+(\.\d+)?$""))&gt;=-180,VALUE(REGEXEXTRACT(SUBSTITUTE(F508,"" "",""""),""-?\d+(\.\d+)?$""))&lt;=180),""OK"",""REVISAR"")"),"#N/A")</f>
        <v>#N/A</v>
      </c>
    </row>
    <row r="509" ht="15.75" customHeight="1">
      <c r="A509" s="5" t="str">
        <f t="shared" si="1"/>
        <v>AD507-0507</v>
      </c>
      <c r="C509" s="5"/>
      <c r="F509" s="5"/>
      <c r="G509" s="5" t="str">
        <f t="shared" si="2"/>
        <v/>
      </c>
      <c r="H509" s="5" t="str">
        <f t="shared" si="3"/>
        <v/>
      </c>
      <c r="I509" s="5" t="str">
        <f t="shared" si="4"/>
        <v/>
      </c>
      <c r="J509" s="5" t="str">
        <f t="shared" si="5"/>
        <v/>
      </c>
      <c r="K509" s="5" t="str">
        <f>IFERROR(__xludf.DUMMYFUNCTION("IF(C509&lt;&gt;"""",HYPERLINK(""https://wa.me/507""&amp;REGEXREPLACE(C509,""[^0-9]"","""")&amp;""?text=""&amp;ENCODEURL(""Ya llegue. Codigo: ""&amp;A509&amp;"". Ubicacion: ""&amp;""https://www.google.com/maps/search/?api=1&amp;query=""&amp;SUBSTITUTE(F509,"" "","""")),""📲 Avisar al cliente"""&amp;"),"""")"),"")</f>
        <v/>
      </c>
      <c r="L509" s="5" t="str">
        <f>IFERROR(__xludf.DUMMYFUNCTION("IF(C509&lt;&gt;"""",""https://api.qrserver.com/v1/create-qr-code/?size=200x200&amp;data=""&amp;ENCODEURL(""https://wa.me/507""&amp;REGEXREPLACE(C509,""[^0-9]"","""")&amp;""?text=""&amp;ENCODEURL(""Ya llegue. Codigo: ""&amp;A509&amp;"". Ubicacion: ""&amp;""https://www.google.com/maps/search/?a"&amp;"pi=1&amp;query=""&amp;SUBSTITUTE(F509,"" "",""""))),"""")"),"")</f>
        <v/>
      </c>
      <c r="M509" s="5" t="str">
        <f t="shared" si="6"/>
        <v/>
      </c>
      <c r="N509" s="5" t="str">
        <f>IFERROR(__xludf.DUMMYFUNCTION("IF(AND(F509&lt;&gt;"""",REGEXMATCH(SUBSTITUTE(F509,"" "",""""),""^-?\d+(\.\d+)?,-?\d+(\.\d+)?$""),VALUE(REGEXEXTRACT(SUBSTITUTE(F509,"" "",""""),""^-?\d+(\.\d+)?""))&gt;=-90,VALUE(REGEXEXTRACT(SUBSTITUTE(F509,"" "",""""),""^-?\d+(\.\d+)?""))&lt;=90,VALUE(REGEXEXTRACT"&amp;"(SUBSTITUTE(F509,"" "",""""),""-?\d+(\.\d+)?$""))&gt;=-180,VALUE(REGEXEXTRACT(SUBSTITUTE(F509,"" "",""""),""-?\d+(\.\d+)?$""))&lt;=180),""OK"",""REVISAR"")"),"#N/A")</f>
        <v>#N/A</v>
      </c>
    </row>
    <row r="510" ht="15.75" customHeight="1">
      <c r="A510" s="5" t="str">
        <f t="shared" si="1"/>
        <v>AD507-0508</v>
      </c>
      <c r="C510" s="5"/>
      <c r="F510" s="5"/>
      <c r="G510" s="5" t="str">
        <f t="shared" si="2"/>
        <v/>
      </c>
      <c r="H510" s="5" t="str">
        <f t="shared" si="3"/>
        <v/>
      </c>
      <c r="I510" s="5" t="str">
        <f t="shared" si="4"/>
        <v/>
      </c>
      <c r="J510" s="5" t="str">
        <f t="shared" si="5"/>
        <v/>
      </c>
      <c r="K510" s="5" t="str">
        <f>IFERROR(__xludf.DUMMYFUNCTION("IF(C510&lt;&gt;"""",HYPERLINK(""https://wa.me/507""&amp;REGEXREPLACE(C510,""[^0-9]"","""")&amp;""?text=""&amp;ENCODEURL(""Ya llegue. Codigo: ""&amp;A510&amp;"". Ubicacion: ""&amp;""https://www.google.com/maps/search/?api=1&amp;query=""&amp;SUBSTITUTE(F510,"" "","""")),""📲 Avisar al cliente"""&amp;"),"""")"),"")</f>
        <v/>
      </c>
      <c r="L510" s="5" t="str">
        <f>IFERROR(__xludf.DUMMYFUNCTION("IF(C510&lt;&gt;"""",""https://api.qrserver.com/v1/create-qr-code/?size=200x200&amp;data=""&amp;ENCODEURL(""https://wa.me/507""&amp;REGEXREPLACE(C510,""[^0-9]"","""")&amp;""?text=""&amp;ENCODEURL(""Ya llegue. Codigo: ""&amp;A510&amp;"". Ubicacion: ""&amp;""https://www.google.com/maps/search/?a"&amp;"pi=1&amp;query=""&amp;SUBSTITUTE(F510,"" "",""""))),"""")"),"")</f>
        <v/>
      </c>
      <c r="M510" s="5" t="str">
        <f t="shared" si="6"/>
        <v/>
      </c>
      <c r="N510" s="5" t="str">
        <f>IFERROR(__xludf.DUMMYFUNCTION("IF(AND(F510&lt;&gt;"""",REGEXMATCH(SUBSTITUTE(F510,"" "",""""),""^-?\d+(\.\d+)?,-?\d+(\.\d+)?$""),VALUE(REGEXEXTRACT(SUBSTITUTE(F510,"" "",""""),""^-?\d+(\.\d+)?""))&gt;=-90,VALUE(REGEXEXTRACT(SUBSTITUTE(F510,"" "",""""),""^-?\d+(\.\d+)?""))&lt;=90,VALUE(REGEXEXTRACT"&amp;"(SUBSTITUTE(F510,"" "",""""),""-?\d+(\.\d+)?$""))&gt;=-180,VALUE(REGEXEXTRACT(SUBSTITUTE(F510,"" "",""""),""-?\d+(\.\d+)?$""))&lt;=180),""OK"",""REVISAR"")"),"#N/A")</f>
        <v>#N/A</v>
      </c>
    </row>
    <row r="511" ht="15.75" customHeight="1">
      <c r="A511" s="5" t="str">
        <f t="shared" si="1"/>
        <v>AD507-0509</v>
      </c>
      <c r="C511" s="5"/>
      <c r="F511" s="5"/>
      <c r="G511" s="5" t="str">
        <f t="shared" si="2"/>
        <v/>
      </c>
      <c r="H511" s="5" t="str">
        <f t="shared" si="3"/>
        <v/>
      </c>
      <c r="I511" s="5" t="str">
        <f t="shared" si="4"/>
        <v/>
      </c>
      <c r="J511" s="5" t="str">
        <f t="shared" si="5"/>
        <v/>
      </c>
      <c r="K511" s="5" t="str">
        <f>IFERROR(__xludf.DUMMYFUNCTION("IF(C511&lt;&gt;"""",HYPERLINK(""https://wa.me/507""&amp;REGEXREPLACE(C511,""[^0-9]"","""")&amp;""?text=""&amp;ENCODEURL(""Ya llegue. Codigo: ""&amp;A511&amp;"". Ubicacion: ""&amp;""https://www.google.com/maps/search/?api=1&amp;query=""&amp;SUBSTITUTE(F511,"" "","""")),""📲 Avisar al cliente"""&amp;"),"""")"),"")</f>
        <v/>
      </c>
      <c r="L511" s="5" t="str">
        <f>IFERROR(__xludf.DUMMYFUNCTION("IF(C511&lt;&gt;"""",""https://api.qrserver.com/v1/create-qr-code/?size=200x200&amp;data=""&amp;ENCODEURL(""https://wa.me/507""&amp;REGEXREPLACE(C511,""[^0-9]"","""")&amp;""?text=""&amp;ENCODEURL(""Ya llegue. Codigo: ""&amp;A511&amp;"". Ubicacion: ""&amp;""https://www.google.com/maps/search/?a"&amp;"pi=1&amp;query=""&amp;SUBSTITUTE(F511,"" "",""""))),"""")"),"")</f>
        <v/>
      </c>
      <c r="M511" s="5" t="str">
        <f t="shared" si="6"/>
        <v/>
      </c>
      <c r="N511" s="5" t="str">
        <f>IFERROR(__xludf.DUMMYFUNCTION("IF(AND(F511&lt;&gt;"""",REGEXMATCH(SUBSTITUTE(F511,"" "",""""),""^-?\d+(\.\d+)?,-?\d+(\.\d+)?$""),VALUE(REGEXEXTRACT(SUBSTITUTE(F511,"" "",""""),""^-?\d+(\.\d+)?""))&gt;=-90,VALUE(REGEXEXTRACT(SUBSTITUTE(F511,"" "",""""),""^-?\d+(\.\d+)?""))&lt;=90,VALUE(REGEXEXTRACT"&amp;"(SUBSTITUTE(F511,"" "",""""),""-?\d+(\.\d+)?$""))&gt;=-180,VALUE(REGEXEXTRACT(SUBSTITUTE(F511,"" "",""""),""-?\d+(\.\d+)?$""))&lt;=180),""OK"",""REVISAR"")"),"#N/A")</f>
        <v>#N/A</v>
      </c>
    </row>
    <row r="512" ht="15.75" customHeight="1">
      <c r="A512" s="5" t="str">
        <f t="shared" si="1"/>
        <v>AD507-0510</v>
      </c>
      <c r="C512" s="5"/>
      <c r="F512" s="5"/>
      <c r="G512" s="5" t="str">
        <f t="shared" si="2"/>
        <v/>
      </c>
      <c r="H512" s="5" t="str">
        <f t="shared" si="3"/>
        <v/>
      </c>
      <c r="I512" s="5" t="str">
        <f t="shared" si="4"/>
        <v/>
      </c>
      <c r="J512" s="5" t="str">
        <f t="shared" si="5"/>
        <v/>
      </c>
      <c r="K512" s="5" t="str">
        <f>IFERROR(__xludf.DUMMYFUNCTION("IF(C512&lt;&gt;"""",HYPERLINK(""https://wa.me/507""&amp;REGEXREPLACE(C512,""[^0-9]"","""")&amp;""?text=""&amp;ENCODEURL(""Ya llegue. Codigo: ""&amp;A512&amp;"". Ubicacion: ""&amp;""https://www.google.com/maps/search/?api=1&amp;query=""&amp;SUBSTITUTE(F512,"" "","""")),""📲 Avisar al cliente"""&amp;"),"""")"),"")</f>
        <v/>
      </c>
      <c r="L512" s="5" t="str">
        <f>IFERROR(__xludf.DUMMYFUNCTION("IF(C512&lt;&gt;"""",""https://api.qrserver.com/v1/create-qr-code/?size=200x200&amp;data=""&amp;ENCODEURL(""https://wa.me/507""&amp;REGEXREPLACE(C512,""[^0-9]"","""")&amp;""?text=""&amp;ENCODEURL(""Ya llegue. Codigo: ""&amp;A512&amp;"". Ubicacion: ""&amp;""https://www.google.com/maps/search/?a"&amp;"pi=1&amp;query=""&amp;SUBSTITUTE(F512,"" "",""""))),"""")"),"")</f>
        <v/>
      </c>
      <c r="M512" s="5" t="str">
        <f t="shared" si="6"/>
        <v/>
      </c>
      <c r="N512" s="5" t="str">
        <f>IFERROR(__xludf.DUMMYFUNCTION("IF(AND(F512&lt;&gt;"""",REGEXMATCH(SUBSTITUTE(F512,"" "",""""),""^-?\d+(\.\d+)?,-?\d+(\.\d+)?$""),VALUE(REGEXEXTRACT(SUBSTITUTE(F512,"" "",""""),""^-?\d+(\.\d+)?""))&gt;=-90,VALUE(REGEXEXTRACT(SUBSTITUTE(F512,"" "",""""),""^-?\d+(\.\d+)?""))&lt;=90,VALUE(REGEXEXTRACT"&amp;"(SUBSTITUTE(F512,"" "",""""),""-?\d+(\.\d+)?$""))&gt;=-180,VALUE(REGEXEXTRACT(SUBSTITUTE(F512,"" "",""""),""-?\d+(\.\d+)?$""))&lt;=180),""OK"",""REVISAR"")"),"#N/A")</f>
        <v>#N/A</v>
      </c>
    </row>
    <row r="513" ht="15.75" customHeight="1">
      <c r="A513" s="5" t="str">
        <f t="shared" si="1"/>
        <v>AD507-0511</v>
      </c>
      <c r="C513" s="5"/>
      <c r="F513" s="5"/>
      <c r="G513" s="5" t="str">
        <f t="shared" si="2"/>
        <v/>
      </c>
      <c r="H513" s="5" t="str">
        <f t="shared" si="3"/>
        <v/>
      </c>
      <c r="I513" s="5" t="str">
        <f t="shared" si="4"/>
        <v/>
      </c>
      <c r="J513" s="5" t="str">
        <f t="shared" si="5"/>
        <v/>
      </c>
      <c r="K513" s="5" t="str">
        <f>IFERROR(__xludf.DUMMYFUNCTION("IF(C513&lt;&gt;"""",HYPERLINK(""https://wa.me/507""&amp;REGEXREPLACE(C513,""[^0-9]"","""")&amp;""?text=""&amp;ENCODEURL(""Ya llegue. Codigo: ""&amp;A513&amp;"". Ubicacion: ""&amp;""https://www.google.com/maps/search/?api=1&amp;query=""&amp;SUBSTITUTE(F513,"" "","""")),""📲 Avisar al cliente"""&amp;"),"""")"),"")</f>
        <v/>
      </c>
      <c r="L513" s="5" t="str">
        <f>IFERROR(__xludf.DUMMYFUNCTION("IF(C513&lt;&gt;"""",""https://api.qrserver.com/v1/create-qr-code/?size=200x200&amp;data=""&amp;ENCODEURL(""https://wa.me/507""&amp;REGEXREPLACE(C513,""[^0-9]"","""")&amp;""?text=""&amp;ENCODEURL(""Ya llegue. Codigo: ""&amp;A513&amp;"". Ubicacion: ""&amp;""https://www.google.com/maps/search/?a"&amp;"pi=1&amp;query=""&amp;SUBSTITUTE(F513,"" "",""""))),"""")"),"")</f>
        <v/>
      </c>
      <c r="M513" s="5" t="str">
        <f t="shared" si="6"/>
        <v/>
      </c>
      <c r="N513" s="5" t="str">
        <f>IFERROR(__xludf.DUMMYFUNCTION("IF(AND(F513&lt;&gt;"""",REGEXMATCH(SUBSTITUTE(F513,"" "",""""),""^-?\d+(\.\d+)?,-?\d+(\.\d+)?$""),VALUE(REGEXEXTRACT(SUBSTITUTE(F513,"" "",""""),""^-?\d+(\.\d+)?""))&gt;=-90,VALUE(REGEXEXTRACT(SUBSTITUTE(F513,"" "",""""),""^-?\d+(\.\d+)?""))&lt;=90,VALUE(REGEXEXTRACT"&amp;"(SUBSTITUTE(F513,"" "",""""),""-?\d+(\.\d+)?$""))&gt;=-180,VALUE(REGEXEXTRACT(SUBSTITUTE(F513,"" "",""""),""-?\d+(\.\d+)?$""))&lt;=180),""OK"",""REVISAR"")"),"#N/A")</f>
        <v>#N/A</v>
      </c>
    </row>
    <row r="514" ht="15.75" customHeight="1">
      <c r="A514" s="5" t="str">
        <f t="shared" si="1"/>
        <v>AD507-0512</v>
      </c>
      <c r="C514" s="5"/>
      <c r="F514" s="5"/>
      <c r="G514" s="5" t="str">
        <f t="shared" si="2"/>
        <v/>
      </c>
      <c r="H514" s="5" t="str">
        <f t="shared" si="3"/>
        <v/>
      </c>
      <c r="I514" s="5" t="str">
        <f t="shared" si="4"/>
        <v/>
      </c>
      <c r="J514" s="5" t="str">
        <f t="shared" si="5"/>
        <v/>
      </c>
      <c r="K514" s="5" t="str">
        <f>IFERROR(__xludf.DUMMYFUNCTION("IF(C514&lt;&gt;"""",HYPERLINK(""https://wa.me/507""&amp;REGEXREPLACE(C514,""[^0-9]"","""")&amp;""?text=""&amp;ENCODEURL(""Ya llegue. Codigo: ""&amp;A514&amp;"". Ubicacion: ""&amp;""https://www.google.com/maps/search/?api=1&amp;query=""&amp;SUBSTITUTE(F514,"" "","""")),""📲 Avisar al cliente"""&amp;"),"""")"),"")</f>
        <v/>
      </c>
      <c r="L514" s="5" t="str">
        <f>IFERROR(__xludf.DUMMYFUNCTION("IF(C514&lt;&gt;"""",""https://api.qrserver.com/v1/create-qr-code/?size=200x200&amp;data=""&amp;ENCODEURL(""https://wa.me/507""&amp;REGEXREPLACE(C514,""[^0-9]"","""")&amp;""?text=""&amp;ENCODEURL(""Ya llegue. Codigo: ""&amp;A514&amp;"". Ubicacion: ""&amp;""https://www.google.com/maps/search/?a"&amp;"pi=1&amp;query=""&amp;SUBSTITUTE(F514,"" "",""""))),"""")"),"")</f>
        <v/>
      </c>
      <c r="M514" s="5" t="str">
        <f t="shared" si="6"/>
        <v/>
      </c>
      <c r="N514" s="5" t="str">
        <f>IFERROR(__xludf.DUMMYFUNCTION("IF(AND(F514&lt;&gt;"""",REGEXMATCH(SUBSTITUTE(F514,"" "",""""),""^-?\d+(\.\d+)?,-?\d+(\.\d+)?$""),VALUE(REGEXEXTRACT(SUBSTITUTE(F514,"" "",""""),""^-?\d+(\.\d+)?""))&gt;=-90,VALUE(REGEXEXTRACT(SUBSTITUTE(F514,"" "",""""),""^-?\d+(\.\d+)?""))&lt;=90,VALUE(REGEXEXTRACT"&amp;"(SUBSTITUTE(F514,"" "",""""),""-?\d+(\.\d+)?$""))&gt;=-180,VALUE(REGEXEXTRACT(SUBSTITUTE(F514,"" "",""""),""-?\d+(\.\d+)?$""))&lt;=180),""OK"",""REVISAR"")"),"#N/A")</f>
        <v>#N/A</v>
      </c>
    </row>
    <row r="515" ht="15.75" customHeight="1">
      <c r="A515" s="5" t="str">
        <f t="shared" si="1"/>
        <v>AD507-0513</v>
      </c>
      <c r="C515" s="5"/>
      <c r="F515" s="5"/>
      <c r="G515" s="5" t="str">
        <f t="shared" si="2"/>
        <v/>
      </c>
      <c r="H515" s="5" t="str">
        <f t="shared" si="3"/>
        <v/>
      </c>
      <c r="I515" s="5" t="str">
        <f t="shared" si="4"/>
        <v/>
      </c>
      <c r="J515" s="5" t="str">
        <f t="shared" si="5"/>
        <v/>
      </c>
      <c r="K515" s="5" t="str">
        <f>IFERROR(__xludf.DUMMYFUNCTION("IF(C515&lt;&gt;"""",HYPERLINK(""https://wa.me/507""&amp;REGEXREPLACE(C515,""[^0-9]"","""")&amp;""?text=""&amp;ENCODEURL(""Ya llegue. Codigo: ""&amp;A515&amp;"". Ubicacion: ""&amp;""https://www.google.com/maps/search/?api=1&amp;query=""&amp;SUBSTITUTE(F515,"" "","""")),""📲 Avisar al cliente"""&amp;"),"""")"),"")</f>
        <v/>
      </c>
      <c r="L515" s="5" t="str">
        <f>IFERROR(__xludf.DUMMYFUNCTION("IF(C515&lt;&gt;"""",""https://api.qrserver.com/v1/create-qr-code/?size=200x200&amp;data=""&amp;ENCODEURL(""https://wa.me/507""&amp;REGEXREPLACE(C515,""[^0-9]"","""")&amp;""?text=""&amp;ENCODEURL(""Ya llegue. Codigo: ""&amp;A515&amp;"". Ubicacion: ""&amp;""https://www.google.com/maps/search/?a"&amp;"pi=1&amp;query=""&amp;SUBSTITUTE(F515,"" "",""""))),"""")"),"")</f>
        <v/>
      </c>
      <c r="M515" s="5" t="str">
        <f t="shared" si="6"/>
        <v/>
      </c>
      <c r="N515" s="5" t="str">
        <f>IFERROR(__xludf.DUMMYFUNCTION("IF(AND(F515&lt;&gt;"""",REGEXMATCH(SUBSTITUTE(F515,"" "",""""),""^-?\d+(\.\d+)?,-?\d+(\.\d+)?$""),VALUE(REGEXEXTRACT(SUBSTITUTE(F515,"" "",""""),""^-?\d+(\.\d+)?""))&gt;=-90,VALUE(REGEXEXTRACT(SUBSTITUTE(F515,"" "",""""),""^-?\d+(\.\d+)?""))&lt;=90,VALUE(REGEXEXTRACT"&amp;"(SUBSTITUTE(F515,"" "",""""),""-?\d+(\.\d+)?$""))&gt;=-180,VALUE(REGEXEXTRACT(SUBSTITUTE(F515,"" "",""""),""-?\d+(\.\d+)?$""))&lt;=180),""OK"",""REVISAR"")"),"#N/A")</f>
        <v>#N/A</v>
      </c>
    </row>
    <row r="516" ht="15.75" customHeight="1">
      <c r="A516" s="5" t="str">
        <f t="shared" si="1"/>
        <v>AD507-0514</v>
      </c>
      <c r="C516" s="5"/>
      <c r="F516" s="5"/>
      <c r="G516" s="5" t="str">
        <f t="shared" si="2"/>
        <v/>
      </c>
      <c r="H516" s="5" t="str">
        <f t="shared" si="3"/>
        <v/>
      </c>
      <c r="I516" s="5" t="str">
        <f t="shared" si="4"/>
        <v/>
      </c>
      <c r="J516" s="5" t="str">
        <f t="shared" si="5"/>
        <v/>
      </c>
      <c r="K516" s="5" t="str">
        <f>IFERROR(__xludf.DUMMYFUNCTION("IF(C516&lt;&gt;"""",HYPERLINK(""https://wa.me/507""&amp;REGEXREPLACE(C516,""[^0-9]"","""")&amp;""?text=""&amp;ENCODEURL(""Ya llegue. Codigo: ""&amp;A516&amp;"". Ubicacion: ""&amp;""https://www.google.com/maps/search/?api=1&amp;query=""&amp;SUBSTITUTE(F516,"" "","""")),""📲 Avisar al cliente"""&amp;"),"""")"),"")</f>
        <v/>
      </c>
      <c r="L516" s="5" t="str">
        <f>IFERROR(__xludf.DUMMYFUNCTION("IF(C516&lt;&gt;"""",""https://api.qrserver.com/v1/create-qr-code/?size=200x200&amp;data=""&amp;ENCODEURL(""https://wa.me/507""&amp;REGEXREPLACE(C516,""[^0-9]"","""")&amp;""?text=""&amp;ENCODEURL(""Ya llegue. Codigo: ""&amp;A516&amp;"". Ubicacion: ""&amp;""https://www.google.com/maps/search/?a"&amp;"pi=1&amp;query=""&amp;SUBSTITUTE(F516,"" "",""""))),"""")"),"")</f>
        <v/>
      </c>
      <c r="M516" s="5" t="str">
        <f t="shared" si="6"/>
        <v/>
      </c>
      <c r="N516" s="5" t="str">
        <f>IFERROR(__xludf.DUMMYFUNCTION("IF(AND(F516&lt;&gt;"""",REGEXMATCH(SUBSTITUTE(F516,"" "",""""),""^-?\d+(\.\d+)?,-?\d+(\.\d+)?$""),VALUE(REGEXEXTRACT(SUBSTITUTE(F516,"" "",""""),""^-?\d+(\.\d+)?""))&gt;=-90,VALUE(REGEXEXTRACT(SUBSTITUTE(F516,"" "",""""),""^-?\d+(\.\d+)?""))&lt;=90,VALUE(REGEXEXTRACT"&amp;"(SUBSTITUTE(F516,"" "",""""),""-?\d+(\.\d+)?$""))&gt;=-180,VALUE(REGEXEXTRACT(SUBSTITUTE(F516,"" "",""""),""-?\d+(\.\d+)?$""))&lt;=180),""OK"",""REVISAR"")"),"#N/A")</f>
        <v>#N/A</v>
      </c>
    </row>
    <row r="517" ht="15.75" customHeight="1">
      <c r="A517" s="5" t="str">
        <f t="shared" si="1"/>
        <v>AD507-0515</v>
      </c>
      <c r="C517" s="5"/>
      <c r="F517" s="5"/>
      <c r="G517" s="5" t="str">
        <f t="shared" si="2"/>
        <v/>
      </c>
      <c r="H517" s="5" t="str">
        <f t="shared" si="3"/>
        <v/>
      </c>
      <c r="I517" s="5" t="str">
        <f t="shared" si="4"/>
        <v/>
      </c>
      <c r="J517" s="5" t="str">
        <f t="shared" si="5"/>
        <v/>
      </c>
      <c r="K517" s="5" t="str">
        <f>IFERROR(__xludf.DUMMYFUNCTION("IF(C517&lt;&gt;"""",HYPERLINK(""https://wa.me/507""&amp;REGEXREPLACE(C517,""[^0-9]"","""")&amp;""?text=""&amp;ENCODEURL(""Ya llegue. Codigo: ""&amp;A517&amp;"". Ubicacion: ""&amp;""https://www.google.com/maps/search/?api=1&amp;query=""&amp;SUBSTITUTE(F517,"" "","""")),""📲 Avisar al cliente"""&amp;"),"""")"),"")</f>
        <v/>
      </c>
      <c r="L517" s="5" t="str">
        <f>IFERROR(__xludf.DUMMYFUNCTION("IF(C517&lt;&gt;"""",""https://api.qrserver.com/v1/create-qr-code/?size=200x200&amp;data=""&amp;ENCODEURL(""https://wa.me/507""&amp;REGEXREPLACE(C517,""[^0-9]"","""")&amp;""?text=""&amp;ENCODEURL(""Ya llegue. Codigo: ""&amp;A517&amp;"". Ubicacion: ""&amp;""https://www.google.com/maps/search/?a"&amp;"pi=1&amp;query=""&amp;SUBSTITUTE(F517,"" "",""""))),"""")"),"")</f>
        <v/>
      </c>
      <c r="M517" s="5" t="str">
        <f t="shared" si="6"/>
        <v/>
      </c>
      <c r="N517" s="5" t="str">
        <f>IFERROR(__xludf.DUMMYFUNCTION("IF(AND(F517&lt;&gt;"""",REGEXMATCH(SUBSTITUTE(F517,"" "",""""),""^-?\d+(\.\d+)?,-?\d+(\.\d+)?$""),VALUE(REGEXEXTRACT(SUBSTITUTE(F517,"" "",""""),""^-?\d+(\.\d+)?""))&gt;=-90,VALUE(REGEXEXTRACT(SUBSTITUTE(F517,"" "",""""),""^-?\d+(\.\d+)?""))&lt;=90,VALUE(REGEXEXTRACT"&amp;"(SUBSTITUTE(F517,"" "",""""),""-?\d+(\.\d+)?$""))&gt;=-180,VALUE(REGEXEXTRACT(SUBSTITUTE(F517,"" "",""""),""-?\d+(\.\d+)?$""))&lt;=180),""OK"",""REVISAR"")"),"#N/A")</f>
        <v>#N/A</v>
      </c>
    </row>
    <row r="518" ht="15.75" customHeight="1">
      <c r="A518" s="5" t="str">
        <f t="shared" si="1"/>
        <v>AD507-0516</v>
      </c>
      <c r="C518" s="5"/>
      <c r="F518" s="5"/>
      <c r="G518" s="5" t="str">
        <f t="shared" si="2"/>
        <v/>
      </c>
      <c r="H518" s="5" t="str">
        <f t="shared" si="3"/>
        <v/>
      </c>
      <c r="I518" s="5" t="str">
        <f t="shared" si="4"/>
        <v/>
      </c>
      <c r="J518" s="5" t="str">
        <f t="shared" si="5"/>
        <v/>
      </c>
      <c r="K518" s="5" t="str">
        <f>IFERROR(__xludf.DUMMYFUNCTION("IF(C518&lt;&gt;"""",HYPERLINK(""https://wa.me/507""&amp;REGEXREPLACE(C518,""[^0-9]"","""")&amp;""?text=""&amp;ENCODEURL(""Ya llegue. Codigo: ""&amp;A518&amp;"". Ubicacion: ""&amp;""https://www.google.com/maps/search/?api=1&amp;query=""&amp;SUBSTITUTE(F518,"" "","""")),""📲 Avisar al cliente"""&amp;"),"""")"),"")</f>
        <v/>
      </c>
      <c r="L518" s="5" t="str">
        <f>IFERROR(__xludf.DUMMYFUNCTION("IF(C518&lt;&gt;"""",""https://api.qrserver.com/v1/create-qr-code/?size=200x200&amp;data=""&amp;ENCODEURL(""https://wa.me/507""&amp;REGEXREPLACE(C518,""[^0-9]"","""")&amp;""?text=""&amp;ENCODEURL(""Ya llegue. Codigo: ""&amp;A518&amp;"". Ubicacion: ""&amp;""https://www.google.com/maps/search/?a"&amp;"pi=1&amp;query=""&amp;SUBSTITUTE(F518,"" "",""""))),"""")"),"")</f>
        <v/>
      </c>
      <c r="M518" s="5" t="str">
        <f t="shared" si="6"/>
        <v/>
      </c>
      <c r="N518" s="5" t="str">
        <f>IFERROR(__xludf.DUMMYFUNCTION("IF(AND(F518&lt;&gt;"""",REGEXMATCH(SUBSTITUTE(F518,"" "",""""),""^-?\d+(\.\d+)?,-?\d+(\.\d+)?$""),VALUE(REGEXEXTRACT(SUBSTITUTE(F518,"" "",""""),""^-?\d+(\.\d+)?""))&gt;=-90,VALUE(REGEXEXTRACT(SUBSTITUTE(F518,"" "",""""),""^-?\d+(\.\d+)?""))&lt;=90,VALUE(REGEXEXTRACT"&amp;"(SUBSTITUTE(F518,"" "",""""),""-?\d+(\.\d+)?$""))&gt;=-180,VALUE(REGEXEXTRACT(SUBSTITUTE(F518,"" "",""""),""-?\d+(\.\d+)?$""))&lt;=180),""OK"",""REVISAR"")"),"#N/A")</f>
        <v>#N/A</v>
      </c>
    </row>
    <row r="519" ht="15.75" customHeight="1">
      <c r="A519" s="5" t="str">
        <f t="shared" si="1"/>
        <v>AD507-0517</v>
      </c>
      <c r="C519" s="5"/>
      <c r="F519" s="5"/>
      <c r="G519" s="5" t="str">
        <f t="shared" si="2"/>
        <v/>
      </c>
      <c r="H519" s="5" t="str">
        <f t="shared" si="3"/>
        <v/>
      </c>
      <c r="I519" s="5" t="str">
        <f t="shared" si="4"/>
        <v/>
      </c>
      <c r="J519" s="5" t="str">
        <f t="shared" si="5"/>
        <v/>
      </c>
      <c r="K519" s="5" t="str">
        <f>IFERROR(__xludf.DUMMYFUNCTION("IF(C519&lt;&gt;"""",HYPERLINK(""https://wa.me/507""&amp;REGEXREPLACE(C519,""[^0-9]"","""")&amp;""?text=""&amp;ENCODEURL(""Ya llegue. Codigo: ""&amp;A519&amp;"". Ubicacion: ""&amp;""https://www.google.com/maps/search/?api=1&amp;query=""&amp;SUBSTITUTE(F519,"" "","""")),""📲 Avisar al cliente"""&amp;"),"""")"),"")</f>
        <v/>
      </c>
      <c r="L519" s="5" t="str">
        <f>IFERROR(__xludf.DUMMYFUNCTION("IF(C519&lt;&gt;"""",""https://api.qrserver.com/v1/create-qr-code/?size=200x200&amp;data=""&amp;ENCODEURL(""https://wa.me/507""&amp;REGEXREPLACE(C519,""[^0-9]"","""")&amp;""?text=""&amp;ENCODEURL(""Ya llegue. Codigo: ""&amp;A519&amp;"". Ubicacion: ""&amp;""https://www.google.com/maps/search/?a"&amp;"pi=1&amp;query=""&amp;SUBSTITUTE(F519,"" "",""""))),"""")"),"")</f>
        <v/>
      </c>
      <c r="M519" s="5" t="str">
        <f t="shared" si="6"/>
        <v/>
      </c>
      <c r="N519" s="5" t="str">
        <f>IFERROR(__xludf.DUMMYFUNCTION("IF(AND(F519&lt;&gt;"""",REGEXMATCH(SUBSTITUTE(F519,"" "",""""),""^-?\d+(\.\d+)?,-?\d+(\.\d+)?$""),VALUE(REGEXEXTRACT(SUBSTITUTE(F519,"" "",""""),""^-?\d+(\.\d+)?""))&gt;=-90,VALUE(REGEXEXTRACT(SUBSTITUTE(F519,"" "",""""),""^-?\d+(\.\d+)?""))&lt;=90,VALUE(REGEXEXTRACT"&amp;"(SUBSTITUTE(F519,"" "",""""),""-?\d+(\.\d+)?$""))&gt;=-180,VALUE(REGEXEXTRACT(SUBSTITUTE(F519,"" "",""""),""-?\d+(\.\d+)?$""))&lt;=180),""OK"",""REVISAR"")"),"#N/A")</f>
        <v>#N/A</v>
      </c>
    </row>
    <row r="520" ht="15.75" customHeight="1">
      <c r="A520" s="5" t="str">
        <f t="shared" si="1"/>
        <v>AD507-0518</v>
      </c>
      <c r="C520" s="5"/>
      <c r="F520" s="5"/>
      <c r="G520" s="5" t="str">
        <f t="shared" si="2"/>
        <v/>
      </c>
      <c r="H520" s="5" t="str">
        <f t="shared" si="3"/>
        <v/>
      </c>
      <c r="I520" s="5" t="str">
        <f t="shared" si="4"/>
        <v/>
      </c>
      <c r="J520" s="5" t="str">
        <f t="shared" si="5"/>
        <v/>
      </c>
      <c r="K520" s="5" t="str">
        <f>IFERROR(__xludf.DUMMYFUNCTION("IF(C520&lt;&gt;"""",HYPERLINK(""https://wa.me/507""&amp;REGEXREPLACE(C520,""[^0-9]"","""")&amp;""?text=""&amp;ENCODEURL(""Ya llegue. Codigo: ""&amp;A520&amp;"". Ubicacion: ""&amp;""https://www.google.com/maps/search/?api=1&amp;query=""&amp;SUBSTITUTE(F520,"" "","""")),""📲 Avisar al cliente"""&amp;"),"""")"),"")</f>
        <v/>
      </c>
      <c r="L520" s="5" t="str">
        <f>IFERROR(__xludf.DUMMYFUNCTION("IF(C520&lt;&gt;"""",""https://api.qrserver.com/v1/create-qr-code/?size=200x200&amp;data=""&amp;ENCODEURL(""https://wa.me/507""&amp;REGEXREPLACE(C520,""[^0-9]"","""")&amp;""?text=""&amp;ENCODEURL(""Ya llegue. Codigo: ""&amp;A520&amp;"". Ubicacion: ""&amp;""https://www.google.com/maps/search/?a"&amp;"pi=1&amp;query=""&amp;SUBSTITUTE(F520,"" "",""""))),"""")"),"")</f>
        <v/>
      </c>
      <c r="M520" s="5" t="str">
        <f t="shared" si="6"/>
        <v/>
      </c>
      <c r="N520" s="5" t="str">
        <f>IFERROR(__xludf.DUMMYFUNCTION("IF(AND(F520&lt;&gt;"""",REGEXMATCH(SUBSTITUTE(F520,"" "",""""),""^-?\d+(\.\d+)?,-?\d+(\.\d+)?$""),VALUE(REGEXEXTRACT(SUBSTITUTE(F520,"" "",""""),""^-?\d+(\.\d+)?""))&gt;=-90,VALUE(REGEXEXTRACT(SUBSTITUTE(F520,"" "",""""),""^-?\d+(\.\d+)?""))&lt;=90,VALUE(REGEXEXTRACT"&amp;"(SUBSTITUTE(F520,"" "",""""),""-?\d+(\.\d+)?$""))&gt;=-180,VALUE(REGEXEXTRACT(SUBSTITUTE(F520,"" "",""""),""-?\d+(\.\d+)?$""))&lt;=180),""OK"",""REVISAR"")"),"#N/A")</f>
        <v>#N/A</v>
      </c>
    </row>
    <row r="521" ht="15.75" customHeight="1">
      <c r="A521" s="5" t="str">
        <f t="shared" si="1"/>
        <v>AD507-0519</v>
      </c>
      <c r="C521" s="5"/>
      <c r="F521" s="5"/>
      <c r="G521" s="5" t="str">
        <f t="shared" si="2"/>
        <v/>
      </c>
      <c r="H521" s="5" t="str">
        <f t="shared" si="3"/>
        <v/>
      </c>
      <c r="I521" s="5" t="str">
        <f t="shared" si="4"/>
        <v/>
      </c>
      <c r="J521" s="5" t="str">
        <f t="shared" si="5"/>
        <v/>
      </c>
      <c r="K521" s="5" t="str">
        <f>IFERROR(__xludf.DUMMYFUNCTION("IF(C521&lt;&gt;"""",HYPERLINK(""https://wa.me/507""&amp;REGEXREPLACE(C521,""[^0-9]"","""")&amp;""?text=""&amp;ENCODEURL(""Ya llegue. Codigo: ""&amp;A521&amp;"". Ubicacion: ""&amp;""https://www.google.com/maps/search/?api=1&amp;query=""&amp;SUBSTITUTE(F521,"" "","""")),""📲 Avisar al cliente"""&amp;"),"""")"),"")</f>
        <v/>
      </c>
      <c r="L521" s="5" t="str">
        <f>IFERROR(__xludf.DUMMYFUNCTION("IF(C521&lt;&gt;"""",""https://api.qrserver.com/v1/create-qr-code/?size=200x200&amp;data=""&amp;ENCODEURL(""https://wa.me/507""&amp;REGEXREPLACE(C521,""[^0-9]"","""")&amp;""?text=""&amp;ENCODEURL(""Ya llegue. Codigo: ""&amp;A521&amp;"". Ubicacion: ""&amp;""https://www.google.com/maps/search/?a"&amp;"pi=1&amp;query=""&amp;SUBSTITUTE(F521,"" "",""""))),"""")"),"")</f>
        <v/>
      </c>
      <c r="M521" s="5" t="str">
        <f t="shared" si="6"/>
        <v/>
      </c>
      <c r="N521" s="5" t="str">
        <f>IFERROR(__xludf.DUMMYFUNCTION("IF(AND(F521&lt;&gt;"""",REGEXMATCH(SUBSTITUTE(F521,"" "",""""),""^-?\d+(\.\d+)?,-?\d+(\.\d+)?$""),VALUE(REGEXEXTRACT(SUBSTITUTE(F521,"" "",""""),""^-?\d+(\.\d+)?""))&gt;=-90,VALUE(REGEXEXTRACT(SUBSTITUTE(F521,"" "",""""),""^-?\d+(\.\d+)?""))&lt;=90,VALUE(REGEXEXTRACT"&amp;"(SUBSTITUTE(F521,"" "",""""),""-?\d+(\.\d+)?$""))&gt;=-180,VALUE(REGEXEXTRACT(SUBSTITUTE(F521,"" "",""""),""-?\d+(\.\d+)?$""))&lt;=180),""OK"",""REVISAR"")"),"#N/A")</f>
        <v>#N/A</v>
      </c>
    </row>
    <row r="522" ht="15.75" customHeight="1">
      <c r="A522" s="5" t="str">
        <f t="shared" si="1"/>
        <v>AD507-0520</v>
      </c>
      <c r="C522" s="5"/>
      <c r="F522" s="5"/>
      <c r="G522" s="5" t="str">
        <f t="shared" si="2"/>
        <v/>
      </c>
      <c r="H522" s="5" t="str">
        <f t="shared" si="3"/>
        <v/>
      </c>
      <c r="I522" s="5" t="str">
        <f t="shared" si="4"/>
        <v/>
      </c>
      <c r="J522" s="5" t="str">
        <f t="shared" si="5"/>
        <v/>
      </c>
      <c r="K522" s="5" t="str">
        <f>IFERROR(__xludf.DUMMYFUNCTION("IF(C522&lt;&gt;"""",HYPERLINK(""https://wa.me/507""&amp;REGEXREPLACE(C522,""[^0-9]"","""")&amp;""?text=""&amp;ENCODEURL(""Ya llegue. Codigo: ""&amp;A522&amp;"". Ubicacion: ""&amp;""https://www.google.com/maps/search/?api=1&amp;query=""&amp;SUBSTITUTE(F522,"" "","""")),""📲 Avisar al cliente"""&amp;"),"""")"),"")</f>
        <v/>
      </c>
      <c r="L522" s="5" t="str">
        <f>IFERROR(__xludf.DUMMYFUNCTION("IF(C522&lt;&gt;"""",""https://api.qrserver.com/v1/create-qr-code/?size=200x200&amp;data=""&amp;ENCODEURL(""https://wa.me/507""&amp;REGEXREPLACE(C522,""[^0-9]"","""")&amp;""?text=""&amp;ENCODEURL(""Ya llegue. Codigo: ""&amp;A522&amp;"". Ubicacion: ""&amp;""https://www.google.com/maps/search/?a"&amp;"pi=1&amp;query=""&amp;SUBSTITUTE(F522,"" "",""""))),"""")"),"")</f>
        <v/>
      </c>
      <c r="M522" s="5" t="str">
        <f t="shared" si="6"/>
        <v/>
      </c>
      <c r="N522" s="5" t="str">
        <f>IFERROR(__xludf.DUMMYFUNCTION("IF(AND(F522&lt;&gt;"""",REGEXMATCH(SUBSTITUTE(F522,"" "",""""),""^-?\d+(\.\d+)?,-?\d+(\.\d+)?$""),VALUE(REGEXEXTRACT(SUBSTITUTE(F522,"" "",""""),""^-?\d+(\.\d+)?""))&gt;=-90,VALUE(REGEXEXTRACT(SUBSTITUTE(F522,"" "",""""),""^-?\d+(\.\d+)?""))&lt;=90,VALUE(REGEXEXTRACT"&amp;"(SUBSTITUTE(F522,"" "",""""),""-?\d+(\.\d+)?$""))&gt;=-180,VALUE(REGEXEXTRACT(SUBSTITUTE(F522,"" "",""""),""-?\d+(\.\d+)?$""))&lt;=180),""OK"",""REVISAR"")"),"#N/A")</f>
        <v>#N/A</v>
      </c>
    </row>
    <row r="523" ht="15.75" customHeight="1">
      <c r="A523" s="5" t="str">
        <f t="shared" si="1"/>
        <v>AD507-0521</v>
      </c>
      <c r="C523" s="5"/>
      <c r="F523" s="5"/>
      <c r="G523" s="5" t="str">
        <f t="shared" si="2"/>
        <v/>
      </c>
      <c r="H523" s="5" t="str">
        <f t="shared" si="3"/>
        <v/>
      </c>
      <c r="I523" s="5" t="str">
        <f t="shared" si="4"/>
        <v/>
      </c>
      <c r="J523" s="5" t="str">
        <f t="shared" si="5"/>
        <v/>
      </c>
      <c r="K523" s="5" t="str">
        <f>IFERROR(__xludf.DUMMYFUNCTION("IF(C523&lt;&gt;"""",HYPERLINK(""https://wa.me/507""&amp;REGEXREPLACE(C523,""[^0-9]"","""")&amp;""?text=""&amp;ENCODEURL(""Ya llegue. Codigo: ""&amp;A523&amp;"". Ubicacion: ""&amp;""https://www.google.com/maps/search/?api=1&amp;query=""&amp;SUBSTITUTE(F523,"" "","""")),""📲 Avisar al cliente"""&amp;"),"""")"),"")</f>
        <v/>
      </c>
      <c r="L523" s="5" t="str">
        <f>IFERROR(__xludf.DUMMYFUNCTION("IF(C523&lt;&gt;"""",""https://api.qrserver.com/v1/create-qr-code/?size=200x200&amp;data=""&amp;ENCODEURL(""https://wa.me/507""&amp;REGEXREPLACE(C523,""[^0-9]"","""")&amp;""?text=""&amp;ENCODEURL(""Ya llegue. Codigo: ""&amp;A523&amp;"". Ubicacion: ""&amp;""https://www.google.com/maps/search/?a"&amp;"pi=1&amp;query=""&amp;SUBSTITUTE(F523,"" "",""""))),"""")"),"")</f>
        <v/>
      </c>
      <c r="M523" s="5" t="str">
        <f t="shared" si="6"/>
        <v/>
      </c>
      <c r="N523" s="5" t="str">
        <f>IFERROR(__xludf.DUMMYFUNCTION("IF(AND(F523&lt;&gt;"""",REGEXMATCH(SUBSTITUTE(F523,"" "",""""),""^-?\d+(\.\d+)?,-?\d+(\.\d+)?$""),VALUE(REGEXEXTRACT(SUBSTITUTE(F523,"" "",""""),""^-?\d+(\.\d+)?""))&gt;=-90,VALUE(REGEXEXTRACT(SUBSTITUTE(F523,"" "",""""),""^-?\d+(\.\d+)?""))&lt;=90,VALUE(REGEXEXTRACT"&amp;"(SUBSTITUTE(F523,"" "",""""),""-?\d+(\.\d+)?$""))&gt;=-180,VALUE(REGEXEXTRACT(SUBSTITUTE(F523,"" "",""""),""-?\d+(\.\d+)?$""))&lt;=180),""OK"",""REVISAR"")"),"#N/A")</f>
        <v>#N/A</v>
      </c>
    </row>
    <row r="524" ht="15.75" customHeight="1">
      <c r="A524" s="5" t="str">
        <f t="shared" si="1"/>
        <v>AD507-0522</v>
      </c>
      <c r="C524" s="5"/>
      <c r="F524" s="5"/>
      <c r="G524" s="5" t="str">
        <f t="shared" si="2"/>
        <v/>
      </c>
      <c r="H524" s="5" t="str">
        <f t="shared" si="3"/>
        <v/>
      </c>
      <c r="I524" s="5" t="str">
        <f t="shared" si="4"/>
        <v/>
      </c>
      <c r="J524" s="5" t="str">
        <f t="shared" si="5"/>
        <v/>
      </c>
      <c r="K524" s="5" t="str">
        <f>IFERROR(__xludf.DUMMYFUNCTION("IF(C524&lt;&gt;"""",HYPERLINK(""https://wa.me/507""&amp;REGEXREPLACE(C524,""[^0-9]"","""")&amp;""?text=""&amp;ENCODEURL(""Ya llegue. Codigo: ""&amp;A524&amp;"". Ubicacion: ""&amp;""https://www.google.com/maps/search/?api=1&amp;query=""&amp;SUBSTITUTE(F524,"" "","""")),""📲 Avisar al cliente"""&amp;"),"""")"),"")</f>
        <v/>
      </c>
      <c r="L524" s="5" t="str">
        <f>IFERROR(__xludf.DUMMYFUNCTION("IF(C524&lt;&gt;"""",""https://api.qrserver.com/v1/create-qr-code/?size=200x200&amp;data=""&amp;ENCODEURL(""https://wa.me/507""&amp;REGEXREPLACE(C524,""[^0-9]"","""")&amp;""?text=""&amp;ENCODEURL(""Ya llegue. Codigo: ""&amp;A524&amp;"". Ubicacion: ""&amp;""https://www.google.com/maps/search/?a"&amp;"pi=1&amp;query=""&amp;SUBSTITUTE(F524,"" "",""""))),"""")"),"")</f>
        <v/>
      </c>
      <c r="M524" s="5" t="str">
        <f t="shared" si="6"/>
        <v/>
      </c>
      <c r="N524" s="5" t="str">
        <f>IFERROR(__xludf.DUMMYFUNCTION("IF(AND(F524&lt;&gt;"""",REGEXMATCH(SUBSTITUTE(F524,"" "",""""),""^-?\d+(\.\d+)?,-?\d+(\.\d+)?$""),VALUE(REGEXEXTRACT(SUBSTITUTE(F524,"" "",""""),""^-?\d+(\.\d+)?""))&gt;=-90,VALUE(REGEXEXTRACT(SUBSTITUTE(F524,"" "",""""),""^-?\d+(\.\d+)?""))&lt;=90,VALUE(REGEXEXTRACT"&amp;"(SUBSTITUTE(F524,"" "",""""),""-?\d+(\.\d+)?$""))&gt;=-180,VALUE(REGEXEXTRACT(SUBSTITUTE(F524,"" "",""""),""-?\d+(\.\d+)?$""))&lt;=180),""OK"",""REVISAR"")"),"#N/A")</f>
        <v>#N/A</v>
      </c>
    </row>
    <row r="525" ht="15.75" customHeight="1">
      <c r="A525" s="5" t="str">
        <f t="shared" si="1"/>
        <v>AD507-0523</v>
      </c>
      <c r="C525" s="5"/>
      <c r="F525" s="5"/>
      <c r="G525" s="5" t="str">
        <f t="shared" si="2"/>
        <v/>
      </c>
      <c r="H525" s="5" t="str">
        <f t="shared" si="3"/>
        <v/>
      </c>
      <c r="I525" s="5" t="str">
        <f t="shared" si="4"/>
        <v/>
      </c>
      <c r="J525" s="5" t="str">
        <f t="shared" si="5"/>
        <v/>
      </c>
      <c r="K525" s="5" t="str">
        <f>IFERROR(__xludf.DUMMYFUNCTION("IF(C525&lt;&gt;"""",HYPERLINK(""https://wa.me/507""&amp;REGEXREPLACE(C525,""[^0-9]"","""")&amp;""?text=""&amp;ENCODEURL(""Ya llegue. Codigo: ""&amp;A525&amp;"". Ubicacion: ""&amp;""https://www.google.com/maps/search/?api=1&amp;query=""&amp;SUBSTITUTE(F525,"" "","""")),""📲 Avisar al cliente"""&amp;"),"""")"),"")</f>
        <v/>
      </c>
      <c r="L525" s="5" t="str">
        <f>IFERROR(__xludf.DUMMYFUNCTION("IF(C525&lt;&gt;"""",""https://api.qrserver.com/v1/create-qr-code/?size=200x200&amp;data=""&amp;ENCODEURL(""https://wa.me/507""&amp;REGEXREPLACE(C525,""[^0-9]"","""")&amp;""?text=""&amp;ENCODEURL(""Ya llegue. Codigo: ""&amp;A525&amp;"". Ubicacion: ""&amp;""https://www.google.com/maps/search/?a"&amp;"pi=1&amp;query=""&amp;SUBSTITUTE(F525,"" "",""""))),"""")"),"")</f>
        <v/>
      </c>
      <c r="M525" s="5" t="str">
        <f t="shared" si="6"/>
        <v/>
      </c>
      <c r="N525" s="5" t="str">
        <f>IFERROR(__xludf.DUMMYFUNCTION("IF(AND(F525&lt;&gt;"""",REGEXMATCH(SUBSTITUTE(F525,"" "",""""),""^-?\d+(\.\d+)?,-?\d+(\.\d+)?$""),VALUE(REGEXEXTRACT(SUBSTITUTE(F525,"" "",""""),""^-?\d+(\.\d+)?""))&gt;=-90,VALUE(REGEXEXTRACT(SUBSTITUTE(F525,"" "",""""),""^-?\d+(\.\d+)?""))&lt;=90,VALUE(REGEXEXTRACT"&amp;"(SUBSTITUTE(F525,"" "",""""),""-?\d+(\.\d+)?$""))&gt;=-180,VALUE(REGEXEXTRACT(SUBSTITUTE(F525,"" "",""""),""-?\d+(\.\d+)?$""))&lt;=180),""OK"",""REVISAR"")"),"#N/A")</f>
        <v>#N/A</v>
      </c>
    </row>
    <row r="526" ht="15.75" customHeight="1">
      <c r="A526" s="5" t="str">
        <f t="shared" si="1"/>
        <v>AD507-0524</v>
      </c>
      <c r="C526" s="5"/>
      <c r="F526" s="5"/>
      <c r="G526" s="5" t="str">
        <f t="shared" si="2"/>
        <v/>
      </c>
      <c r="H526" s="5" t="str">
        <f t="shared" si="3"/>
        <v/>
      </c>
      <c r="I526" s="5" t="str">
        <f t="shared" si="4"/>
        <v/>
      </c>
      <c r="J526" s="5" t="str">
        <f t="shared" si="5"/>
        <v/>
      </c>
      <c r="K526" s="5" t="str">
        <f>IFERROR(__xludf.DUMMYFUNCTION("IF(C526&lt;&gt;"""",HYPERLINK(""https://wa.me/507""&amp;REGEXREPLACE(C526,""[^0-9]"","""")&amp;""?text=""&amp;ENCODEURL(""Ya llegue. Codigo: ""&amp;A526&amp;"". Ubicacion: ""&amp;""https://www.google.com/maps/search/?api=1&amp;query=""&amp;SUBSTITUTE(F526,"" "","""")),""📲 Avisar al cliente"""&amp;"),"""")"),"")</f>
        <v/>
      </c>
      <c r="L526" s="5" t="str">
        <f>IFERROR(__xludf.DUMMYFUNCTION("IF(C526&lt;&gt;"""",""https://api.qrserver.com/v1/create-qr-code/?size=200x200&amp;data=""&amp;ENCODEURL(""https://wa.me/507""&amp;REGEXREPLACE(C526,""[^0-9]"","""")&amp;""?text=""&amp;ENCODEURL(""Ya llegue. Codigo: ""&amp;A526&amp;"". Ubicacion: ""&amp;""https://www.google.com/maps/search/?a"&amp;"pi=1&amp;query=""&amp;SUBSTITUTE(F526,"" "",""""))),"""")"),"")</f>
        <v/>
      </c>
      <c r="M526" s="5" t="str">
        <f t="shared" si="6"/>
        <v/>
      </c>
      <c r="N526" s="5" t="str">
        <f>IFERROR(__xludf.DUMMYFUNCTION("IF(AND(F526&lt;&gt;"""",REGEXMATCH(SUBSTITUTE(F526,"" "",""""),""^-?\d+(\.\d+)?,-?\d+(\.\d+)?$""),VALUE(REGEXEXTRACT(SUBSTITUTE(F526,"" "",""""),""^-?\d+(\.\d+)?""))&gt;=-90,VALUE(REGEXEXTRACT(SUBSTITUTE(F526,"" "",""""),""^-?\d+(\.\d+)?""))&lt;=90,VALUE(REGEXEXTRACT"&amp;"(SUBSTITUTE(F526,"" "",""""),""-?\d+(\.\d+)?$""))&gt;=-180,VALUE(REGEXEXTRACT(SUBSTITUTE(F526,"" "",""""),""-?\d+(\.\d+)?$""))&lt;=180),""OK"",""REVISAR"")"),"#N/A")</f>
        <v>#N/A</v>
      </c>
    </row>
    <row r="527" ht="15.75" customHeight="1">
      <c r="A527" s="5" t="str">
        <f t="shared" si="1"/>
        <v>AD507-0525</v>
      </c>
      <c r="C527" s="5"/>
      <c r="F527" s="5"/>
      <c r="G527" s="5" t="str">
        <f t="shared" si="2"/>
        <v/>
      </c>
      <c r="H527" s="5" t="str">
        <f t="shared" si="3"/>
        <v/>
      </c>
      <c r="I527" s="5" t="str">
        <f t="shared" si="4"/>
        <v/>
      </c>
      <c r="J527" s="5" t="str">
        <f t="shared" si="5"/>
        <v/>
      </c>
      <c r="K527" s="5" t="str">
        <f>IFERROR(__xludf.DUMMYFUNCTION("IF(C527&lt;&gt;"""",HYPERLINK(""https://wa.me/507""&amp;REGEXREPLACE(C527,""[^0-9]"","""")&amp;""?text=""&amp;ENCODEURL(""Ya llegue. Codigo: ""&amp;A527&amp;"". Ubicacion: ""&amp;""https://www.google.com/maps/search/?api=1&amp;query=""&amp;SUBSTITUTE(F527,"" "","""")),""📲 Avisar al cliente"""&amp;"),"""")"),"")</f>
        <v/>
      </c>
      <c r="L527" s="5" t="str">
        <f>IFERROR(__xludf.DUMMYFUNCTION("IF(C527&lt;&gt;"""",""https://api.qrserver.com/v1/create-qr-code/?size=200x200&amp;data=""&amp;ENCODEURL(""https://wa.me/507""&amp;REGEXREPLACE(C527,""[^0-9]"","""")&amp;""?text=""&amp;ENCODEURL(""Ya llegue. Codigo: ""&amp;A527&amp;"". Ubicacion: ""&amp;""https://www.google.com/maps/search/?a"&amp;"pi=1&amp;query=""&amp;SUBSTITUTE(F527,"" "",""""))),"""")"),"")</f>
        <v/>
      </c>
      <c r="M527" s="5" t="str">
        <f t="shared" si="6"/>
        <v/>
      </c>
      <c r="N527" s="5" t="str">
        <f>IFERROR(__xludf.DUMMYFUNCTION("IF(AND(F527&lt;&gt;"""",REGEXMATCH(SUBSTITUTE(F527,"" "",""""),""^-?\d+(\.\d+)?,-?\d+(\.\d+)?$""),VALUE(REGEXEXTRACT(SUBSTITUTE(F527,"" "",""""),""^-?\d+(\.\d+)?""))&gt;=-90,VALUE(REGEXEXTRACT(SUBSTITUTE(F527,"" "",""""),""^-?\d+(\.\d+)?""))&lt;=90,VALUE(REGEXEXTRACT"&amp;"(SUBSTITUTE(F527,"" "",""""),""-?\d+(\.\d+)?$""))&gt;=-180,VALUE(REGEXEXTRACT(SUBSTITUTE(F527,"" "",""""),""-?\d+(\.\d+)?$""))&lt;=180),""OK"",""REVISAR"")"),"#N/A")</f>
        <v>#N/A</v>
      </c>
    </row>
    <row r="528" ht="15.75" customHeight="1">
      <c r="A528" s="5" t="str">
        <f t="shared" si="1"/>
        <v>AD507-0526</v>
      </c>
      <c r="C528" s="5"/>
      <c r="F528" s="5"/>
      <c r="G528" s="5" t="str">
        <f t="shared" si="2"/>
        <v/>
      </c>
      <c r="H528" s="5" t="str">
        <f t="shared" si="3"/>
        <v/>
      </c>
      <c r="I528" s="5" t="str">
        <f t="shared" si="4"/>
        <v/>
      </c>
      <c r="J528" s="5" t="str">
        <f t="shared" si="5"/>
        <v/>
      </c>
      <c r="K528" s="5" t="str">
        <f>IFERROR(__xludf.DUMMYFUNCTION("IF(C528&lt;&gt;"""",HYPERLINK(""https://wa.me/507""&amp;REGEXREPLACE(C528,""[^0-9]"","""")&amp;""?text=""&amp;ENCODEURL(""Ya llegue. Codigo: ""&amp;A528&amp;"". Ubicacion: ""&amp;""https://www.google.com/maps/search/?api=1&amp;query=""&amp;SUBSTITUTE(F528,"" "","""")),""📲 Avisar al cliente"""&amp;"),"""")"),"")</f>
        <v/>
      </c>
      <c r="L528" s="5" t="str">
        <f>IFERROR(__xludf.DUMMYFUNCTION("IF(C528&lt;&gt;"""",""https://api.qrserver.com/v1/create-qr-code/?size=200x200&amp;data=""&amp;ENCODEURL(""https://wa.me/507""&amp;REGEXREPLACE(C528,""[^0-9]"","""")&amp;""?text=""&amp;ENCODEURL(""Ya llegue. Codigo: ""&amp;A528&amp;"". Ubicacion: ""&amp;""https://www.google.com/maps/search/?a"&amp;"pi=1&amp;query=""&amp;SUBSTITUTE(F528,"" "",""""))),"""")"),"")</f>
        <v/>
      </c>
      <c r="M528" s="5" t="str">
        <f t="shared" si="6"/>
        <v/>
      </c>
      <c r="N528" s="5" t="str">
        <f>IFERROR(__xludf.DUMMYFUNCTION("IF(AND(F528&lt;&gt;"""",REGEXMATCH(SUBSTITUTE(F528,"" "",""""),""^-?\d+(\.\d+)?,-?\d+(\.\d+)?$""),VALUE(REGEXEXTRACT(SUBSTITUTE(F528,"" "",""""),""^-?\d+(\.\d+)?""))&gt;=-90,VALUE(REGEXEXTRACT(SUBSTITUTE(F528,"" "",""""),""^-?\d+(\.\d+)?""))&lt;=90,VALUE(REGEXEXTRACT"&amp;"(SUBSTITUTE(F528,"" "",""""),""-?\d+(\.\d+)?$""))&gt;=-180,VALUE(REGEXEXTRACT(SUBSTITUTE(F528,"" "",""""),""-?\d+(\.\d+)?$""))&lt;=180),""OK"",""REVISAR"")"),"#N/A")</f>
        <v>#N/A</v>
      </c>
    </row>
    <row r="529" ht="15.75" customHeight="1">
      <c r="A529" s="5" t="str">
        <f t="shared" si="1"/>
        <v>AD507-0527</v>
      </c>
      <c r="C529" s="5"/>
      <c r="F529" s="5"/>
      <c r="G529" s="5" t="str">
        <f t="shared" si="2"/>
        <v/>
      </c>
      <c r="H529" s="5" t="str">
        <f t="shared" si="3"/>
        <v/>
      </c>
      <c r="I529" s="5" t="str">
        <f t="shared" si="4"/>
        <v/>
      </c>
      <c r="J529" s="5" t="str">
        <f t="shared" si="5"/>
        <v/>
      </c>
      <c r="K529" s="5" t="str">
        <f>IFERROR(__xludf.DUMMYFUNCTION("IF(C529&lt;&gt;"""",HYPERLINK(""https://wa.me/507""&amp;REGEXREPLACE(C529,""[^0-9]"","""")&amp;""?text=""&amp;ENCODEURL(""Ya llegue. Codigo: ""&amp;A529&amp;"". Ubicacion: ""&amp;""https://www.google.com/maps/search/?api=1&amp;query=""&amp;SUBSTITUTE(F529,"" "","""")),""📲 Avisar al cliente"""&amp;"),"""")"),"")</f>
        <v/>
      </c>
      <c r="L529" s="5" t="str">
        <f>IFERROR(__xludf.DUMMYFUNCTION("IF(C529&lt;&gt;"""",""https://api.qrserver.com/v1/create-qr-code/?size=200x200&amp;data=""&amp;ENCODEURL(""https://wa.me/507""&amp;REGEXREPLACE(C529,""[^0-9]"","""")&amp;""?text=""&amp;ENCODEURL(""Ya llegue. Codigo: ""&amp;A529&amp;"". Ubicacion: ""&amp;""https://www.google.com/maps/search/?a"&amp;"pi=1&amp;query=""&amp;SUBSTITUTE(F529,"" "",""""))),"""")"),"")</f>
        <v/>
      </c>
      <c r="M529" s="5" t="str">
        <f t="shared" si="6"/>
        <v/>
      </c>
      <c r="N529" s="5" t="str">
        <f>IFERROR(__xludf.DUMMYFUNCTION("IF(AND(F529&lt;&gt;"""",REGEXMATCH(SUBSTITUTE(F529,"" "",""""),""^-?\d+(\.\d+)?,-?\d+(\.\d+)?$""),VALUE(REGEXEXTRACT(SUBSTITUTE(F529,"" "",""""),""^-?\d+(\.\d+)?""))&gt;=-90,VALUE(REGEXEXTRACT(SUBSTITUTE(F529,"" "",""""),""^-?\d+(\.\d+)?""))&lt;=90,VALUE(REGEXEXTRACT"&amp;"(SUBSTITUTE(F529,"" "",""""),""-?\d+(\.\d+)?$""))&gt;=-180,VALUE(REGEXEXTRACT(SUBSTITUTE(F529,"" "",""""),""-?\d+(\.\d+)?$""))&lt;=180),""OK"",""REVISAR"")"),"#N/A")</f>
        <v>#N/A</v>
      </c>
    </row>
    <row r="530" ht="15.75" customHeight="1">
      <c r="A530" s="5" t="str">
        <f t="shared" si="1"/>
        <v>AD507-0528</v>
      </c>
      <c r="C530" s="5"/>
      <c r="F530" s="5"/>
      <c r="G530" s="5" t="str">
        <f t="shared" si="2"/>
        <v/>
      </c>
      <c r="H530" s="5" t="str">
        <f t="shared" si="3"/>
        <v/>
      </c>
      <c r="I530" s="5" t="str">
        <f t="shared" si="4"/>
        <v/>
      </c>
      <c r="J530" s="5" t="str">
        <f t="shared" si="5"/>
        <v/>
      </c>
      <c r="K530" s="5" t="str">
        <f>IFERROR(__xludf.DUMMYFUNCTION("IF(C530&lt;&gt;"""",HYPERLINK(""https://wa.me/507""&amp;REGEXREPLACE(C530,""[^0-9]"","""")&amp;""?text=""&amp;ENCODEURL(""Ya llegue. Codigo: ""&amp;A530&amp;"". Ubicacion: ""&amp;""https://www.google.com/maps/search/?api=1&amp;query=""&amp;SUBSTITUTE(F530,"" "","""")),""📲 Avisar al cliente"""&amp;"),"""")"),"")</f>
        <v/>
      </c>
      <c r="L530" s="5" t="str">
        <f>IFERROR(__xludf.DUMMYFUNCTION("IF(C530&lt;&gt;"""",""https://api.qrserver.com/v1/create-qr-code/?size=200x200&amp;data=""&amp;ENCODEURL(""https://wa.me/507""&amp;REGEXREPLACE(C530,""[^0-9]"","""")&amp;""?text=""&amp;ENCODEURL(""Ya llegue. Codigo: ""&amp;A530&amp;"". Ubicacion: ""&amp;""https://www.google.com/maps/search/?a"&amp;"pi=1&amp;query=""&amp;SUBSTITUTE(F530,"" "",""""))),"""")"),"")</f>
        <v/>
      </c>
      <c r="M530" s="5" t="str">
        <f t="shared" si="6"/>
        <v/>
      </c>
      <c r="N530" s="5" t="str">
        <f>IFERROR(__xludf.DUMMYFUNCTION("IF(AND(F530&lt;&gt;"""",REGEXMATCH(SUBSTITUTE(F530,"" "",""""),""^-?\d+(\.\d+)?,-?\d+(\.\d+)?$""),VALUE(REGEXEXTRACT(SUBSTITUTE(F530,"" "",""""),""^-?\d+(\.\d+)?""))&gt;=-90,VALUE(REGEXEXTRACT(SUBSTITUTE(F530,"" "",""""),""^-?\d+(\.\d+)?""))&lt;=90,VALUE(REGEXEXTRACT"&amp;"(SUBSTITUTE(F530,"" "",""""),""-?\d+(\.\d+)?$""))&gt;=-180,VALUE(REGEXEXTRACT(SUBSTITUTE(F530,"" "",""""),""-?\d+(\.\d+)?$""))&lt;=180),""OK"",""REVISAR"")"),"#N/A")</f>
        <v>#N/A</v>
      </c>
    </row>
    <row r="531" ht="15.75" customHeight="1">
      <c r="A531" s="5" t="str">
        <f t="shared" si="1"/>
        <v>AD507-0529</v>
      </c>
      <c r="C531" s="5"/>
      <c r="F531" s="5"/>
      <c r="G531" s="5" t="str">
        <f t="shared" si="2"/>
        <v/>
      </c>
      <c r="H531" s="5" t="str">
        <f t="shared" si="3"/>
        <v/>
      </c>
      <c r="I531" s="5" t="str">
        <f t="shared" si="4"/>
        <v/>
      </c>
      <c r="J531" s="5" t="str">
        <f t="shared" si="5"/>
        <v/>
      </c>
      <c r="K531" s="5" t="str">
        <f>IFERROR(__xludf.DUMMYFUNCTION("IF(C531&lt;&gt;"""",HYPERLINK(""https://wa.me/507""&amp;REGEXREPLACE(C531,""[^0-9]"","""")&amp;""?text=""&amp;ENCODEURL(""Ya llegue. Codigo: ""&amp;A531&amp;"". Ubicacion: ""&amp;""https://www.google.com/maps/search/?api=1&amp;query=""&amp;SUBSTITUTE(F531,"" "","""")),""📲 Avisar al cliente"""&amp;"),"""")"),"")</f>
        <v/>
      </c>
      <c r="L531" s="5" t="str">
        <f>IFERROR(__xludf.DUMMYFUNCTION("IF(C531&lt;&gt;"""",""https://api.qrserver.com/v1/create-qr-code/?size=200x200&amp;data=""&amp;ENCODEURL(""https://wa.me/507""&amp;REGEXREPLACE(C531,""[^0-9]"","""")&amp;""?text=""&amp;ENCODEURL(""Ya llegue. Codigo: ""&amp;A531&amp;"". Ubicacion: ""&amp;""https://www.google.com/maps/search/?a"&amp;"pi=1&amp;query=""&amp;SUBSTITUTE(F531,"" "",""""))),"""")"),"")</f>
        <v/>
      </c>
      <c r="M531" s="5" t="str">
        <f t="shared" si="6"/>
        <v/>
      </c>
      <c r="N531" s="5" t="str">
        <f>IFERROR(__xludf.DUMMYFUNCTION("IF(AND(F531&lt;&gt;"""",REGEXMATCH(SUBSTITUTE(F531,"" "",""""),""^-?\d+(\.\d+)?,-?\d+(\.\d+)?$""),VALUE(REGEXEXTRACT(SUBSTITUTE(F531,"" "",""""),""^-?\d+(\.\d+)?""))&gt;=-90,VALUE(REGEXEXTRACT(SUBSTITUTE(F531,"" "",""""),""^-?\d+(\.\d+)?""))&lt;=90,VALUE(REGEXEXTRACT"&amp;"(SUBSTITUTE(F531,"" "",""""),""-?\d+(\.\d+)?$""))&gt;=-180,VALUE(REGEXEXTRACT(SUBSTITUTE(F531,"" "",""""),""-?\d+(\.\d+)?$""))&lt;=180),""OK"",""REVISAR"")"),"#N/A")</f>
        <v>#N/A</v>
      </c>
    </row>
    <row r="532" ht="15.75" customHeight="1">
      <c r="A532" s="5" t="str">
        <f t="shared" si="1"/>
        <v>AD507-0530</v>
      </c>
      <c r="C532" s="5"/>
      <c r="F532" s="5"/>
      <c r="G532" s="5" t="str">
        <f t="shared" si="2"/>
        <v/>
      </c>
      <c r="H532" s="5" t="str">
        <f t="shared" si="3"/>
        <v/>
      </c>
      <c r="I532" s="5" t="str">
        <f t="shared" si="4"/>
        <v/>
      </c>
      <c r="J532" s="5" t="str">
        <f t="shared" si="5"/>
        <v/>
      </c>
      <c r="K532" s="5" t="str">
        <f>IFERROR(__xludf.DUMMYFUNCTION("IF(C532&lt;&gt;"""",HYPERLINK(""https://wa.me/507""&amp;REGEXREPLACE(C532,""[^0-9]"","""")&amp;""?text=""&amp;ENCODEURL(""Ya llegue. Codigo: ""&amp;A532&amp;"". Ubicacion: ""&amp;""https://www.google.com/maps/search/?api=1&amp;query=""&amp;SUBSTITUTE(F532,"" "","""")),""📲 Avisar al cliente"""&amp;"),"""")"),"")</f>
        <v/>
      </c>
      <c r="L532" s="5" t="str">
        <f>IFERROR(__xludf.DUMMYFUNCTION("IF(C532&lt;&gt;"""",""https://api.qrserver.com/v1/create-qr-code/?size=200x200&amp;data=""&amp;ENCODEURL(""https://wa.me/507""&amp;REGEXREPLACE(C532,""[^0-9]"","""")&amp;""?text=""&amp;ENCODEURL(""Ya llegue. Codigo: ""&amp;A532&amp;"". Ubicacion: ""&amp;""https://www.google.com/maps/search/?a"&amp;"pi=1&amp;query=""&amp;SUBSTITUTE(F532,"" "",""""))),"""")"),"")</f>
        <v/>
      </c>
      <c r="M532" s="5" t="str">
        <f t="shared" si="6"/>
        <v/>
      </c>
      <c r="N532" s="5" t="str">
        <f>IFERROR(__xludf.DUMMYFUNCTION("IF(AND(F532&lt;&gt;"""",REGEXMATCH(SUBSTITUTE(F532,"" "",""""),""^-?\d+(\.\d+)?,-?\d+(\.\d+)?$""),VALUE(REGEXEXTRACT(SUBSTITUTE(F532,"" "",""""),""^-?\d+(\.\d+)?""))&gt;=-90,VALUE(REGEXEXTRACT(SUBSTITUTE(F532,"" "",""""),""^-?\d+(\.\d+)?""))&lt;=90,VALUE(REGEXEXTRACT"&amp;"(SUBSTITUTE(F532,"" "",""""),""-?\d+(\.\d+)?$""))&gt;=-180,VALUE(REGEXEXTRACT(SUBSTITUTE(F532,"" "",""""),""-?\d+(\.\d+)?$""))&lt;=180),""OK"",""REVISAR"")"),"#N/A")</f>
        <v>#N/A</v>
      </c>
    </row>
    <row r="533" ht="15.75" customHeight="1">
      <c r="A533" s="5" t="str">
        <f t="shared" si="1"/>
        <v>AD507-0531</v>
      </c>
      <c r="C533" s="5"/>
      <c r="F533" s="5"/>
      <c r="G533" s="5" t="str">
        <f t="shared" si="2"/>
        <v/>
      </c>
      <c r="H533" s="5" t="str">
        <f t="shared" si="3"/>
        <v/>
      </c>
      <c r="I533" s="5" t="str">
        <f t="shared" si="4"/>
        <v/>
      </c>
      <c r="J533" s="5" t="str">
        <f t="shared" si="5"/>
        <v/>
      </c>
      <c r="K533" s="5" t="str">
        <f>IFERROR(__xludf.DUMMYFUNCTION("IF(C533&lt;&gt;"""",HYPERLINK(""https://wa.me/507""&amp;REGEXREPLACE(C533,""[^0-9]"","""")&amp;""?text=""&amp;ENCODEURL(""Ya llegue. Codigo: ""&amp;A533&amp;"". Ubicacion: ""&amp;""https://www.google.com/maps/search/?api=1&amp;query=""&amp;SUBSTITUTE(F533,"" "","""")),""📲 Avisar al cliente"""&amp;"),"""")"),"")</f>
        <v/>
      </c>
      <c r="L533" s="5" t="str">
        <f>IFERROR(__xludf.DUMMYFUNCTION("IF(C533&lt;&gt;"""",""https://api.qrserver.com/v1/create-qr-code/?size=200x200&amp;data=""&amp;ENCODEURL(""https://wa.me/507""&amp;REGEXREPLACE(C533,""[^0-9]"","""")&amp;""?text=""&amp;ENCODEURL(""Ya llegue. Codigo: ""&amp;A533&amp;"". Ubicacion: ""&amp;""https://www.google.com/maps/search/?a"&amp;"pi=1&amp;query=""&amp;SUBSTITUTE(F533,"" "",""""))),"""")"),"")</f>
        <v/>
      </c>
      <c r="M533" s="5" t="str">
        <f t="shared" si="6"/>
        <v/>
      </c>
      <c r="N533" s="5" t="str">
        <f>IFERROR(__xludf.DUMMYFUNCTION("IF(AND(F533&lt;&gt;"""",REGEXMATCH(SUBSTITUTE(F533,"" "",""""),""^-?\d+(\.\d+)?,-?\d+(\.\d+)?$""),VALUE(REGEXEXTRACT(SUBSTITUTE(F533,"" "",""""),""^-?\d+(\.\d+)?""))&gt;=-90,VALUE(REGEXEXTRACT(SUBSTITUTE(F533,"" "",""""),""^-?\d+(\.\d+)?""))&lt;=90,VALUE(REGEXEXTRACT"&amp;"(SUBSTITUTE(F533,"" "",""""),""-?\d+(\.\d+)?$""))&gt;=-180,VALUE(REGEXEXTRACT(SUBSTITUTE(F533,"" "",""""),""-?\d+(\.\d+)?$""))&lt;=180),""OK"",""REVISAR"")"),"#N/A")</f>
        <v>#N/A</v>
      </c>
    </row>
    <row r="534" ht="15.75" customHeight="1">
      <c r="A534" s="5" t="str">
        <f t="shared" si="1"/>
        <v>AD507-0532</v>
      </c>
      <c r="C534" s="5"/>
      <c r="F534" s="5"/>
      <c r="G534" s="5" t="str">
        <f t="shared" si="2"/>
        <v/>
      </c>
      <c r="H534" s="5" t="str">
        <f t="shared" si="3"/>
        <v/>
      </c>
      <c r="I534" s="5" t="str">
        <f t="shared" si="4"/>
        <v/>
      </c>
      <c r="J534" s="5" t="str">
        <f t="shared" si="5"/>
        <v/>
      </c>
      <c r="K534" s="5" t="str">
        <f>IFERROR(__xludf.DUMMYFUNCTION("IF(C534&lt;&gt;"""",HYPERLINK(""https://wa.me/507""&amp;REGEXREPLACE(C534,""[^0-9]"","""")&amp;""?text=""&amp;ENCODEURL(""Ya llegue. Codigo: ""&amp;A534&amp;"". Ubicacion: ""&amp;""https://www.google.com/maps/search/?api=1&amp;query=""&amp;SUBSTITUTE(F534,"" "","""")),""📲 Avisar al cliente"""&amp;"),"""")"),"")</f>
        <v/>
      </c>
      <c r="L534" s="5" t="str">
        <f>IFERROR(__xludf.DUMMYFUNCTION("IF(C534&lt;&gt;"""",""https://api.qrserver.com/v1/create-qr-code/?size=200x200&amp;data=""&amp;ENCODEURL(""https://wa.me/507""&amp;REGEXREPLACE(C534,""[^0-9]"","""")&amp;""?text=""&amp;ENCODEURL(""Ya llegue. Codigo: ""&amp;A534&amp;"". Ubicacion: ""&amp;""https://www.google.com/maps/search/?a"&amp;"pi=1&amp;query=""&amp;SUBSTITUTE(F534,"" "",""""))),"""")"),"")</f>
        <v/>
      </c>
      <c r="M534" s="5" t="str">
        <f t="shared" si="6"/>
        <v/>
      </c>
      <c r="N534" s="5" t="str">
        <f>IFERROR(__xludf.DUMMYFUNCTION("IF(AND(F534&lt;&gt;"""",REGEXMATCH(SUBSTITUTE(F534,"" "",""""),""^-?\d+(\.\d+)?,-?\d+(\.\d+)?$""),VALUE(REGEXEXTRACT(SUBSTITUTE(F534,"" "",""""),""^-?\d+(\.\d+)?""))&gt;=-90,VALUE(REGEXEXTRACT(SUBSTITUTE(F534,"" "",""""),""^-?\d+(\.\d+)?""))&lt;=90,VALUE(REGEXEXTRACT"&amp;"(SUBSTITUTE(F534,"" "",""""),""-?\d+(\.\d+)?$""))&gt;=-180,VALUE(REGEXEXTRACT(SUBSTITUTE(F534,"" "",""""),""-?\d+(\.\d+)?$""))&lt;=180),""OK"",""REVISAR"")"),"#N/A")</f>
        <v>#N/A</v>
      </c>
    </row>
    <row r="535" ht="15.75" customHeight="1">
      <c r="A535" s="5" t="str">
        <f t="shared" si="1"/>
        <v>AD507-0533</v>
      </c>
      <c r="C535" s="5"/>
      <c r="F535" s="5"/>
      <c r="G535" s="5" t="str">
        <f t="shared" si="2"/>
        <v/>
      </c>
      <c r="H535" s="5" t="str">
        <f t="shared" si="3"/>
        <v/>
      </c>
      <c r="I535" s="5" t="str">
        <f t="shared" si="4"/>
        <v/>
      </c>
      <c r="J535" s="5" t="str">
        <f t="shared" si="5"/>
        <v/>
      </c>
      <c r="K535" s="5" t="str">
        <f>IFERROR(__xludf.DUMMYFUNCTION("IF(C535&lt;&gt;"""",HYPERLINK(""https://wa.me/507""&amp;REGEXREPLACE(C535,""[^0-9]"","""")&amp;""?text=""&amp;ENCODEURL(""Ya llegue. Codigo: ""&amp;A535&amp;"". Ubicacion: ""&amp;""https://www.google.com/maps/search/?api=1&amp;query=""&amp;SUBSTITUTE(F535,"" "","""")),""📲 Avisar al cliente"""&amp;"),"""")"),"")</f>
        <v/>
      </c>
      <c r="L535" s="5" t="str">
        <f>IFERROR(__xludf.DUMMYFUNCTION("IF(C535&lt;&gt;"""",""https://api.qrserver.com/v1/create-qr-code/?size=200x200&amp;data=""&amp;ENCODEURL(""https://wa.me/507""&amp;REGEXREPLACE(C535,""[^0-9]"","""")&amp;""?text=""&amp;ENCODEURL(""Ya llegue. Codigo: ""&amp;A535&amp;"". Ubicacion: ""&amp;""https://www.google.com/maps/search/?a"&amp;"pi=1&amp;query=""&amp;SUBSTITUTE(F535,"" "",""""))),"""")"),"")</f>
        <v/>
      </c>
      <c r="M535" s="5" t="str">
        <f t="shared" si="6"/>
        <v/>
      </c>
      <c r="N535" s="5" t="str">
        <f>IFERROR(__xludf.DUMMYFUNCTION("IF(AND(F535&lt;&gt;"""",REGEXMATCH(SUBSTITUTE(F535,"" "",""""),""^-?\d+(\.\d+)?,-?\d+(\.\d+)?$""),VALUE(REGEXEXTRACT(SUBSTITUTE(F535,"" "",""""),""^-?\d+(\.\d+)?""))&gt;=-90,VALUE(REGEXEXTRACT(SUBSTITUTE(F535,"" "",""""),""^-?\d+(\.\d+)?""))&lt;=90,VALUE(REGEXEXTRACT"&amp;"(SUBSTITUTE(F535,"" "",""""),""-?\d+(\.\d+)?$""))&gt;=-180,VALUE(REGEXEXTRACT(SUBSTITUTE(F535,"" "",""""),""-?\d+(\.\d+)?$""))&lt;=180),""OK"",""REVISAR"")"),"#N/A")</f>
        <v>#N/A</v>
      </c>
    </row>
    <row r="536" ht="15.75" customHeight="1">
      <c r="A536" s="5" t="str">
        <f t="shared" si="1"/>
        <v>AD507-0534</v>
      </c>
      <c r="C536" s="5"/>
      <c r="F536" s="5"/>
      <c r="G536" s="5" t="str">
        <f t="shared" si="2"/>
        <v/>
      </c>
      <c r="H536" s="5" t="str">
        <f t="shared" si="3"/>
        <v/>
      </c>
      <c r="I536" s="5" t="str">
        <f t="shared" si="4"/>
        <v/>
      </c>
      <c r="J536" s="5" t="str">
        <f t="shared" si="5"/>
        <v/>
      </c>
      <c r="K536" s="5" t="str">
        <f>IFERROR(__xludf.DUMMYFUNCTION("IF(C536&lt;&gt;"""",HYPERLINK(""https://wa.me/507""&amp;REGEXREPLACE(C536,""[^0-9]"","""")&amp;""?text=""&amp;ENCODEURL(""Ya llegue. Codigo: ""&amp;A536&amp;"". Ubicacion: ""&amp;""https://www.google.com/maps/search/?api=1&amp;query=""&amp;SUBSTITUTE(F536,"" "","""")),""📲 Avisar al cliente"""&amp;"),"""")"),"")</f>
        <v/>
      </c>
      <c r="L536" s="5" t="str">
        <f>IFERROR(__xludf.DUMMYFUNCTION("IF(C536&lt;&gt;"""",""https://api.qrserver.com/v1/create-qr-code/?size=200x200&amp;data=""&amp;ENCODEURL(""https://wa.me/507""&amp;REGEXREPLACE(C536,""[^0-9]"","""")&amp;""?text=""&amp;ENCODEURL(""Ya llegue. Codigo: ""&amp;A536&amp;"". Ubicacion: ""&amp;""https://www.google.com/maps/search/?a"&amp;"pi=1&amp;query=""&amp;SUBSTITUTE(F536,"" "",""""))),"""")"),"")</f>
        <v/>
      </c>
      <c r="M536" s="5" t="str">
        <f t="shared" si="6"/>
        <v/>
      </c>
      <c r="N536" s="5" t="str">
        <f>IFERROR(__xludf.DUMMYFUNCTION("IF(AND(F536&lt;&gt;"""",REGEXMATCH(SUBSTITUTE(F536,"" "",""""),""^-?\d+(\.\d+)?,-?\d+(\.\d+)?$""),VALUE(REGEXEXTRACT(SUBSTITUTE(F536,"" "",""""),""^-?\d+(\.\d+)?""))&gt;=-90,VALUE(REGEXEXTRACT(SUBSTITUTE(F536,"" "",""""),""^-?\d+(\.\d+)?""))&lt;=90,VALUE(REGEXEXTRACT"&amp;"(SUBSTITUTE(F536,"" "",""""),""-?\d+(\.\d+)?$""))&gt;=-180,VALUE(REGEXEXTRACT(SUBSTITUTE(F536,"" "",""""),""-?\d+(\.\d+)?$""))&lt;=180),""OK"",""REVISAR"")"),"#N/A")</f>
        <v>#N/A</v>
      </c>
    </row>
    <row r="537" ht="15.75" customHeight="1">
      <c r="A537" s="5" t="str">
        <f t="shared" si="1"/>
        <v>AD507-0535</v>
      </c>
      <c r="C537" s="5"/>
      <c r="F537" s="5"/>
      <c r="G537" s="5" t="str">
        <f t="shared" si="2"/>
        <v/>
      </c>
      <c r="H537" s="5" t="str">
        <f t="shared" si="3"/>
        <v/>
      </c>
      <c r="I537" s="5" t="str">
        <f t="shared" si="4"/>
        <v/>
      </c>
      <c r="J537" s="5" t="str">
        <f t="shared" si="5"/>
        <v/>
      </c>
      <c r="K537" s="5" t="str">
        <f>IFERROR(__xludf.DUMMYFUNCTION("IF(C537&lt;&gt;"""",HYPERLINK(""https://wa.me/507""&amp;REGEXREPLACE(C537,""[^0-9]"","""")&amp;""?text=""&amp;ENCODEURL(""Ya llegue. Codigo: ""&amp;A537&amp;"". Ubicacion: ""&amp;""https://www.google.com/maps/search/?api=1&amp;query=""&amp;SUBSTITUTE(F537,"" "","""")),""📲 Avisar al cliente"""&amp;"),"""")"),"")</f>
        <v/>
      </c>
      <c r="L537" s="5" t="str">
        <f>IFERROR(__xludf.DUMMYFUNCTION("IF(C537&lt;&gt;"""",""https://api.qrserver.com/v1/create-qr-code/?size=200x200&amp;data=""&amp;ENCODEURL(""https://wa.me/507""&amp;REGEXREPLACE(C537,""[^0-9]"","""")&amp;""?text=""&amp;ENCODEURL(""Ya llegue. Codigo: ""&amp;A537&amp;"". Ubicacion: ""&amp;""https://www.google.com/maps/search/?a"&amp;"pi=1&amp;query=""&amp;SUBSTITUTE(F537,"" "",""""))),"""")"),"")</f>
        <v/>
      </c>
      <c r="M537" s="5" t="str">
        <f t="shared" si="6"/>
        <v/>
      </c>
      <c r="N537" s="5" t="str">
        <f>IFERROR(__xludf.DUMMYFUNCTION("IF(AND(F537&lt;&gt;"""",REGEXMATCH(SUBSTITUTE(F537,"" "",""""),""^-?\d+(\.\d+)?,-?\d+(\.\d+)?$""),VALUE(REGEXEXTRACT(SUBSTITUTE(F537,"" "",""""),""^-?\d+(\.\d+)?""))&gt;=-90,VALUE(REGEXEXTRACT(SUBSTITUTE(F537,"" "",""""),""^-?\d+(\.\d+)?""))&lt;=90,VALUE(REGEXEXTRACT"&amp;"(SUBSTITUTE(F537,"" "",""""),""-?\d+(\.\d+)?$""))&gt;=-180,VALUE(REGEXEXTRACT(SUBSTITUTE(F537,"" "",""""),""-?\d+(\.\d+)?$""))&lt;=180),""OK"",""REVISAR"")"),"#N/A")</f>
        <v>#N/A</v>
      </c>
    </row>
    <row r="538" ht="15.75" customHeight="1">
      <c r="A538" s="5" t="str">
        <f t="shared" si="1"/>
        <v>AD507-0536</v>
      </c>
      <c r="C538" s="5"/>
      <c r="F538" s="5"/>
      <c r="G538" s="5" t="str">
        <f t="shared" si="2"/>
        <v/>
      </c>
      <c r="H538" s="5" t="str">
        <f t="shared" si="3"/>
        <v/>
      </c>
      <c r="I538" s="5" t="str">
        <f t="shared" si="4"/>
        <v/>
      </c>
      <c r="J538" s="5" t="str">
        <f t="shared" si="5"/>
        <v/>
      </c>
      <c r="K538" s="5" t="str">
        <f>IFERROR(__xludf.DUMMYFUNCTION("IF(C538&lt;&gt;"""",HYPERLINK(""https://wa.me/507""&amp;REGEXREPLACE(C538,""[^0-9]"","""")&amp;""?text=""&amp;ENCODEURL(""Ya llegue. Codigo: ""&amp;A538&amp;"". Ubicacion: ""&amp;""https://www.google.com/maps/search/?api=1&amp;query=""&amp;SUBSTITUTE(F538,"" "","""")),""📲 Avisar al cliente"""&amp;"),"""")"),"")</f>
        <v/>
      </c>
      <c r="L538" s="5" t="str">
        <f>IFERROR(__xludf.DUMMYFUNCTION("IF(C538&lt;&gt;"""",""https://api.qrserver.com/v1/create-qr-code/?size=200x200&amp;data=""&amp;ENCODEURL(""https://wa.me/507""&amp;REGEXREPLACE(C538,""[^0-9]"","""")&amp;""?text=""&amp;ENCODEURL(""Ya llegue. Codigo: ""&amp;A538&amp;"". Ubicacion: ""&amp;""https://www.google.com/maps/search/?a"&amp;"pi=1&amp;query=""&amp;SUBSTITUTE(F538,"" "",""""))),"""")"),"")</f>
        <v/>
      </c>
      <c r="M538" s="5" t="str">
        <f t="shared" si="6"/>
        <v/>
      </c>
      <c r="N538" s="5" t="str">
        <f>IFERROR(__xludf.DUMMYFUNCTION("IF(AND(F538&lt;&gt;"""",REGEXMATCH(SUBSTITUTE(F538,"" "",""""),""^-?\d+(\.\d+)?,-?\d+(\.\d+)?$""),VALUE(REGEXEXTRACT(SUBSTITUTE(F538,"" "",""""),""^-?\d+(\.\d+)?""))&gt;=-90,VALUE(REGEXEXTRACT(SUBSTITUTE(F538,"" "",""""),""^-?\d+(\.\d+)?""))&lt;=90,VALUE(REGEXEXTRACT"&amp;"(SUBSTITUTE(F538,"" "",""""),""-?\d+(\.\d+)?$""))&gt;=-180,VALUE(REGEXEXTRACT(SUBSTITUTE(F538,"" "",""""),""-?\d+(\.\d+)?$""))&lt;=180),""OK"",""REVISAR"")"),"#N/A")</f>
        <v>#N/A</v>
      </c>
    </row>
    <row r="539" ht="15.75" customHeight="1">
      <c r="A539" s="5" t="str">
        <f t="shared" si="1"/>
        <v>AD507-0537</v>
      </c>
      <c r="C539" s="5"/>
      <c r="F539" s="5"/>
      <c r="G539" s="5" t="str">
        <f t="shared" si="2"/>
        <v/>
      </c>
      <c r="H539" s="5" t="str">
        <f t="shared" si="3"/>
        <v/>
      </c>
      <c r="I539" s="5" t="str">
        <f t="shared" si="4"/>
        <v/>
      </c>
      <c r="J539" s="5" t="str">
        <f t="shared" si="5"/>
        <v/>
      </c>
      <c r="K539" s="5" t="str">
        <f>IFERROR(__xludf.DUMMYFUNCTION("IF(C539&lt;&gt;"""",HYPERLINK(""https://wa.me/507""&amp;REGEXREPLACE(C539,""[^0-9]"","""")&amp;""?text=""&amp;ENCODEURL(""Ya llegue. Codigo: ""&amp;A539&amp;"". Ubicacion: ""&amp;""https://www.google.com/maps/search/?api=1&amp;query=""&amp;SUBSTITUTE(F539,"" "","""")),""📲 Avisar al cliente"""&amp;"),"""")"),"")</f>
        <v/>
      </c>
      <c r="L539" s="5" t="str">
        <f>IFERROR(__xludf.DUMMYFUNCTION("IF(C539&lt;&gt;"""",""https://api.qrserver.com/v1/create-qr-code/?size=200x200&amp;data=""&amp;ENCODEURL(""https://wa.me/507""&amp;REGEXREPLACE(C539,""[^0-9]"","""")&amp;""?text=""&amp;ENCODEURL(""Ya llegue. Codigo: ""&amp;A539&amp;"". Ubicacion: ""&amp;""https://www.google.com/maps/search/?a"&amp;"pi=1&amp;query=""&amp;SUBSTITUTE(F539,"" "",""""))),"""")"),"")</f>
        <v/>
      </c>
      <c r="M539" s="5" t="str">
        <f t="shared" si="6"/>
        <v/>
      </c>
      <c r="N539" s="5" t="str">
        <f>IFERROR(__xludf.DUMMYFUNCTION("IF(AND(F539&lt;&gt;"""",REGEXMATCH(SUBSTITUTE(F539,"" "",""""),""^-?\d+(\.\d+)?,-?\d+(\.\d+)?$""),VALUE(REGEXEXTRACT(SUBSTITUTE(F539,"" "",""""),""^-?\d+(\.\d+)?""))&gt;=-90,VALUE(REGEXEXTRACT(SUBSTITUTE(F539,"" "",""""),""^-?\d+(\.\d+)?""))&lt;=90,VALUE(REGEXEXTRACT"&amp;"(SUBSTITUTE(F539,"" "",""""),""-?\d+(\.\d+)?$""))&gt;=-180,VALUE(REGEXEXTRACT(SUBSTITUTE(F539,"" "",""""),""-?\d+(\.\d+)?$""))&lt;=180),""OK"",""REVISAR"")"),"#N/A")</f>
        <v>#N/A</v>
      </c>
    </row>
    <row r="540" ht="15.75" customHeight="1">
      <c r="A540" s="5" t="str">
        <f t="shared" si="1"/>
        <v>AD507-0538</v>
      </c>
      <c r="C540" s="5"/>
      <c r="F540" s="5"/>
      <c r="G540" s="5" t="str">
        <f t="shared" si="2"/>
        <v/>
      </c>
      <c r="H540" s="5" t="str">
        <f t="shared" si="3"/>
        <v/>
      </c>
      <c r="I540" s="5" t="str">
        <f t="shared" si="4"/>
        <v/>
      </c>
      <c r="J540" s="5" t="str">
        <f t="shared" si="5"/>
        <v/>
      </c>
      <c r="K540" s="5" t="str">
        <f>IFERROR(__xludf.DUMMYFUNCTION("IF(C540&lt;&gt;"""",HYPERLINK(""https://wa.me/507""&amp;REGEXREPLACE(C540,""[^0-9]"","""")&amp;""?text=""&amp;ENCODEURL(""Ya llegue. Codigo: ""&amp;A540&amp;"". Ubicacion: ""&amp;""https://www.google.com/maps/search/?api=1&amp;query=""&amp;SUBSTITUTE(F540,"" "","""")),""📲 Avisar al cliente"""&amp;"),"""")"),"")</f>
        <v/>
      </c>
      <c r="L540" s="5" t="str">
        <f>IFERROR(__xludf.DUMMYFUNCTION("IF(C540&lt;&gt;"""",""https://api.qrserver.com/v1/create-qr-code/?size=200x200&amp;data=""&amp;ENCODEURL(""https://wa.me/507""&amp;REGEXREPLACE(C540,""[^0-9]"","""")&amp;""?text=""&amp;ENCODEURL(""Ya llegue. Codigo: ""&amp;A540&amp;"". Ubicacion: ""&amp;""https://www.google.com/maps/search/?a"&amp;"pi=1&amp;query=""&amp;SUBSTITUTE(F540,"" "",""""))),"""")"),"")</f>
        <v/>
      </c>
      <c r="M540" s="5" t="str">
        <f t="shared" si="6"/>
        <v/>
      </c>
      <c r="N540" s="5" t="str">
        <f>IFERROR(__xludf.DUMMYFUNCTION("IF(AND(F540&lt;&gt;"""",REGEXMATCH(SUBSTITUTE(F540,"" "",""""),""^-?\d+(\.\d+)?,-?\d+(\.\d+)?$""),VALUE(REGEXEXTRACT(SUBSTITUTE(F540,"" "",""""),""^-?\d+(\.\d+)?""))&gt;=-90,VALUE(REGEXEXTRACT(SUBSTITUTE(F540,"" "",""""),""^-?\d+(\.\d+)?""))&lt;=90,VALUE(REGEXEXTRACT"&amp;"(SUBSTITUTE(F540,"" "",""""),""-?\d+(\.\d+)?$""))&gt;=-180,VALUE(REGEXEXTRACT(SUBSTITUTE(F540,"" "",""""),""-?\d+(\.\d+)?$""))&lt;=180),""OK"",""REVISAR"")"),"#N/A")</f>
        <v>#N/A</v>
      </c>
    </row>
    <row r="541" ht="15.75" customHeight="1">
      <c r="A541" s="5" t="str">
        <f t="shared" si="1"/>
        <v>AD507-0539</v>
      </c>
      <c r="C541" s="5"/>
      <c r="F541" s="5"/>
      <c r="G541" s="5" t="str">
        <f t="shared" si="2"/>
        <v/>
      </c>
      <c r="H541" s="5" t="str">
        <f t="shared" si="3"/>
        <v/>
      </c>
      <c r="I541" s="5" t="str">
        <f t="shared" si="4"/>
        <v/>
      </c>
      <c r="J541" s="5" t="str">
        <f t="shared" si="5"/>
        <v/>
      </c>
      <c r="K541" s="5" t="str">
        <f>IFERROR(__xludf.DUMMYFUNCTION("IF(C541&lt;&gt;"""",HYPERLINK(""https://wa.me/507""&amp;REGEXREPLACE(C541,""[^0-9]"","""")&amp;""?text=""&amp;ENCODEURL(""Ya llegue. Codigo: ""&amp;A541&amp;"". Ubicacion: ""&amp;""https://www.google.com/maps/search/?api=1&amp;query=""&amp;SUBSTITUTE(F541,"" "","""")),""📲 Avisar al cliente"""&amp;"),"""")"),"")</f>
        <v/>
      </c>
      <c r="L541" s="5" t="str">
        <f>IFERROR(__xludf.DUMMYFUNCTION("IF(C541&lt;&gt;"""",""https://api.qrserver.com/v1/create-qr-code/?size=200x200&amp;data=""&amp;ENCODEURL(""https://wa.me/507""&amp;REGEXREPLACE(C541,""[^0-9]"","""")&amp;""?text=""&amp;ENCODEURL(""Ya llegue. Codigo: ""&amp;A541&amp;"". Ubicacion: ""&amp;""https://www.google.com/maps/search/?a"&amp;"pi=1&amp;query=""&amp;SUBSTITUTE(F541,"" "",""""))),"""")"),"")</f>
        <v/>
      </c>
      <c r="M541" s="5" t="str">
        <f t="shared" si="6"/>
        <v/>
      </c>
      <c r="N541" s="5" t="str">
        <f>IFERROR(__xludf.DUMMYFUNCTION("IF(AND(F541&lt;&gt;"""",REGEXMATCH(SUBSTITUTE(F541,"" "",""""),""^-?\d+(\.\d+)?,-?\d+(\.\d+)?$""),VALUE(REGEXEXTRACT(SUBSTITUTE(F541,"" "",""""),""^-?\d+(\.\d+)?""))&gt;=-90,VALUE(REGEXEXTRACT(SUBSTITUTE(F541,"" "",""""),""^-?\d+(\.\d+)?""))&lt;=90,VALUE(REGEXEXTRACT"&amp;"(SUBSTITUTE(F541,"" "",""""),""-?\d+(\.\d+)?$""))&gt;=-180,VALUE(REGEXEXTRACT(SUBSTITUTE(F541,"" "",""""),""-?\d+(\.\d+)?$""))&lt;=180),""OK"",""REVISAR"")"),"#N/A")</f>
        <v>#N/A</v>
      </c>
    </row>
    <row r="542" ht="15.75" customHeight="1">
      <c r="A542" s="5" t="str">
        <f t="shared" si="1"/>
        <v>AD507-0540</v>
      </c>
      <c r="C542" s="5"/>
      <c r="F542" s="5"/>
      <c r="G542" s="5" t="str">
        <f t="shared" si="2"/>
        <v/>
      </c>
      <c r="H542" s="5" t="str">
        <f t="shared" si="3"/>
        <v/>
      </c>
      <c r="I542" s="5" t="str">
        <f t="shared" si="4"/>
        <v/>
      </c>
      <c r="J542" s="5" t="str">
        <f t="shared" si="5"/>
        <v/>
      </c>
      <c r="K542" s="5" t="str">
        <f>IFERROR(__xludf.DUMMYFUNCTION("IF(C542&lt;&gt;"""",HYPERLINK(""https://wa.me/507""&amp;REGEXREPLACE(C542,""[^0-9]"","""")&amp;""?text=""&amp;ENCODEURL(""Ya llegue. Codigo: ""&amp;A542&amp;"". Ubicacion: ""&amp;""https://www.google.com/maps/search/?api=1&amp;query=""&amp;SUBSTITUTE(F542,"" "","""")),""📲 Avisar al cliente"""&amp;"),"""")"),"")</f>
        <v/>
      </c>
      <c r="L542" s="5" t="str">
        <f>IFERROR(__xludf.DUMMYFUNCTION("IF(C542&lt;&gt;"""",""https://api.qrserver.com/v1/create-qr-code/?size=200x200&amp;data=""&amp;ENCODEURL(""https://wa.me/507""&amp;REGEXREPLACE(C542,""[^0-9]"","""")&amp;""?text=""&amp;ENCODEURL(""Ya llegue. Codigo: ""&amp;A542&amp;"". Ubicacion: ""&amp;""https://www.google.com/maps/search/?a"&amp;"pi=1&amp;query=""&amp;SUBSTITUTE(F542,"" "",""""))),"""")"),"")</f>
        <v/>
      </c>
      <c r="M542" s="5" t="str">
        <f t="shared" si="6"/>
        <v/>
      </c>
      <c r="N542" s="5" t="str">
        <f>IFERROR(__xludf.DUMMYFUNCTION("IF(AND(F542&lt;&gt;"""",REGEXMATCH(SUBSTITUTE(F542,"" "",""""),""^-?\d+(\.\d+)?,-?\d+(\.\d+)?$""),VALUE(REGEXEXTRACT(SUBSTITUTE(F542,"" "",""""),""^-?\d+(\.\d+)?""))&gt;=-90,VALUE(REGEXEXTRACT(SUBSTITUTE(F542,"" "",""""),""^-?\d+(\.\d+)?""))&lt;=90,VALUE(REGEXEXTRACT"&amp;"(SUBSTITUTE(F542,"" "",""""),""-?\d+(\.\d+)?$""))&gt;=-180,VALUE(REGEXEXTRACT(SUBSTITUTE(F542,"" "",""""),""-?\d+(\.\d+)?$""))&lt;=180),""OK"",""REVISAR"")"),"#N/A")</f>
        <v>#N/A</v>
      </c>
    </row>
    <row r="543" ht="15.75" customHeight="1">
      <c r="A543" s="5" t="str">
        <f t="shared" si="1"/>
        <v>AD507-0541</v>
      </c>
      <c r="C543" s="5"/>
      <c r="F543" s="5"/>
      <c r="G543" s="5" t="str">
        <f t="shared" si="2"/>
        <v/>
      </c>
      <c r="H543" s="5" t="str">
        <f t="shared" si="3"/>
        <v/>
      </c>
      <c r="I543" s="5" t="str">
        <f t="shared" si="4"/>
        <v/>
      </c>
      <c r="J543" s="5" t="str">
        <f t="shared" si="5"/>
        <v/>
      </c>
      <c r="K543" s="5" t="str">
        <f>IFERROR(__xludf.DUMMYFUNCTION("IF(C543&lt;&gt;"""",HYPERLINK(""https://wa.me/507""&amp;REGEXREPLACE(C543,""[^0-9]"","""")&amp;""?text=""&amp;ENCODEURL(""Ya llegue. Codigo: ""&amp;A543&amp;"". Ubicacion: ""&amp;""https://www.google.com/maps/search/?api=1&amp;query=""&amp;SUBSTITUTE(F543,"" "","""")),""📲 Avisar al cliente"""&amp;"),"""")"),"")</f>
        <v/>
      </c>
      <c r="L543" s="5" t="str">
        <f>IFERROR(__xludf.DUMMYFUNCTION("IF(C543&lt;&gt;"""",""https://api.qrserver.com/v1/create-qr-code/?size=200x200&amp;data=""&amp;ENCODEURL(""https://wa.me/507""&amp;REGEXREPLACE(C543,""[^0-9]"","""")&amp;""?text=""&amp;ENCODEURL(""Ya llegue. Codigo: ""&amp;A543&amp;"". Ubicacion: ""&amp;""https://www.google.com/maps/search/?a"&amp;"pi=1&amp;query=""&amp;SUBSTITUTE(F543,"" "",""""))),"""")"),"")</f>
        <v/>
      </c>
      <c r="M543" s="5" t="str">
        <f t="shared" si="6"/>
        <v/>
      </c>
      <c r="N543" s="5" t="str">
        <f>IFERROR(__xludf.DUMMYFUNCTION("IF(AND(F543&lt;&gt;"""",REGEXMATCH(SUBSTITUTE(F543,"" "",""""),""^-?\d+(\.\d+)?,-?\d+(\.\d+)?$""),VALUE(REGEXEXTRACT(SUBSTITUTE(F543,"" "",""""),""^-?\d+(\.\d+)?""))&gt;=-90,VALUE(REGEXEXTRACT(SUBSTITUTE(F543,"" "",""""),""^-?\d+(\.\d+)?""))&lt;=90,VALUE(REGEXEXTRACT"&amp;"(SUBSTITUTE(F543,"" "",""""),""-?\d+(\.\d+)?$""))&gt;=-180,VALUE(REGEXEXTRACT(SUBSTITUTE(F543,"" "",""""),""-?\d+(\.\d+)?$""))&lt;=180),""OK"",""REVISAR"")"),"#N/A")</f>
        <v>#N/A</v>
      </c>
    </row>
    <row r="544" ht="15.75" customHeight="1">
      <c r="A544" s="5" t="str">
        <f t="shared" si="1"/>
        <v>AD507-0542</v>
      </c>
      <c r="C544" s="5"/>
      <c r="F544" s="5"/>
      <c r="G544" s="5" t="str">
        <f t="shared" si="2"/>
        <v/>
      </c>
      <c r="H544" s="5" t="str">
        <f t="shared" si="3"/>
        <v/>
      </c>
      <c r="I544" s="5" t="str">
        <f t="shared" si="4"/>
        <v/>
      </c>
      <c r="J544" s="5" t="str">
        <f t="shared" si="5"/>
        <v/>
      </c>
      <c r="K544" s="5" t="str">
        <f>IFERROR(__xludf.DUMMYFUNCTION("IF(C544&lt;&gt;"""",HYPERLINK(""https://wa.me/507""&amp;REGEXREPLACE(C544,""[^0-9]"","""")&amp;""?text=""&amp;ENCODEURL(""Ya llegue. Codigo: ""&amp;A544&amp;"". Ubicacion: ""&amp;""https://www.google.com/maps/search/?api=1&amp;query=""&amp;SUBSTITUTE(F544,"" "","""")),""📲 Avisar al cliente"""&amp;"),"""")"),"")</f>
        <v/>
      </c>
      <c r="L544" s="5" t="str">
        <f>IFERROR(__xludf.DUMMYFUNCTION("IF(C544&lt;&gt;"""",""https://api.qrserver.com/v1/create-qr-code/?size=200x200&amp;data=""&amp;ENCODEURL(""https://wa.me/507""&amp;REGEXREPLACE(C544,""[^0-9]"","""")&amp;""?text=""&amp;ENCODEURL(""Ya llegue. Codigo: ""&amp;A544&amp;"". Ubicacion: ""&amp;""https://www.google.com/maps/search/?a"&amp;"pi=1&amp;query=""&amp;SUBSTITUTE(F544,"" "",""""))),"""")"),"")</f>
        <v/>
      </c>
      <c r="M544" s="5" t="str">
        <f t="shared" si="6"/>
        <v/>
      </c>
      <c r="N544" s="5" t="str">
        <f>IFERROR(__xludf.DUMMYFUNCTION("IF(AND(F544&lt;&gt;"""",REGEXMATCH(SUBSTITUTE(F544,"" "",""""),""^-?\d+(\.\d+)?,-?\d+(\.\d+)?$""),VALUE(REGEXEXTRACT(SUBSTITUTE(F544,"" "",""""),""^-?\d+(\.\d+)?""))&gt;=-90,VALUE(REGEXEXTRACT(SUBSTITUTE(F544,"" "",""""),""^-?\d+(\.\d+)?""))&lt;=90,VALUE(REGEXEXTRACT"&amp;"(SUBSTITUTE(F544,"" "",""""),""-?\d+(\.\d+)?$""))&gt;=-180,VALUE(REGEXEXTRACT(SUBSTITUTE(F544,"" "",""""),""-?\d+(\.\d+)?$""))&lt;=180),""OK"",""REVISAR"")"),"#N/A")</f>
        <v>#N/A</v>
      </c>
    </row>
    <row r="545" ht="15.75" customHeight="1">
      <c r="A545" s="5" t="str">
        <f t="shared" si="1"/>
        <v>AD507-0543</v>
      </c>
      <c r="C545" s="5"/>
      <c r="F545" s="5"/>
      <c r="G545" s="5" t="str">
        <f t="shared" si="2"/>
        <v/>
      </c>
      <c r="H545" s="5" t="str">
        <f t="shared" si="3"/>
        <v/>
      </c>
      <c r="I545" s="5" t="str">
        <f t="shared" si="4"/>
        <v/>
      </c>
      <c r="J545" s="5" t="str">
        <f t="shared" si="5"/>
        <v/>
      </c>
      <c r="K545" s="5" t="str">
        <f>IFERROR(__xludf.DUMMYFUNCTION("IF(C545&lt;&gt;"""",HYPERLINK(""https://wa.me/507""&amp;REGEXREPLACE(C545,""[^0-9]"","""")&amp;""?text=""&amp;ENCODEURL(""Ya llegue. Codigo: ""&amp;A545&amp;"". Ubicacion: ""&amp;""https://www.google.com/maps/search/?api=1&amp;query=""&amp;SUBSTITUTE(F545,"" "","""")),""📲 Avisar al cliente"""&amp;"),"""")"),"")</f>
        <v/>
      </c>
      <c r="L545" s="5" t="str">
        <f>IFERROR(__xludf.DUMMYFUNCTION("IF(C545&lt;&gt;"""",""https://api.qrserver.com/v1/create-qr-code/?size=200x200&amp;data=""&amp;ENCODEURL(""https://wa.me/507""&amp;REGEXREPLACE(C545,""[^0-9]"","""")&amp;""?text=""&amp;ENCODEURL(""Ya llegue. Codigo: ""&amp;A545&amp;"". Ubicacion: ""&amp;""https://www.google.com/maps/search/?a"&amp;"pi=1&amp;query=""&amp;SUBSTITUTE(F545,"" "",""""))),"""")"),"")</f>
        <v/>
      </c>
      <c r="M545" s="5" t="str">
        <f t="shared" si="6"/>
        <v/>
      </c>
      <c r="N545" s="5" t="str">
        <f>IFERROR(__xludf.DUMMYFUNCTION("IF(AND(F545&lt;&gt;"""",REGEXMATCH(SUBSTITUTE(F545,"" "",""""),""^-?\d+(\.\d+)?,-?\d+(\.\d+)?$""),VALUE(REGEXEXTRACT(SUBSTITUTE(F545,"" "",""""),""^-?\d+(\.\d+)?""))&gt;=-90,VALUE(REGEXEXTRACT(SUBSTITUTE(F545,"" "",""""),""^-?\d+(\.\d+)?""))&lt;=90,VALUE(REGEXEXTRACT"&amp;"(SUBSTITUTE(F545,"" "",""""),""-?\d+(\.\d+)?$""))&gt;=-180,VALUE(REGEXEXTRACT(SUBSTITUTE(F545,"" "",""""),""-?\d+(\.\d+)?$""))&lt;=180),""OK"",""REVISAR"")"),"#N/A")</f>
        <v>#N/A</v>
      </c>
    </row>
    <row r="546" ht="15.75" customHeight="1">
      <c r="A546" s="5" t="str">
        <f t="shared" si="1"/>
        <v>AD507-0544</v>
      </c>
      <c r="C546" s="5"/>
      <c r="F546" s="5"/>
      <c r="G546" s="5" t="str">
        <f t="shared" si="2"/>
        <v/>
      </c>
      <c r="H546" s="5" t="str">
        <f t="shared" si="3"/>
        <v/>
      </c>
      <c r="I546" s="5" t="str">
        <f t="shared" si="4"/>
        <v/>
      </c>
      <c r="J546" s="5" t="str">
        <f t="shared" si="5"/>
        <v/>
      </c>
      <c r="K546" s="5" t="str">
        <f>IFERROR(__xludf.DUMMYFUNCTION("IF(C546&lt;&gt;"""",HYPERLINK(""https://wa.me/507""&amp;REGEXREPLACE(C546,""[^0-9]"","""")&amp;""?text=""&amp;ENCODEURL(""Ya llegue. Codigo: ""&amp;A546&amp;"". Ubicacion: ""&amp;""https://www.google.com/maps/search/?api=1&amp;query=""&amp;SUBSTITUTE(F546,"" "","""")),""📲 Avisar al cliente"""&amp;"),"""")"),"")</f>
        <v/>
      </c>
      <c r="L546" s="5" t="str">
        <f>IFERROR(__xludf.DUMMYFUNCTION("IF(C546&lt;&gt;"""",""https://api.qrserver.com/v1/create-qr-code/?size=200x200&amp;data=""&amp;ENCODEURL(""https://wa.me/507""&amp;REGEXREPLACE(C546,""[^0-9]"","""")&amp;""?text=""&amp;ENCODEURL(""Ya llegue. Codigo: ""&amp;A546&amp;"". Ubicacion: ""&amp;""https://www.google.com/maps/search/?a"&amp;"pi=1&amp;query=""&amp;SUBSTITUTE(F546,"" "",""""))),"""")"),"")</f>
        <v/>
      </c>
      <c r="M546" s="5" t="str">
        <f t="shared" si="6"/>
        <v/>
      </c>
      <c r="N546" s="5" t="str">
        <f>IFERROR(__xludf.DUMMYFUNCTION("IF(AND(F546&lt;&gt;"""",REGEXMATCH(SUBSTITUTE(F546,"" "",""""),""^-?\d+(\.\d+)?,-?\d+(\.\d+)?$""),VALUE(REGEXEXTRACT(SUBSTITUTE(F546,"" "",""""),""^-?\d+(\.\d+)?""))&gt;=-90,VALUE(REGEXEXTRACT(SUBSTITUTE(F546,"" "",""""),""^-?\d+(\.\d+)?""))&lt;=90,VALUE(REGEXEXTRACT"&amp;"(SUBSTITUTE(F546,"" "",""""),""-?\d+(\.\d+)?$""))&gt;=-180,VALUE(REGEXEXTRACT(SUBSTITUTE(F546,"" "",""""),""-?\d+(\.\d+)?$""))&lt;=180),""OK"",""REVISAR"")"),"#N/A")</f>
        <v>#N/A</v>
      </c>
    </row>
    <row r="547" ht="15.75" customHeight="1">
      <c r="A547" s="5" t="str">
        <f t="shared" si="1"/>
        <v>AD507-0545</v>
      </c>
      <c r="C547" s="5"/>
      <c r="F547" s="5"/>
      <c r="G547" s="5" t="str">
        <f t="shared" si="2"/>
        <v/>
      </c>
      <c r="H547" s="5" t="str">
        <f t="shared" si="3"/>
        <v/>
      </c>
      <c r="I547" s="5" t="str">
        <f t="shared" si="4"/>
        <v/>
      </c>
      <c r="J547" s="5" t="str">
        <f t="shared" si="5"/>
        <v/>
      </c>
      <c r="K547" s="5" t="str">
        <f>IFERROR(__xludf.DUMMYFUNCTION("IF(C547&lt;&gt;"""",HYPERLINK(""https://wa.me/507""&amp;REGEXREPLACE(C547,""[^0-9]"","""")&amp;""?text=""&amp;ENCODEURL(""Ya llegue. Codigo: ""&amp;A547&amp;"". Ubicacion: ""&amp;""https://www.google.com/maps/search/?api=1&amp;query=""&amp;SUBSTITUTE(F547,"" "","""")),""📲 Avisar al cliente"""&amp;"),"""")"),"")</f>
        <v/>
      </c>
      <c r="L547" s="5" t="str">
        <f>IFERROR(__xludf.DUMMYFUNCTION("IF(C547&lt;&gt;"""",""https://api.qrserver.com/v1/create-qr-code/?size=200x200&amp;data=""&amp;ENCODEURL(""https://wa.me/507""&amp;REGEXREPLACE(C547,""[^0-9]"","""")&amp;""?text=""&amp;ENCODEURL(""Ya llegue. Codigo: ""&amp;A547&amp;"". Ubicacion: ""&amp;""https://www.google.com/maps/search/?a"&amp;"pi=1&amp;query=""&amp;SUBSTITUTE(F547,"" "",""""))),"""")"),"")</f>
        <v/>
      </c>
      <c r="M547" s="5" t="str">
        <f t="shared" si="6"/>
        <v/>
      </c>
      <c r="N547" s="5" t="str">
        <f>IFERROR(__xludf.DUMMYFUNCTION("IF(AND(F547&lt;&gt;"""",REGEXMATCH(SUBSTITUTE(F547,"" "",""""),""^-?\d+(\.\d+)?,-?\d+(\.\d+)?$""),VALUE(REGEXEXTRACT(SUBSTITUTE(F547,"" "",""""),""^-?\d+(\.\d+)?""))&gt;=-90,VALUE(REGEXEXTRACT(SUBSTITUTE(F547,"" "",""""),""^-?\d+(\.\d+)?""))&lt;=90,VALUE(REGEXEXTRACT"&amp;"(SUBSTITUTE(F547,"" "",""""),""-?\d+(\.\d+)?$""))&gt;=-180,VALUE(REGEXEXTRACT(SUBSTITUTE(F547,"" "",""""),""-?\d+(\.\d+)?$""))&lt;=180),""OK"",""REVISAR"")"),"#N/A")</f>
        <v>#N/A</v>
      </c>
    </row>
    <row r="548" ht="15.75" customHeight="1">
      <c r="A548" s="5" t="str">
        <f t="shared" si="1"/>
        <v>AD507-0546</v>
      </c>
      <c r="C548" s="5"/>
      <c r="F548" s="5"/>
      <c r="G548" s="5" t="str">
        <f t="shared" si="2"/>
        <v/>
      </c>
      <c r="H548" s="5" t="str">
        <f t="shared" si="3"/>
        <v/>
      </c>
      <c r="I548" s="5" t="str">
        <f t="shared" si="4"/>
        <v/>
      </c>
      <c r="J548" s="5" t="str">
        <f t="shared" si="5"/>
        <v/>
      </c>
      <c r="K548" s="5" t="str">
        <f>IFERROR(__xludf.DUMMYFUNCTION("IF(C548&lt;&gt;"""",HYPERLINK(""https://wa.me/507""&amp;REGEXREPLACE(C548,""[^0-9]"","""")&amp;""?text=""&amp;ENCODEURL(""Ya llegue. Codigo: ""&amp;A548&amp;"". Ubicacion: ""&amp;""https://www.google.com/maps/search/?api=1&amp;query=""&amp;SUBSTITUTE(F548,"" "","""")),""📲 Avisar al cliente"""&amp;"),"""")"),"")</f>
        <v/>
      </c>
      <c r="L548" s="5" t="str">
        <f>IFERROR(__xludf.DUMMYFUNCTION("IF(C548&lt;&gt;"""",""https://api.qrserver.com/v1/create-qr-code/?size=200x200&amp;data=""&amp;ENCODEURL(""https://wa.me/507""&amp;REGEXREPLACE(C548,""[^0-9]"","""")&amp;""?text=""&amp;ENCODEURL(""Ya llegue. Codigo: ""&amp;A548&amp;"". Ubicacion: ""&amp;""https://www.google.com/maps/search/?a"&amp;"pi=1&amp;query=""&amp;SUBSTITUTE(F548,"" "",""""))),"""")"),"")</f>
        <v/>
      </c>
      <c r="M548" s="5" t="str">
        <f t="shared" si="6"/>
        <v/>
      </c>
      <c r="N548" s="5" t="str">
        <f>IFERROR(__xludf.DUMMYFUNCTION("IF(AND(F548&lt;&gt;"""",REGEXMATCH(SUBSTITUTE(F548,"" "",""""),""^-?\d+(\.\d+)?,-?\d+(\.\d+)?$""),VALUE(REGEXEXTRACT(SUBSTITUTE(F548,"" "",""""),""^-?\d+(\.\d+)?""))&gt;=-90,VALUE(REGEXEXTRACT(SUBSTITUTE(F548,"" "",""""),""^-?\d+(\.\d+)?""))&lt;=90,VALUE(REGEXEXTRACT"&amp;"(SUBSTITUTE(F548,"" "",""""),""-?\d+(\.\d+)?$""))&gt;=-180,VALUE(REGEXEXTRACT(SUBSTITUTE(F548,"" "",""""),""-?\d+(\.\d+)?$""))&lt;=180),""OK"",""REVISAR"")"),"#N/A")</f>
        <v>#N/A</v>
      </c>
    </row>
    <row r="549" ht="15.75" customHeight="1">
      <c r="A549" s="5" t="str">
        <f t="shared" si="1"/>
        <v>AD507-0547</v>
      </c>
      <c r="C549" s="5"/>
      <c r="F549" s="5"/>
      <c r="G549" s="5" t="str">
        <f t="shared" si="2"/>
        <v/>
      </c>
      <c r="H549" s="5" t="str">
        <f t="shared" si="3"/>
        <v/>
      </c>
      <c r="I549" s="5" t="str">
        <f t="shared" si="4"/>
        <v/>
      </c>
      <c r="J549" s="5" t="str">
        <f t="shared" si="5"/>
        <v/>
      </c>
      <c r="K549" s="5" t="str">
        <f>IFERROR(__xludf.DUMMYFUNCTION("IF(C549&lt;&gt;"""",HYPERLINK(""https://wa.me/507""&amp;REGEXREPLACE(C549,""[^0-9]"","""")&amp;""?text=""&amp;ENCODEURL(""Ya llegue. Codigo: ""&amp;A549&amp;"". Ubicacion: ""&amp;""https://www.google.com/maps/search/?api=1&amp;query=""&amp;SUBSTITUTE(F549,"" "","""")),""📲 Avisar al cliente"""&amp;"),"""")"),"")</f>
        <v/>
      </c>
      <c r="L549" s="5" t="str">
        <f>IFERROR(__xludf.DUMMYFUNCTION("IF(C549&lt;&gt;"""",""https://api.qrserver.com/v1/create-qr-code/?size=200x200&amp;data=""&amp;ENCODEURL(""https://wa.me/507""&amp;REGEXREPLACE(C549,""[^0-9]"","""")&amp;""?text=""&amp;ENCODEURL(""Ya llegue. Codigo: ""&amp;A549&amp;"". Ubicacion: ""&amp;""https://www.google.com/maps/search/?a"&amp;"pi=1&amp;query=""&amp;SUBSTITUTE(F549,"" "",""""))),"""")"),"")</f>
        <v/>
      </c>
      <c r="M549" s="5" t="str">
        <f t="shared" si="6"/>
        <v/>
      </c>
      <c r="N549" s="5" t="str">
        <f>IFERROR(__xludf.DUMMYFUNCTION("IF(AND(F549&lt;&gt;"""",REGEXMATCH(SUBSTITUTE(F549,"" "",""""),""^-?\d+(\.\d+)?,-?\d+(\.\d+)?$""),VALUE(REGEXEXTRACT(SUBSTITUTE(F549,"" "",""""),""^-?\d+(\.\d+)?""))&gt;=-90,VALUE(REGEXEXTRACT(SUBSTITUTE(F549,"" "",""""),""^-?\d+(\.\d+)?""))&lt;=90,VALUE(REGEXEXTRACT"&amp;"(SUBSTITUTE(F549,"" "",""""),""-?\d+(\.\d+)?$""))&gt;=-180,VALUE(REGEXEXTRACT(SUBSTITUTE(F549,"" "",""""),""-?\d+(\.\d+)?$""))&lt;=180),""OK"",""REVISAR"")"),"#N/A")</f>
        <v>#N/A</v>
      </c>
    </row>
    <row r="550" ht="15.75" customHeight="1">
      <c r="A550" s="5" t="str">
        <f t="shared" si="1"/>
        <v>AD507-0548</v>
      </c>
      <c r="C550" s="5"/>
      <c r="F550" s="5"/>
      <c r="G550" s="5" t="str">
        <f t="shared" si="2"/>
        <v/>
      </c>
      <c r="H550" s="5" t="str">
        <f t="shared" si="3"/>
        <v/>
      </c>
      <c r="I550" s="5" t="str">
        <f t="shared" si="4"/>
        <v/>
      </c>
      <c r="J550" s="5" t="str">
        <f t="shared" si="5"/>
        <v/>
      </c>
      <c r="K550" s="5" t="str">
        <f>IFERROR(__xludf.DUMMYFUNCTION("IF(C550&lt;&gt;"""",HYPERLINK(""https://wa.me/507""&amp;REGEXREPLACE(C550,""[^0-9]"","""")&amp;""?text=""&amp;ENCODEURL(""Ya llegue. Codigo: ""&amp;A550&amp;"". Ubicacion: ""&amp;""https://www.google.com/maps/search/?api=1&amp;query=""&amp;SUBSTITUTE(F550,"" "","""")),""📲 Avisar al cliente"""&amp;"),"""")"),"")</f>
        <v/>
      </c>
      <c r="L550" s="5" t="str">
        <f>IFERROR(__xludf.DUMMYFUNCTION("IF(C550&lt;&gt;"""",""https://api.qrserver.com/v1/create-qr-code/?size=200x200&amp;data=""&amp;ENCODEURL(""https://wa.me/507""&amp;REGEXREPLACE(C550,""[^0-9]"","""")&amp;""?text=""&amp;ENCODEURL(""Ya llegue. Codigo: ""&amp;A550&amp;"". Ubicacion: ""&amp;""https://www.google.com/maps/search/?a"&amp;"pi=1&amp;query=""&amp;SUBSTITUTE(F550,"" "",""""))),"""")"),"")</f>
        <v/>
      </c>
      <c r="M550" s="5" t="str">
        <f t="shared" si="6"/>
        <v/>
      </c>
      <c r="N550" s="5" t="str">
        <f>IFERROR(__xludf.DUMMYFUNCTION("IF(AND(F550&lt;&gt;"""",REGEXMATCH(SUBSTITUTE(F550,"" "",""""),""^-?\d+(\.\d+)?,-?\d+(\.\d+)?$""),VALUE(REGEXEXTRACT(SUBSTITUTE(F550,"" "",""""),""^-?\d+(\.\d+)?""))&gt;=-90,VALUE(REGEXEXTRACT(SUBSTITUTE(F550,"" "",""""),""^-?\d+(\.\d+)?""))&lt;=90,VALUE(REGEXEXTRACT"&amp;"(SUBSTITUTE(F550,"" "",""""),""-?\d+(\.\d+)?$""))&gt;=-180,VALUE(REGEXEXTRACT(SUBSTITUTE(F550,"" "",""""),""-?\d+(\.\d+)?$""))&lt;=180),""OK"",""REVISAR"")"),"#N/A")</f>
        <v>#N/A</v>
      </c>
    </row>
    <row r="551" ht="15.75" customHeight="1">
      <c r="A551" s="5" t="str">
        <f t="shared" si="1"/>
        <v>AD507-0549</v>
      </c>
      <c r="C551" s="5"/>
      <c r="F551" s="5"/>
      <c r="G551" s="5" t="str">
        <f t="shared" si="2"/>
        <v/>
      </c>
      <c r="H551" s="5" t="str">
        <f t="shared" si="3"/>
        <v/>
      </c>
      <c r="I551" s="5" t="str">
        <f t="shared" si="4"/>
        <v/>
      </c>
      <c r="J551" s="5" t="str">
        <f t="shared" si="5"/>
        <v/>
      </c>
      <c r="K551" s="5" t="str">
        <f>IFERROR(__xludf.DUMMYFUNCTION("IF(C551&lt;&gt;"""",HYPERLINK(""https://wa.me/507""&amp;REGEXREPLACE(C551,""[^0-9]"","""")&amp;""?text=""&amp;ENCODEURL(""Ya llegue. Codigo: ""&amp;A551&amp;"". Ubicacion: ""&amp;""https://www.google.com/maps/search/?api=1&amp;query=""&amp;SUBSTITUTE(F551,"" "","""")),""📲 Avisar al cliente"""&amp;"),"""")"),"")</f>
        <v/>
      </c>
      <c r="L551" s="5" t="str">
        <f>IFERROR(__xludf.DUMMYFUNCTION("IF(C551&lt;&gt;"""",""https://api.qrserver.com/v1/create-qr-code/?size=200x200&amp;data=""&amp;ENCODEURL(""https://wa.me/507""&amp;REGEXREPLACE(C551,""[^0-9]"","""")&amp;""?text=""&amp;ENCODEURL(""Ya llegue. Codigo: ""&amp;A551&amp;"". Ubicacion: ""&amp;""https://www.google.com/maps/search/?a"&amp;"pi=1&amp;query=""&amp;SUBSTITUTE(F551,"" "",""""))),"""")"),"")</f>
        <v/>
      </c>
      <c r="M551" s="5" t="str">
        <f t="shared" si="6"/>
        <v/>
      </c>
      <c r="N551" s="5" t="str">
        <f>IFERROR(__xludf.DUMMYFUNCTION("IF(AND(F551&lt;&gt;"""",REGEXMATCH(SUBSTITUTE(F551,"" "",""""),""^-?\d+(\.\d+)?,-?\d+(\.\d+)?$""),VALUE(REGEXEXTRACT(SUBSTITUTE(F551,"" "",""""),""^-?\d+(\.\d+)?""))&gt;=-90,VALUE(REGEXEXTRACT(SUBSTITUTE(F551,"" "",""""),""^-?\d+(\.\d+)?""))&lt;=90,VALUE(REGEXEXTRACT"&amp;"(SUBSTITUTE(F551,"" "",""""),""-?\d+(\.\d+)?$""))&gt;=-180,VALUE(REGEXEXTRACT(SUBSTITUTE(F551,"" "",""""),""-?\d+(\.\d+)?$""))&lt;=180),""OK"",""REVISAR"")"),"#N/A")</f>
        <v>#N/A</v>
      </c>
    </row>
    <row r="552" ht="15.75" customHeight="1">
      <c r="A552" s="5" t="str">
        <f t="shared" si="1"/>
        <v>AD507-0550</v>
      </c>
      <c r="C552" s="5"/>
      <c r="F552" s="5"/>
      <c r="G552" s="5" t="str">
        <f t="shared" si="2"/>
        <v/>
      </c>
      <c r="H552" s="5" t="str">
        <f t="shared" si="3"/>
        <v/>
      </c>
      <c r="I552" s="5" t="str">
        <f t="shared" si="4"/>
        <v/>
      </c>
      <c r="J552" s="5" t="str">
        <f t="shared" si="5"/>
        <v/>
      </c>
      <c r="K552" s="5" t="str">
        <f>IFERROR(__xludf.DUMMYFUNCTION("IF(C552&lt;&gt;"""",HYPERLINK(""https://wa.me/507""&amp;REGEXREPLACE(C552,""[^0-9]"","""")&amp;""?text=""&amp;ENCODEURL(""Ya llegue. Codigo: ""&amp;A552&amp;"". Ubicacion: ""&amp;""https://www.google.com/maps/search/?api=1&amp;query=""&amp;SUBSTITUTE(F552,"" "","""")),""📲 Avisar al cliente"""&amp;"),"""")"),"")</f>
        <v/>
      </c>
      <c r="L552" s="5" t="str">
        <f>IFERROR(__xludf.DUMMYFUNCTION("IF(C552&lt;&gt;"""",""https://api.qrserver.com/v1/create-qr-code/?size=200x200&amp;data=""&amp;ENCODEURL(""https://wa.me/507""&amp;REGEXREPLACE(C552,""[^0-9]"","""")&amp;""?text=""&amp;ENCODEURL(""Ya llegue. Codigo: ""&amp;A552&amp;"". Ubicacion: ""&amp;""https://www.google.com/maps/search/?a"&amp;"pi=1&amp;query=""&amp;SUBSTITUTE(F552,"" "",""""))),"""")"),"")</f>
        <v/>
      </c>
      <c r="M552" s="5" t="str">
        <f t="shared" si="6"/>
        <v/>
      </c>
      <c r="N552" s="5" t="str">
        <f>IFERROR(__xludf.DUMMYFUNCTION("IF(AND(F552&lt;&gt;"""",REGEXMATCH(SUBSTITUTE(F552,"" "",""""),""^-?\d+(\.\d+)?,-?\d+(\.\d+)?$""),VALUE(REGEXEXTRACT(SUBSTITUTE(F552,"" "",""""),""^-?\d+(\.\d+)?""))&gt;=-90,VALUE(REGEXEXTRACT(SUBSTITUTE(F552,"" "",""""),""^-?\d+(\.\d+)?""))&lt;=90,VALUE(REGEXEXTRACT"&amp;"(SUBSTITUTE(F552,"" "",""""),""-?\d+(\.\d+)?$""))&gt;=-180,VALUE(REGEXEXTRACT(SUBSTITUTE(F552,"" "",""""),""-?\d+(\.\d+)?$""))&lt;=180),""OK"",""REVISAR"")"),"#N/A")</f>
        <v>#N/A</v>
      </c>
    </row>
    <row r="553" ht="15.75" customHeight="1">
      <c r="A553" s="5" t="str">
        <f t="shared" si="1"/>
        <v>AD507-0551</v>
      </c>
      <c r="C553" s="5"/>
      <c r="F553" s="5"/>
      <c r="G553" s="5" t="str">
        <f t="shared" si="2"/>
        <v/>
      </c>
      <c r="H553" s="5" t="str">
        <f t="shared" si="3"/>
        <v/>
      </c>
      <c r="I553" s="5" t="str">
        <f t="shared" si="4"/>
        <v/>
      </c>
      <c r="J553" s="5" t="str">
        <f t="shared" si="5"/>
        <v/>
      </c>
      <c r="K553" s="5" t="str">
        <f>IFERROR(__xludf.DUMMYFUNCTION("IF(C553&lt;&gt;"""",HYPERLINK(""https://wa.me/507""&amp;REGEXREPLACE(C553,""[^0-9]"","""")&amp;""?text=""&amp;ENCODEURL(""Ya llegue. Codigo: ""&amp;A553&amp;"". Ubicacion: ""&amp;""https://www.google.com/maps/search/?api=1&amp;query=""&amp;SUBSTITUTE(F553,"" "","""")),""📲 Avisar al cliente"""&amp;"),"""")"),"")</f>
        <v/>
      </c>
      <c r="L553" s="5" t="str">
        <f>IFERROR(__xludf.DUMMYFUNCTION("IF(C553&lt;&gt;"""",""https://api.qrserver.com/v1/create-qr-code/?size=200x200&amp;data=""&amp;ENCODEURL(""https://wa.me/507""&amp;REGEXREPLACE(C553,""[^0-9]"","""")&amp;""?text=""&amp;ENCODEURL(""Ya llegue. Codigo: ""&amp;A553&amp;"". Ubicacion: ""&amp;""https://www.google.com/maps/search/?a"&amp;"pi=1&amp;query=""&amp;SUBSTITUTE(F553,"" "",""""))),"""")"),"")</f>
        <v/>
      </c>
      <c r="M553" s="5" t="str">
        <f t="shared" si="6"/>
        <v/>
      </c>
      <c r="N553" s="5" t="str">
        <f>IFERROR(__xludf.DUMMYFUNCTION("IF(AND(F553&lt;&gt;"""",REGEXMATCH(SUBSTITUTE(F553,"" "",""""),""^-?\d+(\.\d+)?,-?\d+(\.\d+)?$""),VALUE(REGEXEXTRACT(SUBSTITUTE(F553,"" "",""""),""^-?\d+(\.\d+)?""))&gt;=-90,VALUE(REGEXEXTRACT(SUBSTITUTE(F553,"" "",""""),""^-?\d+(\.\d+)?""))&lt;=90,VALUE(REGEXEXTRACT"&amp;"(SUBSTITUTE(F553,"" "",""""),""-?\d+(\.\d+)?$""))&gt;=-180,VALUE(REGEXEXTRACT(SUBSTITUTE(F553,"" "",""""),""-?\d+(\.\d+)?$""))&lt;=180),""OK"",""REVISAR"")"),"#N/A")</f>
        <v>#N/A</v>
      </c>
    </row>
    <row r="554" ht="15.75" customHeight="1">
      <c r="A554" s="5" t="str">
        <f t="shared" si="1"/>
        <v>AD507-0552</v>
      </c>
      <c r="C554" s="5"/>
      <c r="F554" s="5"/>
      <c r="G554" s="5" t="str">
        <f t="shared" si="2"/>
        <v/>
      </c>
      <c r="H554" s="5" t="str">
        <f t="shared" si="3"/>
        <v/>
      </c>
      <c r="I554" s="5" t="str">
        <f t="shared" si="4"/>
        <v/>
      </c>
      <c r="J554" s="5" t="str">
        <f t="shared" si="5"/>
        <v/>
      </c>
      <c r="K554" s="5" t="str">
        <f>IFERROR(__xludf.DUMMYFUNCTION("IF(C554&lt;&gt;"""",HYPERLINK(""https://wa.me/507""&amp;REGEXREPLACE(C554,""[^0-9]"","""")&amp;""?text=""&amp;ENCODEURL(""Ya llegue. Codigo: ""&amp;A554&amp;"". Ubicacion: ""&amp;""https://www.google.com/maps/search/?api=1&amp;query=""&amp;SUBSTITUTE(F554,"" "","""")),""📲 Avisar al cliente"""&amp;"),"""")"),"")</f>
        <v/>
      </c>
      <c r="L554" s="5" t="str">
        <f>IFERROR(__xludf.DUMMYFUNCTION("IF(C554&lt;&gt;"""",""https://api.qrserver.com/v1/create-qr-code/?size=200x200&amp;data=""&amp;ENCODEURL(""https://wa.me/507""&amp;REGEXREPLACE(C554,""[^0-9]"","""")&amp;""?text=""&amp;ENCODEURL(""Ya llegue. Codigo: ""&amp;A554&amp;"". Ubicacion: ""&amp;""https://www.google.com/maps/search/?a"&amp;"pi=1&amp;query=""&amp;SUBSTITUTE(F554,"" "",""""))),"""")"),"")</f>
        <v/>
      </c>
      <c r="M554" s="5" t="str">
        <f t="shared" si="6"/>
        <v/>
      </c>
      <c r="N554" s="5" t="str">
        <f>IFERROR(__xludf.DUMMYFUNCTION("IF(AND(F554&lt;&gt;"""",REGEXMATCH(SUBSTITUTE(F554,"" "",""""),""^-?\d+(\.\d+)?,-?\d+(\.\d+)?$""),VALUE(REGEXEXTRACT(SUBSTITUTE(F554,"" "",""""),""^-?\d+(\.\d+)?""))&gt;=-90,VALUE(REGEXEXTRACT(SUBSTITUTE(F554,"" "",""""),""^-?\d+(\.\d+)?""))&lt;=90,VALUE(REGEXEXTRACT"&amp;"(SUBSTITUTE(F554,"" "",""""),""-?\d+(\.\d+)?$""))&gt;=-180,VALUE(REGEXEXTRACT(SUBSTITUTE(F554,"" "",""""),""-?\d+(\.\d+)?$""))&lt;=180),""OK"",""REVISAR"")"),"#N/A")</f>
        <v>#N/A</v>
      </c>
    </row>
    <row r="555" ht="15.75" customHeight="1">
      <c r="A555" s="5" t="str">
        <f t="shared" si="1"/>
        <v>AD507-0553</v>
      </c>
      <c r="C555" s="5"/>
      <c r="F555" s="5"/>
      <c r="G555" s="5" t="str">
        <f t="shared" si="2"/>
        <v/>
      </c>
      <c r="H555" s="5" t="str">
        <f t="shared" si="3"/>
        <v/>
      </c>
      <c r="I555" s="5" t="str">
        <f t="shared" si="4"/>
        <v/>
      </c>
      <c r="J555" s="5" t="str">
        <f t="shared" si="5"/>
        <v/>
      </c>
      <c r="K555" s="5" t="str">
        <f>IFERROR(__xludf.DUMMYFUNCTION("IF(C555&lt;&gt;"""",HYPERLINK(""https://wa.me/507""&amp;REGEXREPLACE(C555,""[^0-9]"","""")&amp;""?text=""&amp;ENCODEURL(""Ya llegue. Codigo: ""&amp;A555&amp;"". Ubicacion: ""&amp;""https://www.google.com/maps/search/?api=1&amp;query=""&amp;SUBSTITUTE(F555,"" "","""")),""📲 Avisar al cliente"""&amp;"),"""")"),"")</f>
        <v/>
      </c>
      <c r="L555" s="5" t="str">
        <f>IFERROR(__xludf.DUMMYFUNCTION("IF(C555&lt;&gt;"""",""https://api.qrserver.com/v1/create-qr-code/?size=200x200&amp;data=""&amp;ENCODEURL(""https://wa.me/507""&amp;REGEXREPLACE(C555,""[^0-9]"","""")&amp;""?text=""&amp;ENCODEURL(""Ya llegue. Codigo: ""&amp;A555&amp;"". Ubicacion: ""&amp;""https://www.google.com/maps/search/?a"&amp;"pi=1&amp;query=""&amp;SUBSTITUTE(F555,"" "",""""))),"""")"),"")</f>
        <v/>
      </c>
      <c r="M555" s="5" t="str">
        <f t="shared" si="6"/>
        <v/>
      </c>
      <c r="N555" s="5" t="str">
        <f>IFERROR(__xludf.DUMMYFUNCTION("IF(AND(F555&lt;&gt;"""",REGEXMATCH(SUBSTITUTE(F555,"" "",""""),""^-?\d+(\.\d+)?,-?\d+(\.\d+)?$""),VALUE(REGEXEXTRACT(SUBSTITUTE(F555,"" "",""""),""^-?\d+(\.\d+)?""))&gt;=-90,VALUE(REGEXEXTRACT(SUBSTITUTE(F555,"" "",""""),""^-?\d+(\.\d+)?""))&lt;=90,VALUE(REGEXEXTRACT"&amp;"(SUBSTITUTE(F555,"" "",""""),""-?\d+(\.\d+)?$""))&gt;=-180,VALUE(REGEXEXTRACT(SUBSTITUTE(F555,"" "",""""),""-?\d+(\.\d+)?$""))&lt;=180),""OK"",""REVISAR"")"),"#N/A")</f>
        <v>#N/A</v>
      </c>
    </row>
    <row r="556" ht="15.75" customHeight="1">
      <c r="A556" s="5" t="str">
        <f t="shared" si="1"/>
        <v>AD507-0554</v>
      </c>
      <c r="C556" s="5"/>
      <c r="F556" s="5"/>
      <c r="G556" s="5" t="str">
        <f t="shared" si="2"/>
        <v/>
      </c>
      <c r="H556" s="5" t="str">
        <f t="shared" si="3"/>
        <v/>
      </c>
      <c r="I556" s="5" t="str">
        <f t="shared" si="4"/>
        <v/>
      </c>
      <c r="J556" s="5" t="str">
        <f t="shared" si="5"/>
        <v/>
      </c>
      <c r="K556" s="5" t="str">
        <f>IFERROR(__xludf.DUMMYFUNCTION("IF(C556&lt;&gt;"""",HYPERLINK(""https://wa.me/507""&amp;REGEXREPLACE(C556,""[^0-9]"","""")&amp;""?text=""&amp;ENCODEURL(""Ya llegue. Codigo: ""&amp;A556&amp;"". Ubicacion: ""&amp;""https://www.google.com/maps/search/?api=1&amp;query=""&amp;SUBSTITUTE(F556,"" "","""")),""📲 Avisar al cliente"""&amp;"),"""")"),"")</f>
        <v/>
      </c>
      <c r="L556" s="5" t="str">
        <f>IFERROR(__xludf.DUMMYFUNCTION("IF(C556&lt;&gt;"""",""https://api.qrserver.com/v1/create-qr-code/?size=200x200&amp;data=""&amp;ENCODEURL(""https://wa.me/507""&amp;REGEXREPLACE(C556,""[^0-9]"","""")&amp;""?text=""&amp;ENCODEURL(""Ya llegue. Codigo: ""&amp;A556&amp;"". Ubicacion: ""&amp;""https://www.google.com/maps/search/?a"&amp;"pi=1&amp;query=""&amp;SUBSTITUTE(F556,"" "",""""))),"""")"),"")</f>
        <v/>
      </c>
      <c r="M556" s="5" t="str">
        <f t="shared" si="6"/>
        <v/>
      </c>
      <c r="N556" s="5" t="str">
        <f>IFERROR(__xludf.DUMMYFUNCTION("IF(AND(F556&lt;&gt;"""",REGEXMATCH(SUBSTITUTE(F556,"" "",""""),""^-?\d+(\.\d+)?,-?\d+(\.\d+)?$""),VALUE(REGEXEXTRACT(SUBSTITUTE(F556,"" "",""""),""^-?\d+(\.\d+)?""))&gt;=-90,VALUE(REGEXEXTRACT(SUBSTITUTE(F556,"" "",""""),""^-?\d+(\.\d+)?""))&lt;=90,VALUE(REGEXEXTRACT"&amp;"(SUBSTITUTE(F556,"" "",""""),""-?\d+(\.\d+)?$""))&gt;=-180,VALUE(REGEXEXTRACT(SUBSTITUTE(F556,"" "",""""),""-?\d+(\.\d+)?$""))&lt;=180),""OK"",""REVISAR"")"),"#N/A")</f>
        <v>#N/A</v>
      </c>
    </row>
    <row r="557" ht="15.75" customHeight="1">
      <c r="A557" s="5" t="str">
        <f t="shared" si="1"/>
        <v>AD507-0555</v>
      </c>
      <c r="C557" s="5"/>
      <c r="F557" s="5"/>
      <c r="G557" s="5" t="str">
        <f t="shared" si="2"/>
        <v/>
      </c>
      <c r="H557" s="5" t="str">
        <f t="shared" si="3"/>
        <v/>
      </c>
      <c r="I557" s="5" t="str">
        <f t="shared" si="4"/>
        <v/>
      </c>
      <c r="J557" s="5" t="str">
        <f t="shared" si="5"/>
        <v/>
      </c>
      <c r="K557" s="5" t="str">
        <f>IFERROR(__xludf.DUMMYFUNCTION("IF(C557&lt;&gt;"""",HYPERLINK(""https://wa.me/507""&amp;REGEXREPLACE(C557,""[^0-9]"","""")&amp;""?text=""&amp;ENCODEURL(""Ya llegue. Codigo: ""&amp;A557&amp;"". Ubicacion: ""&amp;""https://www.google.com/maps/search/?api=1&amp;query=""&amp;SUBSTITUTE(F557,"" "","""")),""📲 Avisar al cliente"""&amp;"),"""")"),"")</f>
        <v/>
      </c>
      <c r="L557" s="5" t="str">
        <f>IFERROR(__xludf.DUMMYFUNCTION("IF(C557&lt;&gt;"""",""https://api.qrserver.com/v1/create-qr-code/?size=200x200&amp;data=""&amp;ENCODEURL(""https://wa.me/507""&amp;REGEXREPLACE(C557,""[^0-9]"","""")&amp;""?text=""&amp;ENCODEURL(""Ya llegue. Codigo: ""&amp;A557&amp;"". Ubicacion: ""&amp;""https://www.google.com/maps/search/?a"&amp;"pi=1&amp;query=""&amp;SUBSTITUTE(F557,"" "",""""))),"""")"),"")</f>
        <v/>
      </c>
      <c r="M557" s="5" t="str">
        <f t="shared" si="6"/>
        <v/>
      </c>
      <c r="N557" s="5" t="str">
        <f>IFERROR(__xludf.DUMMYFUNCTION("IF(AND(F557&lt;&gt;"""",REGEXMATCH(SUBSTITUTE(F557,"" "",""""),""^-?\d+(\.\d+)?,-?\d+(\.\d+)?$""),VALUE(REGEXEXTRACT(SUBSTITUTE(F557,"" "",""""),""^-?\d+(\.\d+)?""))&gt;=-90,VALUE(REGEXEXTRACT(SUBSTITUTE(F557,"" "",""""),""^-?\d+(\.\d+)?""))&lt;=90,VALUE(REGEXEXTRACT"&amp;"(SUBSTITUTE(F557,"" "",""""),""-?\d+(\.\d+)?$""))&gt;=-180,VALUE(REGEXEXTRACT(SUBSTITUTE(F557,"" "",""""),""-?\d+(\.\d+)?$""))&lt;=180),""OK"",""REVISAR"")"),"#N/A")</f>
        <v>#N/A</v>
      </c>
    </row>
    <row r="558" ht="15.75" customHeight="1">
      <c r="A558" s="5" t="str">
        <f t="shared" si="1"/>
        <v>AD507-0556</v>
      </c>
      <c r="C558" s="5"/>
      <c r="F558" s="5"/>
      <c r="G558" s="5" t="str">
        <f t="shared" si="2"/>
        <v/>
      </c>
      <c r="H558" s="5" t="str">
        <f t="shared" si="3"/>
        <v/>
      </c>
      <c r="I558" s="5" t="str">
        <f t="shared" si="4"/>
        <v/>
      </c>
      <c r="J558" s="5" t="str">
        <f t="shared" si="5"/>
        <v/>
      </c>
      <c r="K558" s="5" t="str">
        <f>IFERROR(__xludf.DUMMYFUNCTION("IF(C558&lt;&gt;"""",HYPERLINK(""https://wa.me/507""&amp;REGEXREPLACE(C558,""[^0-9]"","""")&amp;""?text=""&amp;ENCODEURL(""Ya llegue. Codigo: ""&amp;A558&amp;"". Ubicacion: ""&amp;""https://www.google.com/maps/search/?api=1&amp;query=""&amp;SUBSTITUTE(F558,"" "","""")),""📲 Avisar al cliente"""&amp;"),"""")"),"")</f>
        <v/>
      </c>
      <c r="L558" s="5" t="str">
        <f>IFERROR(__xludf.DUMMYFUNCTION("IF(C558&lt;&gt;"""",""https://api.qrserver.com/v1/create-qr-code/?size=200x200&amp;data=""&amp;ENCODEURL(""https://wa.me/507""&amp;REGEXREPLACE(C558,""[^0-9]"","""")&amp;""?text=""&amp;ENCODEURL(""Ya llegue. Codigo: ""&amp;A558&amp;"". Ubicacion: ""&amp;""https://www.google.com/maps/search/?a"&amp;"pi=1&amp;query=""&amp;SUBSTITUTE(F558,"" "",""""))),"""")"),"")</f>
        <v/>
      </c>
      <c r="M558" s="5" t="str">
        <f t="shared" si="6"/>
        <v/>
      </c>
      <c r="N558" s="5" t="str">
        <f>IFERROR(__xludf.DUMMYFUNCTION("IF(AND(F558&lt;&gt;"""",REGEXMATCH(SUBSTITUTE(F558,"" "",""""),""^-?\d+(\.\d+)?,-?\d+(\.\d+)?$""),VALUE(REGEXEXTRACT(SUBSTITUTE(F558,"" "",""""),""^-?\d+(\.\d+)?""))&gt;=-90,VALUE(REGEXEXTRACT(SUBSTITUTE(F558,"" "",""""),""^-?\d+(\.\d+)?""))&lt;=90,VALUE(REGEXEXTRACT"&amp;"(SUBSTITUTE(F558,"" "",""""),""-?\d+(\.\d+)?$""))&gt;=-180,VALUE(REGEXEXTRACT(SUBSTITUTE(F558,"" "",""""),""-?\d+(\.\d+)?$""))&lt;=180),""OK"",""REVISAR"")"),"#N/A")</f>
        <v>#N/A</v>
      </c>
    </row>
    <row r="559" ht="15.75" customHeight="1">
      <c r="A559" s="5" t="str">
        <f t="shared" si="1"/>
        <v>AD507-0557</v>
      </c>
      <c r="C559" s="5"/>
      <c r="F559" s="5"/>
      <c r="G559" s="5" t="str">
        <f t="shared" si="2"/>
        <v/>
      </c>
      <c r="H559" s="5" t="str">
        <f t="shared" si="3"/>
        <v/>
      </c>
      <c r="I559" s="5" t="str">
        <f t="shared" si="4"/>
        <v/>
      </c>
      <c r="J559" s="5" t="str">
        <f t="shared" si="5"/>
        <v/>
      </c>
      <c r="K559" s="5" t="str">
        <f>IFERROR(__xludf.DUMMYFUNCTION("IF(C559&lt;&gt;"""",HYPERLINK(""https://wa.me/507""&amp;REGEXREPLACE(C559,""[^0-9]"","""")&amp;""?text=""&amp;ENCODEURL(""Ya llegue. Codigo: ""&amp;A559&amp;"". Ubicacion: ""&amp;""https://www.google.com/maps/search/?api=1&amp;query=""&amp;SUBSTITUTE(F559,"" "","""")),""📲 Avisar al cliente"""&amp;"),"""")"),"")</f>
        <v/>
      </c>
      <c r="L559" s="5" t="str">
        <f>IFERROR(__xludf.DUMMYFUNCTION("IF(C559&lt;&gt;"""",""https://api.qrserver.com/v1/create-qr-code/?size=200x200&amp;data=""&amp;ENCODEURL(""https://wa.me/507""&amp;REGEXREPLACE(C559,""[^0-9]"","""")&amp;""?text=""&amp;ENCODEURL(""Ya llegue. Codigo: ""&amp;A559&amp;"". Ubicacion: ""&amp;""https://www.google.com/maps/search/?a"&amp;"pi=1&amp;query=""&amp;SUBSTITUTE(F559,"" "",""""))),"""")"),"")</f>
        <v/>
      </c>
      <c r="M559" s="5" t="str">
        <f t="shared" si="6"/>
        <v/>
      </c>
      <c r="N559" s="5" t="str">
        <f>IFERROR(__xludf.DUMMYFUNCTION("IF(AND(F559&lt;&gt;"""",REGEXMATCH(SUBSTITUTE(F559,"" "",""""),""^-?\d+(\.\d+)?,-?\d+(\.\d+)?$""),VALUE(REGEXEXTRACT(SUBSTITUTE(F559,"" "",""""),""^-?\d+(\.\d+)?""))&gt;=-90,VALUE(REGEXEXTRACT(SUBSTITUTE(F559,"" "",""""),""^-?\d+(\.\d+)?""))&lt;=90,VALUE(REGEXEXTRACT"&amp;"(SUBSTITUTE(F559,"" "",""""),""-?\d+(\.\d+)?$""))&gt;=-180,VALUE(REGEXEXTRACT(SUBSTITUTE(F559,"" "",""""),""-?\d+(\.\d+)?$""))&lt;=180),""OK"",""REVISAR"")"),"#N/A")</f>
        <v>#N/A</v>
      </c>
    </row>
    <row r="560" ht="15.75" customHeight="1">
      <c r="A560" s="5" t="str">
        <f t="shared" si="1"/>
        <v>AD507-0558</v>
      </c>
      <c r="C560" s="5"/>
      <c r="F560" s="5"/>
      <c r="G560" s="5" t="str">
        <f t="shared" si="2"/>
        <v/>
      </c>
      <c r="H560" s="5" t="str">
        <f t="shared" si="3"/>
        <v/>
      </c>
      <c r="I560" s="5" t="str">
        <f t="shared" si="4"/>
        <v/>
      </c>
      <c r="J560" s="5" t="str">
        <f t="shared" si="5"/>
        <v/>
      </c>
      <c r="K560" s="5" t="str">
        <f>IFERROR(__xludf.DUMMYFUNCTION("IF(C560&lt;&gt;"""",HYPERLINK(""https://wa.me/507""&amp;REGEXREPLACE(C560,""[^0-9]"","""")&amp;""?text=""&amp;ENCODEURL(""Ya llegue. Codigo: ""&amp;A560&amp;"". Ubicacion: ""&amp;""https://www.google.com/maps/search/?api=1&amp;query=""&amp;SUBSTITUTE(F560,"" "","""")),""📲 Avisar al cliente"""&amp;"),"""")"),"")</f>
        <v/>
      </c>
      <c r="L560" s="5" t="str">
        <f>IFERROR(__xludf.DUMMYFUNCTION("IF(C560&lt;&gt;"""",""https://api.qrserver.com/v1/create-qr-code/?size=200x200&amp;data=""&amp;ENCODEURL(""https://wa.me/507""&amp;REGEXREPLACE(C560,""[^0-9]"","""")&amp;""?text=""&amp;ENCODEURL(""Ya llegue. Codigo: ""&amp;A560&amp;"". Ubicacion: ""&amp;""https://www.google.com/maps/search/?a"&amp;"pi=1&amp;query=""&amp;SUBSTITUTE(F560,"" "",""""))),"""")"),"")</f>
        <v/>
      </c>
      <c r="M560" s="5" t="str">
        <f t="shared" si="6"/>
        <v/>
      </c>
      <c r="N560" s="5" t="str">
        <f>IFERROR(__xludf.DUMMYFUNCTION("IF(AND(F560&lt;&gt;"""",REGEXMATCH(SUBSTITUTE(F560,"" "",""""),""^-?\d+(\.\d+)?,-?\d+(\.\d+)?$""),VALUE(REGEXEXTRACT(SUBSTITUTE(F560,"" "",""""),""^-?\d+(\.\d+)?""))&gt;=-90,VALUE(REGEXEXTRACT(SUBSTITUTE(F560,"" "",""""),""^-?\d+(\.\d+)?""))&lt;=90,VALUE(REGEXEXTRACT"&amp;"(SUBSTITUTE(F560,"" "",""""),""-?\d+(\.\d+)?$""))&gt;=-180,VALUE(REGEXEXTRACT(SUBSTITUTE(F560,"" "",""""),""-?\d+(\.\d+)?$""))&lt;=180),""OK"",""REVISAR"")"),"#N/A")</f>
        <v>#N/A</v>
      </c>
    </row>
    <row r="561" ht="15.75" customHeight="1">
      <c r="A561" s="5" t="str">
        <f t="shared" si="1"/>
        <v>AD507-0559</v>
      </c>
      <c r="C561" s="5"/>
      <c r="F561" s="5"/>
      <c r="G561" s="5" t="str">
        <f t="shared" si="2"/>
        <v/>
      </c>
      <c r="H561" s="5" t="str">
        <f t="shared" si="3"/>
        <v/>
      </c>
      <c r="I561" s="5" t="str">
        <f t="shared" si="4"/>
        <v/>
      </c>
      <c r="J561" s="5" t="str">
        <f t="shared" si="5"/>
        <v/>
      </c>
      <c r="K561" s="5" t="str">
        <f>IFERROR(__xludf.DUMMYFUNCTION("IF(C561&lt;&gt;"""",HYPERLINK(""https://wa.me/507""&amp;REGEXREPLACE(C561,""[^0-9]"","""")&amp;""?text=""&amp;ENCODEURL(""Ya llegue. Codigo: ""&amp;A561&amp;"". Ubicacion: ""&amp;""https://www.google.com/maps/search/?api=1&amp;query=""&amp;SUBSTITUTE(F561,"" "","""")),""📲 Avisar al cliente"""&amp;"),"""")"),"")</f>
        <v/>
      </c>
      <c r="L561" s="5" t="str">
        <f>IFERROR(__xludf.DUMMYFUNCTION("IF(C561&lt;&gt;"""",""https://api.qrserver.com/v1/create-qr-code/?size=200x200&amp;data=""&amp;ENCODEURL(""https://wa.me/507""&amp;REGEXREPLACE(C561,""[^0-9]"","""")&amp;""?text=""&amp;ENCODEURL(""Ya llegue. Codigo: ""&amp;A561&amp;"". Ubicacion: ""&amp;""https://www.google.com/maps/search/?a"&amp;"pi=1&amp;query=""&amp;SUBSTITUTE(F561,"" "",""""))),"""")"),"")</f>
        <v/>
      </c>
      <c r="M561" s="5" t="str">
        <f t="shared" si="6"/>
        <v/>
      </c>
      <c r="N561" s="5" t="str">
        <f>IFERROR(__xludf.DUMMYFUNCTION("IF(AND(F561&lt;&gt;"""",REGEXMATCH(SUBSTITUTE(F561,"" "",""""),""^-?\d+(\.\d+)?,-?\d+(\.\d+)?$""),VALUE(REGEXEXTRACT(SUBSTITUTE(F561,"" "",""""),""^-?\d+(\.\d+)?""))&gt;=-90,VALUE(REGEXEXTRACT(SUBSTITUTE(F561,"" "",""""),""^-?\d+(\.\d+)?""))&lt;=90,VALUE(REGEXEXTRACT"&amp;"(SUBSTITUTE(F561,"" "",""""),""-?\d+(\.\d+)?$""))&gt;=-180,VALUE(REGEXEXTRACT(SUBSTITUTE(F561,"" "",""""),""-?\d+(\.\d+)?$""))&lt;=180),""OK"",""REVISAR"")"),"#N/A")</f>
        <v>#N/A</v>
      </c>
    </row>
    <row r="562" ht="15.75" customHeight="1">
      <c r="A562" s="5" t="str">
        <f t="shared" si="1"/>
        <v>AD507-0560</v>
      </c>
      <c r="C562" s="5"/>
      <c r="F562" s="5"/>
      <c r="G562" s="5" t="str">
        <f t="shared" si="2"/>
        <v/>
      </c>
      <c r="H562" s="5" t="str">
        <f t="shared" si="3"/>
        <v/>
      </c>
      <c r="I562" s="5" t="str">
        <f t="shared" si="4"/>
        <v/>
      </c>
      <c r="J562" s="5" t="str">
        <f t="shared" si="5"/>
        <v/>
      </c>
      <c r="K562" s="5" t="str">
        <f>IFERROR(__xludf.DUMMYFUNCTION("IF(C562&lt;&gt;"""",HYPERLINK(""https://wa.me/507""&amp;REGEXREPLACE(C562,""[^0-9]"","""")&amp;""?text=""&amp;ENCODEURL(""Ya llegue. Codigo: ""&amp;A562&amp;"". Ubicacion: ""&amp;""https://www.google.com/maps/search/?api=1&amp;query=""&amp;SUBSTITUTE(F562,"" "","""")),""📲 Avisar al cliente"""&amp;"),"""")"),"")</f>
        <v/>
      </c>
      <c r="L562" s="5" t="str">
        <f>IFERROR(__xludf.DUMMYFUNCTION("IF(C562&lt;&gt;"""",""https://api.qrserver.com/v1/create-qr-code/?size=200x200&amp;data=""&amp;ENCODEURL(""https://wa.me/507""&amp;REGEXREPLACE(C562,""[^0-9]"","""")&amp;""?text=""&amp;ENCODEURL(""Ya llegue. Codigo: ""&amp;A562&amp;"". Ubicacion: ""&amp;""https://www.google.com/maps/search/?a"&amp;"pi=1&amp;query=""&amp;SUBSTITUTE(F562,"" "",""""))),"""")"),"")</f>
        <v/>
      </c>
      <c r="M562" s="5" t="str">
        <f t="shared" si="6"/>
        <v/>
      </c>
      <c r="N562" s="5" t="str">
        <f>IFERROR(__xludf.DUMMYFUNCTION("IF(AND(F562&lt;&gt;"""",REGEXMATCH(SUBSTITUTE(F562,"" "",""""),""^-?\d+(\.\d+)?,-?\d+(\.\d+)?$""),VALUE(REGEXEXTRACT(SUBSTITUTE(F562,"" "",""""),""^-?\d+(\.\d+)?""))&gt;=-90,VALUE(REGEXEXTRACT(SUBSTITUTE(F562,"" "",""""),""^-?\d+(\.\d+)?""))&lt;=90,VALUE(REGEXEXTRACT"&amp;"(SUBSTITUTE(F562,"" "",""""),""-?\d+(\.\d+)?$""))&gt;=-180,VALUE(REGEXEXTRACT(SUBSTITUTE(F562,"" "",""""),""-?\d+(\.\d+)?$""))&lt;=180),""OK"",""REVISAR"")"),"#N/A")</f>
        <v>#N/A</v>
      </c>
    </row>
    <row r="563" ht="15.75" customHeight="1">
      <c r="A563" s="5" t="str">
        <f t="shared" si="1"/>
        <v>AD507-0561</v>
      </c>
      <c r="C563" s="5"/>
      <c r="F563" s="5"/>
      <c r="G563" s="5" t="str">
        <f t="shared" si="2"/>
        <v/>
      </c>
      <c r="H563" s="5" t="str">
        <f t="shared" si="3"/>
        <v/>
      </c>
      <c r="I563" s="5" t="str">
        <f t="shared" si="4"/>
        <v/>
      </c>
      <c r="J563" s="5" t="str">
        <f t="shared" si="5"/>
        <v/>
      </c>
      <c r="K563" s="5" t="str">
        <f>IFERROR(__xludf.DUMMYFUNCTION("IF(C563&lt;&gt;"""",HYPERLINK(""https://wa.me/507""&amp;REGEXREPLACE(C563,""[^0-9]"","""")&amp;""?text=""&amp;ENCODEURL(""Ya llegue. Codigo: ""&amp;A563&amp;"". Ubicacion: ""&amp;""https://www.google.com/maps/search/?api=1&amp;query=""&amp;SUBSTITUTE(F563,"" "","""")),""📲 Avisar al cliente"""&amp;"),"""")"),"")</f>
        <v/>
      </c>
      <c r="L563" s="5" t="str">
        <f>IFERROR(__xludf.DUMMYFUNCTION("IF(C563&lt;&gt;"""",""https://api.qrserver.com/v1/create-qr-code/?size=200x200&amp;data=""&amp;ENCODEURL(""https://wa.me/507""&amp;REGEXREPLACE(C563,""[^0-9]"","""")&amp;""?text=""&amp;ENCODEURL(""Ya llegue. Codigo: ""&amp;A563&amp;"". Ubicacion: ""&amp;""https://www.google.com/maps/search/?a"&amp;"pi=1&amp;query=""&amp;SUBSTITUTE(F563,"" "",""""))),"""")"),"")</f>
        <v/>
      </c>
      <c r="M563" s="5" t="str">
        <f t="shared" si="6"/>
        <v/>
      </c>
      <c r="N563" s="5" t="str">
        <f>IFERROR(__xludf.DUMMYFUNCTION("IF(AND(F563&lt;&gt;"""",REGEXMATCH(SUBSTITUTE(F563,"" "",""""),""^-?\d+(\.\d+)?,-?\d+(\.\d+)?$""),VALUE(REGEXEXTRACT(SUBSTITUTE(F563,"" "",""""),""^-?\d+(\.\d+)?""))&gt;=-90,VALUE(REGEXEXTRACT(SUBSTITUTE(F563,"" "",""""),""^-?\d+(\.\d+)?""))&lt;=90,VALUE(REGEXEXTRACT"&amp;"(SUBSTITUTE(F563,"" "",""""),""-?\d+(\.\d+)?$""))&gt;=-180,VALUE(REGEXEXTRACT(SUBSTITUTE(F563,"" "",""""),""-?\d+(\.\d+)?$""))&lt;=180),""OK"",""REVISAR"")"),"#N/A")</f>
        <v>#N/A</v>
      </c>
    </row>
    <row r="564" ht="15.75" customHeight="1">
      <c r="A564" s="5" t="str">
        <f t="shared" si="1"/>
        <v>AD507-0562</v>
      </c>
      <c r="C564" s="5"/>
      <c r="F564" s="5"/>
      <c r="G564" s="5" t="str">
        <f t="shared" si="2"/>
        <v/>
      </c>
      <c r="H564" s="5" t="str">
        <f t="shared" si="3"/>
        <v/>
      </c>
      <c r="I564" s="5" t="str">
        <f t="shared" si="4"/>
        <v/>
      </c>
      <c r="J564" s="5" t="str">
        <f t="shared" si="5"/>
        <v/>
      </c>
      <c r="K564" s="5" t="str">
        <f>IFERROR(__xludf.DUMMYFUNCTION("IF(C564&lt;&gt;"""",HYPERLINK(""https://wa.me/507""&amp;REGEXREPLACE(C564,""[^0-9]"","""")&amp;""?text=""&amp;ENCODEURL(""Ya llegue. Codigo: ""&amp;A564&amp;"". Ubicacion: ""&amp;""https://www.google.com/maps/search/?api=1&amp;query=""&amp;SUBSTITUTE(F564,"" "","""")),""📲 Avisar al cliente"""&amp;"),"""")"),"")</f>
        <v/>
      </c>
      <c r="L564" s="5" t="str">
        <f>IFERROR(__xludf.DUMMYFUNCTION("IF(C564&lt;&gt;"""",""https://api.qrserver.com/v1/create-qr-code/?size=200x200&amp;data=""&amp;ENCODEURL(""https://wa.me/507""&amp;REGEXREPLACE(C564,""[^0-9]"","""")&amp;""?text=""&amp;ENCODEURL(""Ya llegue. Codigo: ""&amp;A564&amp;"". Ubicacion: ""&amp;""https://www.google.com/maps/search/?a"&amp;"pi=1&amp;query=""&amp;SUBSTITUTE(F564,"" "",""""))),"""")"),"")</f>
        <v/>
      </c>
      <c r="M564" s="5" t="str">
        <f t="shared" si="6"/>
        <v/>
      </c>
      <c r="N564" s="5" t="str">
        <f>IFERROR(__xludf.DUMMYFUNCTION("IF(AND(F564&lt;&gt;"""",REGEXMATCH(SUBSTITUTE(F564,"" "",""""),""^-?\d+(\.\d+)?,-?\d+(\.\d+)?$""),VALUE(REGEXEXTRACT(SUBSTITUTE(F564,"" "",""""),""^-?\d+(\.\d+)?""))&gt;=-90,VALUE(REGEXEXTRACT(SUBSTITUTE(F564,"" "",""""),""^-?\d+(\.\d+)?""))&lt;=90,VALUE(REGEXEXTRACT"&amp;"(SUBSTITUTE(F564,"" "",""""),""-?\d+(\.\d+)?$""))&gt;=-180,VALUE(REGEXEXTRACT(SUBSTITUTE(F564,"" "",""""),""-?\d+(\.\d+)?$""))&lt;=180),""OK"",""REVISAR"")"),"#N/A")</f>
        <v>#N/A</v>
      </c>
    </row>
    <row r="565" ht="15.75" customHeight="1">
      <c r="A565" s="5" t="str">
        <f t="shared" si="1"/>
        <v>AD507-0563</v>
      </c>
      <c r="C565" s="5"/>
      <c r="F565" s="5"/>
      <c r="G565" s="5" t="str">
        <f t="shared" si="2"/>
        <v/>
      </c>
      <c r="H565" s="5" t="str">
        <f t="shared" si="3"/>
        <v/>
      </c>
      <c r="I565" s="5" t="str">
        <f t="shared" si="4"/>
        <v/>
      </c>
      <c r="J565" s="5" t="str">
        <f t="shared" si="5"/>
        <v/>
      </c>
      <c r="K565" s="5" t="str">
        <f>IFERROR(__xludf.DUMMYFUNCTION("IF(C565&lt;&gt;"""",HYPERLINK(""https://wa.me/507""&amp;REGEXREPLACE(C565,""[^0-9]"","""")&amp;""?text=""&amp;ENCODEURL(""Ya llegue. Codigo: ""&amp;A565&amp;"". Ubicacion: ""&amp;""https://www.google.com/maps/search/?api=1&amp;query=""&amp;SUBSTITUTE(F565,"" "","""")),""📲 Avisar al cliente"""&amp;"),"""")"),"")</f>
        <v/>
      </c>
      <c r="L565" s="5" t="str">
        <f>IFERROR(__xludf.DUMMYFUNCTION("IF(C565&lt;&gt;"""",""https://api.qrserver.com/v1/create-qr-code/?size=200x200&amp;data=""&amp;ENCODEURL(""https://wa.me/507""&amp;REGEXREPLACE(C565,""[^0-9]"","""")&amp;""?text=""&amp;ENCODEURL(""Ya llegue. Codigo: ""&amp;A565&amp;"". Ubicacion: ""&amp;""https://www.google.com/maps/search/?a"&amp;"pi=1&amp;query=""&amp;SUBSTITUTE(F565,"" "",""""))),"""")"),"")</f>
        <v/>
      </c>
      <c r="M565" s="5" t="str">
        <f t="shared" si="6"/>
        <v/>
      </c>
      <c r="N565" s="5" t="str">
        <f>IFERROR(__xludf.DUMMYFUNCTION("IF(AND(F565&lt;&gt;"""",REGEXMATCH(SUBSTITUTE(F565,"" "",""""),""^-?\d+(\.\d+)?,-?\d+(\.\d+)?$""),VALUE(REGEXEXTRACT(SUBSTITUTE(F565,"" "",""""),""^-?\d+(\.\d+)?""))&gt;=-90,VALUE(REGEXEXTRACT(SUBSTITUTE(F565,"" "",""""),""^-?\d+(\.\d+)?""))&lt;=90,VALUE(REGEXEXTRACT"&amp;"(SUBSTITUTE(F565,"" "",""""),""-?\d+(\.\d+)?$""))&gt;=-180,VALUE(REGEXEXTRACT(SUBSTITUTE(F565,"" "",""""),""-?\d+(\.\d+)?$""))&lt;=180),""OK"",""REVISAR"")"),"#N/A")</f>
        <v>#N/A</v>
      </c>
    </row>
    <row r="566" ht="15.75" customHeight="1">
      <c r="A566" s="5" t="str">
        <f t="shared" si="1"/>
        <v>AD507-0564</v>
      </c>
      <c r="C566" s="5"/>
      <c r="F566" s="5"/>
      <c r="G566" s="5" t="str">
        <f t="shared" si="2"/>
        <v/>
      </c>
      <c r="H566" s="5" t="str">
        <f t="shared" si="3"/>
        <v/>
      </c>
      <c r="I566" s="5" t="str">
        <f t="shared" si="4"/>
        <v/>
      </c>
      <c r="J566" s="5" t="str">
        <f t="shared" si="5"/>
        <v/>
      </c>
      <c r="K566" s="5" t="str">
        <f>IFERROR(__xludf.DUMMYFUNCTION("IF(C566&lt;&gt;"""",HYPERLINK(""https://wa.me/507""&amp;REGEXREPLACE(C566,""[^0-9]"","""")&amp;""?text=""&amp;ENCODEURL(""Ya llegue. Codigo: ""&amp;A566&amp;"". Ubicacion: ""&amp;""https://www.google.com/maps/search/?api=1&amp;query=""&amp;SUBSTITUTE(F566,"" "","""")),""📲 Avisar al cliente"""&amp;"),"""")"),"")</f>
        <v/>
      </c>
      <c r="L566" s="5" t="str">
        <f>IFERROR(__xludf.DUMMYFUNCTION("IF(C566&lt;&gt;"""",""https://api.qrserver.com/v1/create-qr-code/?size=200x200&amp;data=""&amp;ENCODEURL(""https://wa.me/507""&amp;REGEXREPLACE(C566,""[^0-9]"","""")&amp;""?text=""&amp;ENCODEURL(""Ya llegue. Codigo: ""&amp;A566&amp;"". Ubicacion: ""&amp;""https://www.google.com/maps/search/?a"&amp;"pi=1&amp;query=""&amp;SUBSTITUTE(F566,"" "",""""))),"""")"),"")</f>
        <v/>
      </c>
      <c r="M566" s="5" t="str">
        <f t="shared" si="6"/>
        <v/>
      </c>
      <c r="N566" s="5" t="str">
        <f>IFERROR(__xludf.DUMMYFUNCTION("IF(AND(F566&lt;&gt;"""",REGEXMATCH(SUBSTITUTE(F566,"" "",""""),""^-?\d+(\.\d+)?,-?\d+(\.\d+)?$""),VALUE(REGEXEXTRACT(SUBSTITUTE(F566,"" "",""""),""^-?\d+(\.\d+)?""))&gt;=-90,VALUE(REGEXEXTRACT(SUBSTITUTE(F566,"" "",""""),""^-?\d+(\.\d+)?""))&lt;=90,VALUE(REGEXEXTRACT"&amp;"(SUBSTITUTE(F566,"" "",""""),""-?\d+(\.\d+)?$""))&gt;=-180,VALUE(REGEXEXTRACT(SUBSTITUTE(F566,"" "",""""),""-?\d+(\.\d+)?$""))&lt;=180),""OK"",""REVISAR"")"),"#N/A")</f>
        <v>#N/A</v>
      </c>
    </row>
    <row r="567" ht="15.75" customHeight="1">
      <c r="A567" s="5" t="str">
        <f t="shared" si="1"/>
        <v>AD507-0565</v>
      </c>
      <c r="C567" s="5"/>
      <c r="F567" s="5"/>
      <c r="G567" s="5" t="str">
        <f t="shared" si="2"/>
        <v/>
      </c>
      <c r="H567" s="5" t="str">
        <f t="shared" si="3"/>
        <v/>
      </c>
      <c r="I567" s="5" t="str">
        <f t="shared" si="4"/>
        <v/>
      </c>
      <c r="J567" s="5" t="str">
        <f t="shared" si="5"/>
        <v/>
      </c>
      <c r="K567" s="5" t="str">
        <f>IFERROR(__xludf.DUMMYFUNCTION("IF(C567&lt;&gt;"""",HYPERLINK(""https://wa.me/507""&amp;REGEXREPLACE(C567,""[^0-9]"","""")&amp;""?text=""&amp;ENCODEURL(""Ya llegue. Codigo: ""&amp;A567&amp;"". Ubicacion: ""&amp;""https://www.google.com/maps/search/?api=1&amp;query=""&amp;SUBSTITUTE(F567,"" "","""")),""📲 Avisar al cliente"""&amp;"),"""")"),"")</f>
        <v/>
      </c>
      <c r="L567" s="5" t="str">
        <f>IFERROR(__xludf.DUMMYFUNCTION("IF(C567&lt;&gt;"""",""https://api.qrserver.com/v1/create-qr-code/?size=200x200&amp;data=""&amp;ENCODEURL(""https://wa.me/507""&amp;REGEXREPLACE(C567,""[^0-9]"","""")&amp;""?text=""&amp;ENCODEURL(""Ya llegue. Codigo: ""&amp;A567&amp;"". Ubicacion: ""&amp;""https://www.google.com/maps/search/?a"&amp;"pi=1&amp;query=""&amp;SUBSTITUTE(F567,"" "",""""))),"""")"),"")</f>
        <v/>
      </c>
      <c r="M567" s="5" t="str">
        <f t="shared" si="6"/>
        <v/>
      </c>
      <c r="N567" s="5" t="str">
        <f>IFERROR(__xludf.DUMMYFUNCTION("IF(AND(F567&lt;&gt;"""",REGEXMATCH(SUBSTITUTE(F567,"" "",""""),""^-?\d+(\.\d+)?,-?\d+(\.\d+)?$""),VALUE(REGEXEXTRACT(SUBSTITUTE(F567,"" "",""""),""^-?\d+(\.\d+)?""))&gt;=-90,VALUE(REGEXEXTRACT(SUBSTITUTE(F567,"" "",""""),""^-?\d+(\.\d+)?""))&lt;=90,VALUE(REGEXEXTRACT"&amp;"(SUBSTITUTE(F567,"" "",""""),""-?\d+(\.\d+)?$""))&gt;=-180,VALUE(REGEXEXTRACT(SUBSTITUTE(F567,"" "",""""),""-?\d+(\.\d+)?$""))&lt;=180),""OK"",""REVISAR"")"),"#N/A")</f>
        <v>#N/A</v>
      </c>
    </row>
    <row r="568" ht="15.75" customHeight="1">
      <c r="A568" s="5" t="str">
        <f t="shared" si="1"/>
        <v>AD507-0566</v>
      </c>
      <c r="C568" s="5"/>
      <c r="F568" s="5"/>
      <c r="G568" s="5" t="str">
        <f t="shared" si="2"/>
        <v/>
      </c>
      <c r="H568" s="5" t="str">
        <f t="shared" si="3"/>
        <v/>
      </c>
      <c r="I568" s="5" t="str">
        <f t="shared" si="4"/>
        <v/>
      </c>
      <c r="J568" s="5" t="str">
        <f t="shared" si="5"/>
        <v/>
      </c>
      <c r="K568" s="5" t="str">
        <f>IFERROR(__xludf.DUMMYFUNCTION("IF(C568&lt;&gt;"""",HYPERLINK(""https://wa.me/507""&amp;REGEXREPLACE(C568,""[^0-9]"","""")&amp;""?text=""&amp;ENCODEURL(""Ya llegue. Codigo: ""&amp;A568&amp;"". Ubicacion: ""&amp;""https://www.google.com/maps/search/?api=1&amp;query=""&amp;SUBSTITUTE(F568,"" "","""")),""📲 Avisar al cliente"""&amp;"),"""")"),"")</f>
        <v/>
      </c>
      <c r="L568" s="5" t="str">
        <f>IFERROR(__xludf.DUMMYFUNCTION("IF(C568&lt;&gt;"""",""https://api.qrserver.com/v1/create-qr-code/?size=200x200&amp;data=""&amp;ENCODEURL(""https://wa.me/507""&amp;REGEXREPLACE(C568,""[^0-9]"","""")&amp;""?text=""&amp;ENCODEURL(""Ya llegue. Codigo: ""&amp;A568&amp;"". Ubicacion: ""&amp;""https://www.google.com/maps/search/?a"&amp;"pi=1&amp;query=""&amp;SUBSTITUTE(F568,"" "",""""))),"""")"),"")</f>
        <v/>
      </c>
      <c r="M568" s="5" t="str">
        <f t="shared" si="6"/>
        <v/>
      </c>
      <c r="N568" s="5" t="str">
        <f>IFERROR(__xludf.DUMMYFUNCTION("IF(AND(F568&lt;&gt;"""",REGEXMATCH(SUBSTITUTE(F568,"" "",""""),""^-?\d+(\.\d+)?,-?\d+(\.\d+)?$""),VALUE(REGEXEXTRACT(SUBSTITUTE(F568,"" "",""""),""^-?\d+(\.\d+)?""))&gt;=-90,VALUE(REGEXEXTRACT(SUBSTITUTE(F568,"" "",""""),""^-?\d+(\.\d+)?""))&lt;=90,VALUE(REGEXEXTRACT"&amp;"(SUBSTITUTE(F568,"" "",""""),""-?\d+(\.\d+)?$""))&gt;=-180,VALUE(REGEXEXTRACT(SUBSTITUTE(F568,"" "",""""),""-?\d+(\.\d+)?$""))&lt;=180),""OK"",""REVISAR"")"),"#N/A")</f>
        <v>#N/A</v>
      </c>
    </row>
    <row r="569" ht="15.75" customHeight="1">
      <c r="A569" s="5" t="str">
        <f t="shared" si="1"/>
        <v>AD507-0567</v>
      </c>
      <c r="C569" s="5"/>
      <c r="F569" s="5"/>
      <c r="G569" s="5" t="str">
        <f t="shared" si="2"/>
        <v/>
      </c>
      <c r="H569" s="5" t="str">
        <f t="shared" si="3"/>
        <v/>
      </c>
      <c r="I569" s="5" t="str">
        <f t="shared" si="4"/>
        <v/>
      </c>
      <c r="J569" s="5" t="str">
        <f t="shared" si="5"/>
        <v/>
      </c>
      <c r="K569" s="5" t="str">
        <f>IFERROR(__xludf.DUMMYFUNCTION("IF(C569&lt;&gt;"""",HYPERLINK(""https://wa.me/507""&amp;REGEXREPLACE(C569,""[^0-9]"","""")&amp;""?text=""&amp;ENCODEURL(""Ya llegue. Codigo: ""&amp;A569&amp;"". Ubicacion: ""&amp;""https://www.google.com/maps/search/?api=1&amp;query=""&amp;SUBSTITUTE(F569,"" "","""")),""📲 Avisar al cliente"""&amp;"),"""")"),"")</f>
        <v/>
      </c>
      <c r="L569" s="5" t="str">
        <f>IFERROR(__xludf.DUMMYFUNCTION("IF(C569&lt;&gt;"""",""https://api.qrserver.com/v1/create-qr-code/?size=200x200&amp;data=""&amp;ENCODEURL(""https://wa.me/507""&amp;REGEXREPLACE(C569,""[^0-9]"","""")&amp;""?text=""&amp;ENCODEURL(""Ya llegue. Codigo: ""&amp;A569&amp;"". Ubicacion: ""&amp;""https://www.google.com/maps/search/?a"&amp;"pi=1&amp;query=""&amp;SUBSTITUTE(F569,"" "",""""))),"""")"),"")</f>
        <v/>
      </c>
      <c r="M569" s="5" t="str">
        <f t="shared" si="6"/>
        <v/>
      </c>
      <c r="N569" s="5" t="str">
        <f>IFERROR(__xludf.DUMMYFUNCTION("IF(AND(F569&lt;&gt;"""",REGEXMATCH(SUBSTITUTE(F569,"" "",""""),""^-?\d+(\.\d+)?,-?\d+(\.\d+)?$""),VALUE(REGEXEXTRACT(SUBSTITUTE(F569,"" "",""""),""^-?\d+(\.\d+)?""))&gt;=-90,VALUE(REGEXEXTRACT(SUBSTITUTE(F569,"" "",""""),""^-?\d+(\.\d+)?""))&lt;=90,VALUE(REGEXEXTRACT"&amp;"(SUBSTITUTE(F569,"" "",""""),""-?\d+(\.\d+)?$""))&gt;=-180,VALUE(REGEXEXTRACT(SUBSTITUTE(F569,"" "",""""),""-?\d+(\.\d+)?$""))&lt;=180),""OK"",""REVISAR"")"),"#N/A")</f>
        <v>#N/A</v>
      </c>
    </row>
    <row r="570" ht="15.75" customHeight="1">
      <c r="A570" s="5" t="str">
        <f t="shared" si="1"/>
        <v>AD507-0568</v>
      </c>
      <c r="C570" s="5"/>
      <c r="F570" s="5"/>
      <c r="G570" s="5" t="str">
        <f t="shared" si="2"/>
        <v/>
      </c>
      <c r="H570" s="5" t="str">
        <f t="shared" si="3"/>
        <v/>
      </c>
      <c r="I570" s="5" t="str">
        <f t="shared" si="4"/>
        <v/>
      </c>
      <c r="J570" s="5" t="str">
        <f t="shared" si="5"/>
        <v/>
      </c>
      <c r="K570" s="5" t="str">
        <f>IFERROR(__xludf.DUMMYFUNCTION("IF(C570&lt;&gt;"""",HYPERLINK(""https://wa.me/507""&amp;REGEXREPLACE(C570,""[^0-9]"","""")&amp;""?text=""&amp;ENCODEURL(""Ya llegue. Codigo: ""&amp;A570&amp;"". Ubicacion: ""&amp;""https://www.google.com/maps/search/?api=1&amp;query=""&amp;SUBSTITUTE(F570,"" "","""")),""📲 Avisar al cliente"""&amp;"),"""")"),"")</f>
        <v/>
      </c>
      <c r="L570" s="5" t="str">
        <f>IFERROR(__xludf.DUMMYFUNCTION("IF(C570&lt;&gt;"""",""https://api.qrserver.com/v1/create-qr-code/?size=200x200&amp;data=""&amp;ENCODEURL(""https://wa.me/507""&amp;REGEXREPLACE(C570,""[^0-9]"","""")&amp;""?text=""&amp;ENCODEURL(""Ya llegue. Codigo: ""&amp;A570&amp;"". Ubicacion: ""&amp;""https://www.google.com/maps/search/?a"&amp;"pi=1&amp;query=""&amp;SUBSTITUTE(F570,"" "",""""))),"""")"),"")</f>
        <v/>
      </c>
      <c r="M570" s="5" t="str">
        <f t="shared" si="6"/>
        <v/>
      </c>
      <c r="N570" s="5" t="str">
        <f>IFERROR(__xludf.DUMMYFUNCTION("IF(AND(F570&lt;&gt;"""",REGEXMATCH(SUBSTITUTE(F570,"" "",""""),""^-?\d+(\.\d+)?,-?\d+(\.\d+)?$""),VALUE(REGEXEXTRACT(SUBSTITUTE(F570,"" "",""""),""^-?\d+(\.\d+)?""))&gt;=-90,VALUE(REGEXEXTRACT(SUBSTITUTE(F570,"" "",""""),""^-?\d+(\.\d+)?""))&lt;=90,VALUE(REGEXEXTRACT"&amp;"(SUBSTITUTE(F570,"" "",""""),""-?\d+(\.\d+)?$""))&gt;=-180,VALUE(REGEXEXTRACT(SUBSTITUTE(F570,"" "",""""),""-?\d+(\.\d+)?$""))&lt;=180),""OK"",""REVISAR"")"),"#N/A")</f>
        <v>#N/A</v>
      </c>
    </row>
    <row r="571" ht="15.75" customHeight="1">
      <c r="A571" s="5" t="str">
        <f t="shared" si="1"/>
        <v>AD507-0569</v>
      </c>
      <c r="C571" s="5"/>
      <c r="F571" s="5"/>
      <c r="G571" s="5" t="str">
        <f t="shared" si="2"/>
        <v/>
      </c>
      <c r="H571" s="5" t="str">
        <f t="shared" si="3"/>
        <v/>
      </c>
      <c r="I571" s="5" t="str">
        <f t="shared" si="4"/>
        <v/>
      </c>
      <c r="J571" s="5" t="str">
        <f t="shared" si="5"/>
        <v/>
      </c>
      <c r="K571" s="5" t="str">
        <f>IFERROR(__xludf.DUMMYFUNCTION("IF(C571&lt;&gt;"""",HYPERLINK(""https://wa.me/507""&amp;REGEXREPLACE(C571,""[^0-9]"","""")&amp;""?text=""&amp;ENCODEURL(""Ya llegue. Codigo: ""&amp;A571&amp;"". Ubicacion: ""&amp;""https://www.google.com/maps/search/?api=1&amp;query=""&amp;SUBSTITUTE(F571,"" "","""")),""📲 Avisar al cliente"""&amp;"),"""")"),"")</f>
        <v/>
      </c>
      <c r="L571" s="5" t="str">
        <f>IFERROR(__xludf.DUMMYFUNCTION("IF(C571&lt;&gt;"""",""https://api.qrserver.com/v1/create-qr-code/?size=200x200&amp;data=""&amp;ENCODEURL(""https://wa.me/507""&amp;REGEXREPLACE(C571,""[^0-9]"","""")&amp;""?text=""&amp;ENCODEURL(""Ya llegue. Codigo: ""&amp;A571&amp;"". Ubicacion: ""&amp;""https://www.google.com/maps/search/?a"&amp;"pi=1&amp;query=""&amp;SUBSTITUTE(F571,"" "",""""))),"""")"),"")</f>
        <v/>
      </c>
      <c r="M571" s="5" t="str">
        <f t="shared" si="6"/>
        <v/>
      </c>
      <c r="N571" s="5" t="str">
        <f>IFERROR(__xludf.DUMMYFUNCTION("IF(AND(F571&lt;&gt;"""",REGEXMATCH(SUBSTITUTE(F571,"" "",""""),""^-?\d+(\.\d+)?,-?\d+(\.\d+)?$""),VALUE(REGEXEXTRACT(SUBSTITUTE(F571,"" "",""""),""^-?\d+(\.\d+)?""))&gt;=-90,VALUE(REGEXEXTRACT(SUBSTITUTE(F571,"" "",""""),""^-?\d+(\.\d+)?""))&lt;=90,VALUE(REGEXEXTRACT"&amp;"(SUBSTITUTE(F571,"" "",""""),""-?\d+(\.\d+)?$""))&gt;=-180,VALUE(REGEXEXTRACT(SUBSTITUTE(F571,"" "",""""),""-?\d+(\.\d+)?$""))&lt;=180),""OK"",""REVISAR"")"),"#N/A")</f>
        <v>#N/A</v>
      </c>
    </row>
    <row r="572" ht="15.75" customHeight="1">
      <c r="A572" s="5" t="str">
        <f t="shared" si="1"/>
        <v>AD507-0570</v>
      </c>
      <c r="C572" s="5"/>
      <c r="F572" s="5"/>
      <c r="G572" s="5" t="str">
        <f t="shared" si="2"/>
        <v/>
      </c>
      <c r="H572" s="5" t="str">
        <f t="shared" si="3"/>
        <v/>
      </c>
      <c r="I572" s="5" t="str">
        <f t="shared" si="4"/>
        <v/>
      </c>
      <c r="J572" s="5" t="str">
        <f t="shared" si="5"/>
        <v/>
      </c>
      <c r="K572" s="5" t="str">
        <f>IFERROR(__xludf.DUMMYFUNCTION("IF(C572&lt;&gt;"""",HYPERLINK(""https://wa.me/507""&amp;REGEXREPLACE(C572,""[^0-9]"","""")&amp;""?text=""&amp;ENCODEURL(""Ya llegue. Codigo: ""&amp;A572&amp;"". Ubicacion: ""&amp;""https://www.google.com/maps/search/?api=1&amp;query=""&amp;SUBSTITUTE(F572,"" "","""")),""📲 Avisar al cliente"""&amp;"),"""")"),"")</f>
        <v/>
      </c>
      <c r="L572" s="5" t="str">
        <f>IFERROR(__xludf.DUMMYFUNCTION("IF(C572&lt;&gt;"""",""https://api.qrserver.com/v1/create-qr-code/?size=200x200&amp;data=""&amp;ENCODEURL(""https://wa.me/507""&amp;REGEXREPLACE(C572,""[^0-9]"","""")&amp;""?text=""&amp;ENCODEURL(""Ya llegue. Codigo: ""&amp;A572&amp;"". Ubicacion: ""&amp;""https://www.google.com/maps/search/?a"&amp;"pi=1&amp;query=""&amp;SUBSTITUTE(F572,"" "",""""))),"""")"),"")</f>
        <v/>
      </c>
      <c r="M572" s="5" t="str">
        <f t="shared" si="6"/>
        <v/>
      </c>
      <c r="N572" s="5" t="str">
        <f>IFERROR(__xludf.DUMMYFUNCTION("IF(AND(F572&lt;&gt;"""",REGEXMATCH(SUBSTITUTE(F572,"" "",""""),""^-?\d+(\.\d+)?,-?\d+(\.\d+)?$""),VALUE(REGEXEXTRACT(SUBSTITUTE(F572,"" "",""""),""^-?\d+(\.\d+)?""))&gt;=-90,VALUE(REGEXEXTRACT(SUBSTITUTE(F572,"" "",""""),""^-?\d+(\.\d+)?""))&lt;=90,VALUE(REGEXEXTRACT"&amp;"(SUBSTITUTE(F572,"" "",""""),""-?\d+(\.\d+)?$""))&gt;=-180,VALUE(REGEXEXTRACT(SUBSTITUTE(F572,"" "",""""),""-?\d+(\.\d+)?$""))&lt;=180),""OK"",""REVISAR"")"),"#N/A")</f>
        <v>#N/A</v>
      </c>
    </row>
    <row r="573" ht="15.75" customHeight="1">
      <c r="A573" s="5" t="str">
        <f t="shared" si="1"/>
        <v>AD507-0571</v>
      </c>
      <c r="C573" s="5"/>
      <c r="F573" s="5"/>
      <c r="G573" s="5" t="str">
        <f t="shared" si="2"/>
        <v/>
      </c>
      <c r="H573" s="5" t="str">
        <f t="shared" si="3"/>
        <v/>
      </c>
      <c r="I573" s="5" t="str">
        <f t="shared" si="4"/>
        <v/>
      </c>
      <c r="J573" s="5" t="str">
        <f t="shared" si="5"/>
        <v/>
      </c>
      <c r="K573" s="5" t="str">
        <f>IFERROR(__xludf.DUMMYFUNCTION("IF(C573&lt;&gt;"""",HYPERLINK(""https://wa.me/507""&amp;REGEXREPLACE(C573,""[^0-9]"","""")&amp;""?text=""&amp;ENCODEURL(""Ya llegue. Codigo: ""&amp;A573&amp;"". Ubicacion: ""&amp;""https://www.google.com/maps/search/?api=1&amp;query=""&amp;SUBSTITUTE(F573,"" "","""")),""📲 Avisar al cliente"""&amp;"),"""")"),"")</f>
        <v/>
      </c>
      <c r="L573" s="5" t="str">
        <f>IFERROR(__xludf.DUMMYFUNCTION("IF(C573&lt;&gt;"""",""https://api.qrserver.com/v1/create-qr-code/?size=200x200&amp;data=""&amp;ENCODEURL(""https://wa.me/507""&amp;REGEXREPLACE(C573,""[^0-9]"","""")&amp;""?text=""&amp;ENCODEURL(""Ya llegue. Codigo: ""&amp;A573&amp;"". Ubicacion: ""&amp;""https://www.google.com/maps/search/?a"&amp;"pi=1&amp;query=""&amp;SUBSTITUTE(F573,"" "",""""))),"""")"),"")</f>
        <v/>
      </c>
      <c r="M573" s="5" t="str">
        <f t="shared" si="6"/>
        <v/>
      </c>
      <c r="N573" s="5" t="str">
        <f>IFERROR(__xludf.DUMMYFUNCTION("IF(AND(F573&lt;&gt;"""",REGEXMATCH(SUBSTITUTE(F573,"" "",""""),""^-?\d+(\.\d+)?,-?\d+(\.\d+)?$""),VALUE(REGEXEXTRACT(SUBSTITUTE(F573,"" "",""""),""^-?\d+(\.\d+)?""))&gt;=-90,VALUE(REGEXEXTRACT(SUBSTITUTE(F573,"" "",""""),""^-?\d+(\.\d+)?""))&lt;=90,VALUE(REGEXEXTRACT"&amp;"(SUBSTITUTE(F573,"" "",""""),""-?\d+(\.\d+)?$""))&gt;=-180,VALUE(REGEXEXTRACT(SUBSTITUTE(F573,"" "",""""),""-?\d+(\.\d+)?$""))&lt;=180),""OK"",""REVISAR"")"),"#N/A")</f>
        <v>#N/A</v>
      </c>
    </row>
    <row r="574" ht="15.75" customHeight="1">
      <c r="A574" s="5" t="str">
        <f t="shared" si="1"/>
        <v>AD507-0572</v>
      </c>
      <c r="C574" s="5"/>
      <c r="F574" s="5"/>
      <c r="G574" s="5" t="str">
        <f t="shared" si="2"/>
        <v/>
      </c>
      <c r="H574" s="5" t="str">
        <f t="shared" si="3"/>
        <v/>
      </c>
      <c r="I574" s="5" t="str">
        <f t="shared" si="4"/>
        <v/>
      </c>
      <c r="J574" s="5" t="str">
        <f t="shared" si="5"/>
        <v/>
      </c>
      <c r="K574" s="5" t="str">
        <f>IFERROR(__xludf.DUMMYFUNCTION("IF(C574&lt;&gt;"""",HYPERLINK(""https://wa.me/507""&amp;REGEXREPLACE(C574,""[^0-9]"","""")&amp;""?text=""&amp;ENCODEURL(""Ya llegue. Codigo: ""&amp;A574&amp;"". Ubicacion: ""&amp;""https://www.google.com/maps/search/?api=1&amp;query=""&amp;SUBSTITUTE(F574,"" "","""")),""📲 Avisar al cliente"""&amp;"),"""")"),"")</f>
        <v/>
      </c>
      <c r="L574" s="5" t="str">
        <f>IFERROR(__xludf.DUMMYFUNCTION("IF(C574&lt;&gt;"""",""https://api.qrserver.com/v1/create-qr-code/?size=200x200&amp;data=""&amp;ENCODEURL(""https://wa.me/507""&amp;REGEXREPLACE(C574,""[^0-9]"","""")&amp;""?text=""&amp;ENCODEURL(""Ya llegue. Codigo: ""&amp;A574&amp;"". Ubicacion: ""&amp;""https://www.google.com/maps/search/?a"&amp;"pi=1&amp;query=""&amp;SUBSTITUTE(F574,"" "",""""))),"""")"),"")</f>
        <v/>
      </c>
      <c r="M574" s="5" t="str">
        <f t="shared" si="6"/>
        <v/>
      </c>
      <c r="N574" s="5" t="str">
        <f>IFERROR(__xludf.DUMMYFUNCTION("IF(AND(F574&lt;&gt;"""",REGEXMATCH(SUBSTITUTE(F574,"" "",""""),""^-?\d+(\.\d+)?,-?\d+(\.\d+)?$""),VALUE(REGEXEXTRACT(SUBSTITUTE(F574,"" "",""""),""^-?\d+(\.\d+)?""))&gt;=-90,VALUE(REGEXEXTRACT(SUBSTITUTE(F574,"" "",""""),""^-?\d+(\.\d+)?""))&lt;=90,VALUE(REGEXEXTRACT"&amp;"(SUBSTITUTE(F574,"" "",""""),""-?\d+(\.\d+)?$""))&gt;=-180,VALUE(REGEXEXTRACT(SUBSTITUTE(F574,"" "",""""),""-?\d+(\.\d+)?$""))&lt;=180),""OK"",""REVISAR"")"),"#N/A")</f>
        <v>#N/A</v>
      </c>
    </row>
    <row r="575" ht="15.75" customHeight="1">
      <c r="A575" s="5" t="str">
        <f t="shared" si="1"/>
        <v>AD507-0573</v>
      </c>
      <c r="C575" s="5"/>
      <c r="F575" s="5"/>
      <c r="G575" s="5" t="str">
        <f t="shared" si="2"/>
        <v/>
      </c>
      <c r="H575" s="5" t="str">
        <f t="shared" si="3"/>
        <v/>
      </c>
      <c r="I575" s="5" t="str">
        <f t="shared" si="4"/>
        <v/>
      </c>
      <c r="J575" s="5" t="str">
        <f t="shared" si="5"/>
        <v/>
      </c>
      <c r="K575" s="5" t="str">
        <f>IFERROR(__xludf.DUMMYFUNCTION("IF(C575&lt;&gt;"""",HYPERLINK(""https://wa.me/507""&amp;REGEXREPLACE(C575,""[^0-9]"","""")&amp;""?text=""&amp;ENCODEURL(""Ya llegue. Codigo: ""&amp;A575&amp;"". Ubicacion: ""&amp;""https://www.google.com/maps/search/?api=1&amp;query=""&amp;SUBSTITUTE(F575,"" "","""")),""📲 Avisar al cliente"""&amp;"),"""")"),"")</f>
        <v/>
      </c>
      <c r="L575" s="5" t="str">
        <f>IFERROR(__xludf.DUMMYFUNCTION("IF(C575&lt;&gt;"""",""https://api.qrserver.com/v1/create-qr-code/?size=200x200&amp;data=""&amp;ENCODEURL(""https://wa.me/507""&amp;REGEXREPLACE(C575,""[^0-9]"","""")&amp;""?text=""&amp;ENCODEURL(""Ya llegue. Codigo: ""&amp;A575&amp;"". Ubicacion: ""&amp;""https://www.google.com/maps/search/?a"&amp;"pi=1&amp;query=""&amp;SUBSTITUTE(F575,"" "",""""))),"""")"),"")</f>
        <v/>
      </c>
      <c r="M575" s="5" t="str">
        <f t="shared" si="6"/>
        <v/>
      </c>
      <c r="N575" s="5" t="str">
        <f>IFERROR(__xludf.DUMMYFUNCTION("IF(AND(F575&lt;&gt;"""",REGEXMATCH(SUBSTITUTE(F575,"" "",""""),""^-?\d+(\.\d+)?,-?\d+(\.\d+)?$""),VALUE(REGEXEXTRACT(SUBSTITUTE(F575,"" "",""""),""^-?\d+(\.\d+)?""))&gt;=-90,VALUE(REGEXEXTRACT(SUBSTITUTE(F575,"" "",""""),""^-?\d+(\.\d+)?""))&lt;=90,VALUE(REGEXEXTRACT"&amp;"(SUBSTITUTE(F575,"" "",""""),""-?\d+(\.\d+)?$""))&gt;=-180,VALUE(REGEXEXTRACT(SUBSTITUTE(F575,"" "",""""),""-?\d+(\.\d+)?$""))&lt;=180),""OK"",""REVISAR"")"),"#N/A")</f>
        <v>#N/A</v>
      </c>
    </row>
    <row r="576" ht="15.75" customHeight="1">
      <c r="A576" s="5" t="str">
        <f t="shared" si="1"/>
        <v>AD507-0574</v>
      </c>
      <c r="C576" s="5"/>
      <c r="F576" s="5"/>
      <c r="G576" s="5" t="str">
        <f t="shared" si="2"/>
        <v/>
      </c>
      <c r="H576" s="5" t="str">
        <f t="shared" si="3"/>
        <v/>
      </c>
      <c r="I576" s="5" t="str">
        <f t="shared" si="4"/>
        <v/>
      </c>
      <c r="J576" s="5" t="str">
        <f t="shared" si="5"/>
        <v/>
      </c>
      <c r="K576" s="5" t="str">
        <f>IFERROR(__xludf.DUMMYFUNCTION("IF(C576&lt;&gt;"""",HYPERLINK(""https://wa.me/507""&amp;REGEXREPLACE(C576,""[^0-9]"","""")&amp;""?text=""&amp;ENCODEURL(""Ya llegue. Codigo: ""&amp;A576&amp;"". Ubicacion: ""&amp;""https://www.google.com/maps/search/?api=1&amp;query=""&amp;SUBSTITUTE(F576,"" "","""")),""📲 Avisar al cliente"""&amp;"),"""")"),"")</f>
        <v/>
      </c>
      <c r="L576" s="5" t="str">
        <f>IFERROR(__xludf.DUMMYFUNCTION("IF(C576&lt;&gt;"""",""https://api.qrserver.com/v1/create-qr-code/?size=200x200&amp;data=""&amp;ENCODEURL(""https://wa.me/507""&amp;REGEXREPLACE(C576,""[^0-9]"","""")&amp;""?text=""&amp;ENCODEURL(""Ya llegue. Codigo: ""&amp;A576&amp;"". Ubicacion: ""&amp;""https://www.google.com/maps/search/?a"&amp;"pi=1&amp;query=""&amp;SUBSTITUTE(F576,"" "",""""))),"""")"),"")</f>
        <v/>
      </c>
      <c r="M576" s="5" t="str">
        <f t="shared" si="6"/>
        <v/>
      </c>
      <c r="N576" s="5" t="str">
        <f>IFERROR(__xludf.DUMMYFUNCTION("IF(AND(F576&lt;&gt;"""",REGEXMATCH(SUBSTITUTE(F576,"" "",""""),""^-?\d+(\.\d+)?,-?\d+(\.\d+)?$""),VALUE(REGEXEXTRACT(SUBSTITUTE(F576,"" "",""""),""^-?\d+(\.\d+)?""))&gt;=-90,VALUE(REGEXEXTRACT(SUBSTITUTE(F576,"" "",""""),""^-?\d+(\.\d+)?""))&lt;=90,VALUE(REGEXEXTRACT"&amp;"(SUBSTITUTE(F576,"" "",""""),""-?\d+(\.\d+)?$""))&gt;=-180,VALUE(REGEXEXTRACT(SUBSTITUTE(F576,"" "",""""),""-?\d+(\.\d+)?$""))&lt;=180),""OK"",""REVISAR"")"),"#N/A")</f>
        <v>#N/A</v>
      </c>
    </row>
    <row r="577" ht="15.75" customHeight="1">
      <c r="A577" s="5" t="str">
        <f t="shared" si="1"/>
        <v>AD507-0575</v>
      </c>
      <c r="C577" s="5"/>
      <c r="F577" s="5"/>
      <c r="G577" s="5" t="str">
        <f t="shared" si="2"/>
        <v/>
      </c>
      <c r="H577" s="5" t="str">
        <f t="shared" si="3"/>
        <v/>
      </c>
      <c r="I577" s="5" t="str">
        <f t="shared" si="4"/>
        <v/>
      </c>
      <c r="J577" s="5" t="str">
        <f t="shared" si="5"/>
        <v/>
      </c>
      <c r="K577" s="5" t="str">
        <f>IFERROR(__xludf.DUMMYFUNCTION("IF(C577&lt;&gt;"""",HYPERLINK(""https://wa.me/507""&amp;REGEXREPLACE(C577,""[^0-9]"","""")&amp;""?text=""&amp;ENCODEURL(""Ya llegue. Codigo: ""&amp;A577&amp;"". Ubicacion: ""&amp;""https://www.google.com/maps/search/?api=1&amp;query=""&amp;SUBSTITUTE(F577,"" "","""")),""📲 Avisar al cliente"""&amp;"),"""")"),"")</f>
        <v/>
      </c>
      <c r="L577" s="5" t="str">
        <f>IFERROR(__xludf.DUMMYFUNCTION("IF(C577&lt;&gt;"""",""https://api.qrserver.com/v1/create-qr-code/?size=200x200&amp;data=""&amp;ENCODEURL(""https://wa.me/507""&amp;REGEXREPLACE(C577,""[^0-9]"","""")&amp;""?text=""&amp;ENCODEURL(""Ya llegue. Codigo: ""&amp;A577&amp;"". Ubicacion: ""&amp;""https://www.google.com/maps/search/?a"&amp;"pi=1&amp;query=""&amp;SUBSTITUTE(F577,"" "",""""))),"""")"),"")</f>
        <v/>
      </c>
      <c r="M577" s="5" t="str">
        <f t="shared" si="6"/>
        <v/>
      </c>
      <c r="N577" s="5" t="str">
        <f>IFERROR(__xludf.DUMMYFUNCTION("IF(AND(F577&lt;&gt;"""",REGEXMATCH(SUBSTITUTE(F577,"" "",""""),""^-?\d+(\.\d+)?,-?\d+(\.\d+)?$""),VALUE(REGEXEXTRACT(SUBSTITUTE(F577,"" "",""""),""^-?\d+(\.\d+)?""))&gt;=-90,VALUE(REGEXEXTRACT(SUBSTITUTE(F577,"" "",""""),""^-?\d+(\.\d+)?""))&lt;=90,VALUE(REGEXEXTRACT"&amp;"(SUBSTITUTE(F577,"" "",""""),""-?\d+(\.\d+)?$""))&gt;=-180,VALUE(REGEXEXTRACT(SUBSTITUTE(F577,"" "",""""),""-?\d+(\.\d+)?$""))&lt;=180),""OK"",""REVISAR"")"),"#N/A")</f>
        <v>#N/A</v>
      </c>
    </row>
    <row r="578" ht="15.75" customHeight="1">
      <c r="A578" s="5" t="str">
        <f t="shared" si="1"/>
        <v>AD507-0576</v>
      </c>
      <c r="C578" s="5"/>
      <c r="F578" s="5"/>
      <c r="G578" s="5" t="str">
        <f t="shared" si="2"/>
        <v/>
      </c>
      <c r="H578" s="5" t="str">
        <f t="shared" si="3"/>
        <v/>
      </c>
      <c r="I578" s="5" t="str">
        <f t="shared" si="4"/>
        <v/>
      </c>
      <c r="J578" s="5" t="str">
        <f t="shared" si="5"/>
        <v/>
      </c>
      <c r="K578" s="5" t="str">
        <f>IFERROR(__xludf.DUMMYFUNCTION("IF(C578&lt;&gt;"""",HYPERLINK(""https://wa.me/507""&amp;REGEXREPLACE(C578,""[^0-9]"","""")&amp;""?text=""&amp;ENCODEURL(""Ya llegue. Codigo: ""&amp;A578&amp;"". Ubicacion: ""&amp;""https://www.google.com/maps/search/?api=1&amp;query=""&amp;SUBSTITUTE(F578,"" "","""")),""📲 Avisar al cliente"""&amp;"),"""")"),"")</f>
        <v/>
      </c>
      <c r="L578" s="5" t="str">
        <f>IFERROR(__xludf.DUMMYFUNCTION("IF(C578&lt;&gt;"""",""https://api.qrserver.com/v1/create-qr-code/?size=200x200&amp;data=""&amp;ENCODEURL(""https://wa.me/507""&amp;REGEXREPLACE(C578,""[^0-9]"","""")&amp;""?text=""&amp;ENCODEURL(""Ya llegue. Codigo: ""&amp;A578&amp;"". Ubicacion: ""&amp;""https://www.google.com/maps/search/?a"&amp;"pi=1&amp;query=""&amp;SUBSTITUTE(F578,"" "",""""))),"""")"),"")</f>
        <v/>
      </c>
      <c r="M578" s="5" t="str">
        <f t="shared" si="6"/>
        <v/>
      </c>
      <c r="N578" s="5" t="str">
        <f>IFERROR(__xludf.DUMMYFUNCTION("IF(AND(F578&lt;&gt;"""",REGEXMATCH(SUBSTITUTE(F578,"" "",""""),""^-?\d+(\.\d+)?,-?\d+(\.\d+)?$""),VALUE(REGEXEXTRACT(SUBSTITUTE(F578,"" "",""""),""^-?\d+(\.\d+)?""))&gt;=-90,VALUE(REGEXEXTRACT(SUBSTITUTE(F578,"" "",""""),""^-?\d+(\.\d+)?""))&lt;=90,VALUE(REGEXEXTRACT"&amp;"(SUBSTITUTE(F578,"" "",""""),""-?\d+(\.\d+)?$""))&gt;=-180,VALUE(REGEXEXTRACT(SUBSTITUTE(F578,"" "",""""),""-?\d+(\.\d+)?$""))&lt;=180),""OK"",""REVISAR"")"),"#N/A")</f>
        <v>#N/A</v>
      </c>
    </row>
    <row r="579" ht="15.75" customHeight="1">
      <c r="A579" s="5" t="str">
        <f t="shared" si="1"/>
        <v>AD507-0577</v>
      </c>
      <c r="C579" s="5"/>
      <c r="F579" s="5"/>
      <c r="G579" s="5" t="str">
        <f t="shared" si="2"/>
        <v/>
      </c>
      <c r="H579" s="5" t="str">
        <f t="shared" si="3"/>
        <v/>
      </c>
      <c r="I579" s="5" t="str">
        <f t="shared" si="4"/>
        <v/>
      </c>
      <c r="J579" s="5" t="str">
        <f t="shared" si="5"/>
        <v/>
      </c>
      <c r="K579" s="5" t="str">
        <f>IFERROR(__xludf.DUMMYFUNCTION("IF(C579&lt;&gt;"""",HYPERLINK(""https://wa.me/507""&amp;REGEXREPLACE(C579,""[^0-9]"","""")&amp;""?text=""&amp;ENCODEURL(""Ya llegue. Codigo: ""&amp;A579&amp;"". Ubicacion: ""&amp;""https://www.google.com/maps/search/?api=1&amp;query=""&amp;SUBSTITUTE(F579,"" "","""")),""📲 Avisar al cliente"""&amp;"),"""")"),"")</f>
        <v/>
      </c>
      <c r="L579" s="5" t="str">
        <f>IFERROR(__xludf.DUMMYFUNCTION("IF(C579&lt;&gt;"""",""https://api.qrserver.com/v1/create-qr-code/?size=200x200&amp;data=""&amp;ENCODEURL(""https://wa.me/507""&amp;REGEXREPLACE(C579,""[^0-9]"","""")&amp;""?text=""&amp;ENCODEURL(""Ya llegue. Codigo: ""&amp;A579&amp;"". Ubicacion: ""&amp;""https://www.google.com/maps/search/?a"&amp;"pi=1&amp;query=""&amp;SUBSTITUTE(F579,"" "",""""))),"""")"),"")</f>
        <v/>
      </c>
      <c r="M579" s="5" t="str">
        <f t="shared" si="6"/>
        <v/>
      </c>
      <c r="N579" s="5" t="str">
        <f>IFERROR(__xludf.DUMMYFUNCTION("IF(AND(F579&lt;&gt;"""",REGEXMATCH(SUBSTITUTE(F579,"" "",""""),""^-?\d+(\.\d+)?,-?\d+(\.\d+)?$""),VALUE(REGEXEXTRACT(SUBSTITUTE(F579,"" "",""""),""^-?\d+(\.\d+)?""))&gt;=-90,VALUE(REGEXEXTRACT(SUBSTITUTE(F579,"" "",""""),""^-?\d+(\.\d+)?""))&lt;=90,VALUE(REGEXEXTRACT"&amp;"(SUBSTITUTE(F579,"" "",""""),""-?\d+(\.\d+)?$""))&gt;=-180,VALUE(REGEXEXTRACT(SUBSTITUTE(F579,"" "",""""),""-?\d+(\.\d+)?$""))&lt;=180),""OK"",""REVISAR"")"),"#N/A")</f>
        <v>#N/A</v>
      </c>
    </row>
    <row r="580" ht="15.75" customHeight="1">
      <c r="A580" s="5" t="str">
        <f t="shared" si="1"/>
        <v>AD507-0578</v>
      </c>
      <c r="C580" s="5"/>
      <c r="F580" s="5"/>
      <c r="G580" s="5" t="str">
        <f t="shared" si="2"/>
        <v/>
      </c>
      <c r="H580" s="5" t="str">
        <f t="shared" si="3"/>
        <v/>
      </c>
      <c r="I580" s="5" t="str">
        <f t="shared" si="4"/>
        <v/>
      </c>
      <c r="J580" s="5" t="str">
        <f t="shared" si="5"/>
        <v/>
      </c>
      <c r="K580" s="5" t="str">
        <f>IFERROR(__xludf.DUMMYFUNCTION("IF(C580&lt;&gt;"""",HYPERLINK(""https://wa.me/507""&amp;REGEXREPLACE(C580,""[^0-9]"","""")&amp;""?text=""&amp;ENCODEURL(""Ya llegue. Codigo: ""&amp;A580&amp;"". Ubicacion: ""&amp;""https://www.google.com/maps/search/?api=1&amp;query=""&amp;SUBSTITUTE(F580,"" "","""")),""📲 Avisar al cliente"""&amp;"),"""")"),"")</f>
        <v/>
      </c>
      <c r="L580" s="5" t="str">
        <f>IFERROR(__xludf.DUMMYFUNCTION("IF(C580&lt;&gt;"""",""https://api.qrserver.com/v1/create-qr-code/?size=200x200&amp;data=""&amp;ENCODEURL(""https://wa.me/507""&amp;REGEXREPLACE(C580,""[^0-9]"","""")&amp;""?text=""&amp;ENCODEURL(""Ya llegue. Codigo: ""&amp;A580&amp;"". Ubicacion: ""&amp;""https://www.google.com/maps/search/?a"&amp;"pi=1&amp;query=""&amp;SUBSTITUTE(F580,"" "",""""))),"""")"),"")</f>
        <v/>
      </c>
      <c r="M580" s="5" t="str">
        <f t="shared" si="6"/>
        <v/>
      </c>
      <c r="N580" s="5" t="str">
        <f>IFERROR(__xludf.DUMMYFUNCTION("IF(AND(F580&lt;&gt;"""",REGEXMATCH(SUBSTITUTE(F580,"" "",""""),""^-?\d+(\.\d+)?,-?\d+(\.\d+)?$""),VALUE(REGEXEXTRACT(SUBSTITUTE(F580,"" "",""""),""^-?\d+(\.\d+)?""))&gt;=-90,VALUE(REGEXEXTRACT(SUBSTITUTE(F580,"" "",""""),""^-?\d+(\.\d+)?""))&lt;=90,VALUE(REGEXEXTRACT"&amp;"(SUBSTITUTE(F580,"" "",""""),""-?\d+(\.\d+)?$""))&gt;=-180,VALUE(REGEXEXTRACT(SUBSTITUTE(F580,"" "",""""),""-?\d+(\.\d+)?$""))&lt;=180),""OK"",""REVISAR"")"),"#N/A")</f>
        <v>#N/A</v>
      </c>
    </row>
    <row r="581" ht="15.75" customHeight="1">
      <c r="A581" s="5" t="str">
        <f t="shared" si="1"/>
        <v>AD507-0579</v>
      </c>
      <c r="C581" s="5"/>
      <c r="F581" s="5"/>
      <c r="G581" s="5" t="str">
        <f t="shared" si="2"/>
        <v/>
      </c>
      <c r="H581" s="5" t="str">
        <f t="shared" si="3"/>
        <v/>
      </c>
      <c r="I581" s="5" t="str">
        <f t="shared" si="4"/>
        <v/>
      </c>
      <c r="J581" s="5" t="str">
        <f t="shared" si="5"/>
        <v/>
      </c>
      <c r="K581" s="5" t="str">
        <f>IFERROR(__xludf.DUMMYFUNCTION("IF(C581&lt;&gt;"""",HYPERLINK(""https://wa.me/507""&amp;REGEXREPLACE(C581,""[^0-9]"","""")&amp;""?text=""&amp;ENCODEURL(""Ya llegue. Codigo: ""&amp;A581&amp;"". Ubicacion: ""&amp;""https://www.google.com/maps/search/?api=1&amp;query=""&amp;SUBSTITUTE(F581,"" "","""")),""📲 Avisar al cliente"""&amp;"),"""")"),"")</f>
        <v/>
      </c>
      <c r="L581" s="5" t="str">
        <f>IFERROR(__xludf.DUMMYFUNCTION("IF(C581&lt;&gt;"""",""https://api.qrserver.com/v1/create-qr-code/?size=200x200&amp;data=""&amp;ENCODEURL(""https://wa.me/507""&amp;REGEXREPLACE(C581,""[^0-9]"","""")&amp;""?text=""&amp;ENCODEURL(""Ya llegue. Codigo: ""&amp;A581&amp;"". Ubicacion: ""&amp;""https://www.google.com/maps/search/?a"&amp;"pi=1&amp;query=""&amp;SUBSTITUTE(F581,"" "",""""))),"""")"),"")</f>
        <v/>
      </c>
      <c r="M581" s="5" t="str">
        <f t="shared" si="6"/>
        <v/>
      </c>
      <c r="N581" s="5" t="str">
        <f>IFERROR(__xludf.DUMMYFUNCTION("IF(AND(F581&lt;&gt;"""",REGEXMATCH(SUBSTITUTE(F581,"" "",""""),""^-?\d+(\.\d+)?,-?\d+(\.\d+)?$""),VALUE(REGEXEXTRACT(SUBSTITUTE(F581,"" "",""""),""^-?\d+(\.\d+)?""))&gt;=-90,VALUE(REGEXEXTRACT(SUBSTITUTE(F581,"" "",""""),""^-?\d+(\.\d+)?""))&lt;=90,VALUE(REGEXEXTRACT"&amp;"(SUBSTITUTE(F581,"" "",""""),""-?\d+(\.\d+)?$""))&gt;=-180,VALUE(REGEXEXTRACT(SUBSTITUTE(F581,"" "",""""),""-?\d+(\.\d+)?$""))&lt;=180),""OK"",""REVISAR"")"),"#N/A")</f>
        <v>#N/A</v>
      </c>
    </row>
    <row r="582" ht="15.75" customHeight="1">
      <c r="A582" s="5" t="str">
        <f t="shared" si="1"/>
        <v>AD507-0580</v>
      </c>
      <c r="C582" s="5"/>
      <c r="F582" s="5"/>
      <c r="G582" s="5" t="str">
        <f t="shared" si="2"/>
        <v/>
      </c>
      <c r="H582" s="5" t="str">
        <f t="shared" si="3"/>
        <v/>
      </c>
      <c r="I582" s="5" t="str">
        <f t="shared" si="4"/>
        <v/>
      </c>
      <c r="J582" s="5" t="str">
        <f t="shared" si="5"/>
        <v/>
      </c>
      <c r="K582" s="5" t="str">
        <f>IFERROR(__xludf.DUMMYFUNCTION("IF(C582&lt;&gt;"""",HYPERLINK(""https://wa.me/507""&amp;REGEXREPLACE(C582,""[^0-9]"","""")&amp;""?text=""&amp;ENCODEURL(""Ya llegue. Codigo: ""&amp;A582&amp;"". Ubicacion: ""&amp;""https://www.google.com/maps/search/?api=1&amp;query=""&amp;SUBSTITUTE(F582,"" "","""")),""📲 Avisar al cliente"""&amp;"),"""")"),"")</f>
        <v/>
      </c>
      <c r="L582" s="5" t="str">
        <f>IFERROR(__xludf.DUMMYFUNCTION("IF(C582&lt;&gt;"""",""https://api.qrserver.com/v1/create-qr-code/?size=200x200&amp;data=""&amp;ENCODEURL(""https://wa.me/507""&amp;REGEXREPLACE(C582,""[^0-9]"","""")&amp;""?text=""&amp;ENCODEURL(""Ya llegue. Codigo: ""&amp;A582&amp;"". Ubicacion: ""&amp;""https://www.google.com/maps/search/?a"&amp;"pi=1&amp;query=""&amp;SUBSTITUTE(F582,"" "",""""))),"""")"),"")</f>
        <v/>
      </c>
      <c r="M582" s="5" t="str">
        <f t="shared" si="6"/>
        <v/>
      </c>
      <c r="N582" s="5" t="str">
        <f>IFERROR(__xludf.DUMMYFUNCTION("IF(AND(F582&lt;&gt;"""",REGEXMATCH(SUBSTITUTE(F582,"" "",""""),""^-?\d+(\.\d+)?,-?\d+(\.\d+)?$""),VALUE(REGEXEXTRACT(SUBSTITUTE(F582,"" "",""""),""^-?\d+(\.\d+)?""))&gt;=-90,VALUE(REGEXEXTRACT(SUBSTITUTE(F582,"" "",""""),""^-?\d+(\.\d+)?""))&lt;=90,VALUE(REGEXEXTRACT"&amp;"(SUBSTITUTE(F582,"" "",""""),""-?\d+(\.\d+)?$""))&gt;=-180,VALUE(REGEXEXTRACT(SUBSTITUTE(F582,"" "",""""),""-?\d+(\.\d+)?$""))&lt;=180),""OK"",""REVISAR"")"),"#N/A")</f>
        <v>#N/A</v>
      </c>
    </row>
    <row r="583" ht="15.75" customHeight="1">
      <c r="A583" s="5" t="str">
        <f t="shared" si="1"/>
        <v>AD507-0581</v>
      </c>
      <c r="C583" s="5"/>
      <c r="F583" s="5"/>
      <c r="G583" s="5" t="str">
        <f t="shared" si="2"/>
        <v/>
      </c>
      <c r="H583" s="5" t="str">
        <f t="shared" si="3"/>
        <v/>
      </c>
      <c r="I583" s="5" t="str">
        <f t="shared" si="4"/>
        <v/>
      </c>
      <c r="J583" s="5" t="str">
        <f t="shared" si="5"/>
        <v/>
      </c>
      <c r="K583" s="5" t="str">
        <f>IFERROR(__xludf.DUMMYFUNCTION("IF(C583&lt;&gt;"""",HYPERLINK(""https://wa.me/507""&amp;REGEXREPLACE(C583,""[^0-9]"","""")&amp;""?text=""&amp;ENCODEURL(""Ya llegue. Codigo: ""&amp;A583&amp;"". Ubicacion: ""&amp;""https://www.google.com/maps/search/?api=1&amp;query=""&amp;SUBSTITUTE(F583,"" "","""")),""📲 Avisar al cliente"""&amp;"),"""")"),"")</f>
        <v/>
      </c>
      <c r="L583" s="5" t="str">
        <f>IFERROR(__xludf.DUMMYFUNCTION("IF(C583&lt;&gt;"""",""https://api.qrserver.com/v1/create-qr-code/?size=200x200&amp;data=""&amp;ENCODEURL(""https://wa.me/507""&amp;REGEXREPLACE(C583,""[^0-9]"","""")&amp;""?text=""&amp;ENCODEURL(""Ya llegue. Codigo: ""&amp;A583&amp;"". Ubicacion: ""&amp;""https://www.google.com/maps/search/?a"&amp;"pi=1&amp;query=""&amp;SUBSTITUTE(F583,"" "",""""))),"""")"),"")</f>
        <v/>
      </c>
      <c r="M583" s="5" t="str">
        <f t="shared" si="6"/>
        <v/>
      </c>
      <c r="N583" s="5" t="str">
        <f>IFERROR(__xludf.DUMMYFUNCTION("IF(AND(F583&lt;&gt;"""",REGEXMATCH(SUBSTITUTE(F583,"" "",""""),""^-?\d+(\.\d+)?,-?\d+(\.\d+)?$""),VALUE(REGEXEXTRACT(SUBSTITUTE(F583,"" "",""""),""^-?\d+(\.\d+)?""))&gt;=-90,VALUE(REGEXEXTRACT(SUBSTITUTE(F583,"" "",""""),""^-?\d+(\.\d+)?""))&lt;=90,VALUE(REGEXEXTRACT"&amp;"(SUBSTITUTE(F583,"" "",""""),""-?\d+(\.\d+)?$""))&gt;=-180,VALUE(REGEXEXTRACT(SUBSTITUTE(F583,"" "",""""),""-?\d+(\.\d+)?$""))&lt;=180),""OK"",""REVISAR"")"),"#N/A")</f>
        <v>#N/A</v>
      </c>
    </row>
    <row r="584" ht="15.75" customHeight="1">
      <c r="A584" s="5" t="str">
        <f t="shared" si="1"/>
        <v>AD507-0582</v>
      </c>
      <c r="C584" s="5"/>
      <c r="F584" s="5"/>
      <c r="G584" s="5" t="str">
        <f t="shared" si="2"/>
        <v/>
      </c>
      <c r="H584" s="5" t="str">
        <f t="shared" si="3"/>
        <v/>
      </c>
      <c r="I584" s="5" t="str">
        <f t="shared" si="4"/>
        <v/>
      </c>
      <c r="J584" s="5" t="str">
        <f t="shared" si="5"/>
        <v/>
      </c>
      <c r="K584" s="5" t="str">
        <f>IFERROR(__xludf.DUMMYFUNCTION("IF(C584&lt;&gt;"""",HYPERLINK(""https://wa.me/507""&amp;REGEXREPLACE(C584,""[^0-9]"","""")&amp;""?text=""&amp;ENCODEURL(""Ya llegue. Codigo: ""&amp;A584&amp;"". Ubicacion: ""&amp;""https://www.google.com/maps/search/?api=1&amp;query=""&amp;SUBSTITUTE(F584,"" "","""")),""📲 Avisar al cliente"""&amp;"),"""")"),"")</f>
        <v/>
      </c>
      <c r="L584" s="5" t="str">
        <f>IFERROR(__xludf.DUMMYFUNCTION("IF(C584&lt;&gt;"""",""https://api.qrserver.com/v1/create-qr-code/?size=200x200&amp;data=""&amp;ENCODEURL(""https://wa.me/507""&amp;REGEXREPLACE(C584,""[^0-9]"","""")&amp;""?text=""&amp;ENCODEURL(""Ya llegue. Codigo: ""&amp;A584&amp;"". Ubicacion: ""&amp;""https://www.google.com/maps/search/?a"&amp;"pi=1&amp;query=""&amp;SUBSTITUTE(F584,"" "",""""))),"""")"),"")</f>
        <v/>
      </c>
      <c r="M584" s="5" t="str">
        <f t="shared" si="6"/>
        <v/>
      </c>
      <c r="N584" s="5" t="str">
        <f>IFERROR(__xludf.DUMMYFUNCTION("IF(AND(F584&lt;&gt;"""",REGEXMATCH(SUBSTITUTE(F584,"" "",""""),""^-?\d+(\.\d+)?,-?\d+(\.\d+)?$""),VALUE(REGEXEXTRACT(SUBSTITUTE(F584,"" "",""""),""^-?\d+(\.\d+)?""))&gt;=-90,VALUE(REGEXEXTRACT(SUBSTITUTE(F584,"" "",""""),""^-?\d+(\.\d+)?""))&lt;=90,VALUE(REGEXEXTRACT"&amp;"(SUBSTITUTE(F584,"" "",""""),""-?\d+(\.\d+)?$""))&gt;=-180,VALUE(REGEXEXTRACT(SUBSTITUTE(F584,"" "",""""),""-?\d+(\.\d+)?$""))&lt;=180),""OK"",""REVISAR"")"),"#N/A")</f>
        <v>#N/A</v>
      </c>
    </row>
    <row r="585" ht="15.75" customHeight="1">
      <c r="A585" s="5" t="str">
        <f t="shared" si="1"/>
        <v>AD507-0583</v>
      </c>
      <c r="C585" s="5"/>
      <c r="F585" s="5"/>
      <c r="G585" s="5" t="str">
        <f t="shared" si="2"/>
        <v/>
      </c>
      <c r="H585" s="5" t="str">
        <f t="shared" si="3"/>
        <v/>
      </c>
      <c r="I585" s="5" t="str">
        <f t="shared" si="4"/>
        <v/>
      </c>
      <c r="J585" s="5" t="str">
        <f t="shared" si="5"/>
        <v/>
      </c>
      <c r="K585" s="5" t="str">
        <f>IFERROR(__xludf.DUMMYFUNCTION("IF(C585&lt;&gt;"""",HYPERLINK(""https://wa.me/507""&amp;REGEXREPLACE(C585,""[^0-9]"","""")&amp;""?text=""&amp;ENCODEURL(""Ya llegue. Codigo: ""&amp;A585&amp;"". Ubicacion: ""&amp;""https://www.google.com/maps/search/?api=1&amp;query=""&amp;SUBSTITUTE(F585,"" "","""")),""📲 Avisar al cliente"""&amp;"),"""")"),"")</f>
        <v/>
      </c>
      <c r="L585" s="5" t="str">
        <f>IFERROR(__xludf.DUMMYFUNCTION("IF(C585&lt;&gt;"""",""https://api.qrserver.com/v1/create-qr-code/?size=200x200&amp;data=""&amp;ENCODEURL(""https://wa.me/507""&amp;REGEXREPLACE(C585,""[^0-9]"","""")&amp;""?text=""&amp;ENCODEURL(""Ya llegue. Codigo: ""&amp;A585&amp;"". Ubicacion: ""&amp;""https://www.google.com/maps/search/?a"&amp;"pi=1&amp;query=""&amp;SUBSTITUTE(F585,"" "",""""))),"""")"),"")</f>
        <v/>
      </c>
      <c r="M585" s="5" t="str">
        <f t="shared" si="6"/>
        <v/>
      </c>
      <c r="N585" s="5" t="str">
        <f>IFERROR(__xludf.DUMMYFUNCTION("IF(AND(F585&lt;&gt;"""",REGEXMATCH(SUBSTITUTE(F585,"" "",""""),""^-?\d+(\.\d+)?,-?\d+(\.\d+)?$""),VALUE(REGEXEXTRACT(SUBSTITUTE(F585,"" "",""""),""^-?\d+(\.\d+)?""))&gt;=-90,VALUE(REGEXEXTRACT(SUBSTITUTE(F585,"" "",""""),""^-?\d+(\.\d+)?""))&lt;=90,VALUE(REGEXEXTRACT"&amp;"(SUBSTITUTE(F585,"" "",""""),""-?\d+(\.\d+)?$""))&gt;=-180,VALUE(REGEXEXTRACT(SUBSTITUTE(F585,"" "",""""),""-?\d+(\.\d+)?$""))&lt;=180),""OK"",""REVISAR"")"),"#N/A")</f>
        <v>#N/A</v>
      </c>
    </row>
    <row r="586" ht="15.75" customHeight="1">
      <c r="A586" s="5" t="str">
        <f t="shared" si="1"/>
        <v>AD507-0584</v>
      </c>
      <c r="C586" s="5"/>
      <c r="F586" s="5"/>
      <c r="G586" s="5" t="str">
        <f t="shared" si="2"/>
        <v/>
      </c>
      <c r="H586" s="5" t="str">
        <f t="shared" si="3"/>
        <v/>
      </c>
      <c r="I586" s="5" t="str">
        <f t="shared" si="4"/>
        <v/>
      </c>
      <c r="J586" s="5" t="str">
        <f t="shared" si="5"/>
        <v/>
      </c>
      <c r="K586" s="5" t="str">
        <f>IFERROR(__xludf.DUMMYFUNCTION("IF(C586&lt;&gt;"""",HYPERLINK(""https://wa.me/507""&amp;REGEXREPLACE(C586,""[^0-9]"","""")&amp;""?text=""&amp;ENCODEURL(""Ya llegue. Codigo: ""&amp;A586&amp;"". Ubicacion: ""&amp;""https://www.google.com/maps/search/?api=1&amp;query=""&amp;SUBSTITUTE(F586,"" "","""")),""📲 Avisar al cliente"""&amp;"),"""")"),"")</f>
        <v/>
      </c>
      <c r="L586" s="5" t="str">
        <f>IFERROR(__xludf.DUMMYFUNCTION("IF(C586&lt;&gt;"""",""https://api.qrserver.com/v1/create-qr-code/?size=200x200&amp;data=""&amp;ENCODEURL(""https://wa.me/507""&amp;REGEXREPLACE(C586,""[^0-9]"","""")&amp;""?text=""&amp;ENCODEURL(""Ya llegue. Codigo: ""&amp;A586&amp;"". Ubicacion: ""&amp;""https://www.google.com/maps/search/?a"&amp;"pi=1&amp;query=""&amp;SUBSTITUTE(F586,"" "",""""))),"""")"),"")</f>
        <v/>
      </c>
      <c r="M586" s="5" t="str">
        <f t="shared" si="6"/>
        <v/>
      </c>
      <c r="N586" s="5" t="str">
        <f>IFERROR(__xludf.DUMMYFUNCTION("IF(AND(F586&lt;&gt;"""",REGEXMATCH(SUBSTITUTE(F586,"" "",""""),""^-?\d+(\.\d+)?,-?\d+(\.\d+)?$""),VALUE(REGEXEXTRACT(SUBSTITUTE(F586,"" "",""""),""^-?\d+(\.\d+)?""))&gt;=-90,VALUE(REGEXEXTRACT(SUBSTITUTE(F586,"" "",""""),""^-?\d+(\.\d+)?""))&lt;=90,VALUE(REGEXEXTRACT"&amp;"(SUBSTITUTE(F586,"" "",""""),""-?\d+(\.\d+)?$""))&gt;=-180,VALUE(REGEXEXTRACT(SUBSTITUTE(F586,"" "",""""),""-?\d+(\.\d+)?$""))&lt;=180),""OK"",""REVISAR"")"),"#N/A")</f>
        <v>#N/A</v>
      </c>
    </row>
    <row r="587" ht="15.75" customHeight="1">
      <c r="A587" s="5" t="str">
        <f t="shared" si="1"/>
        <v>AD507-0585</v>
      </c>
      <c r="C587" s="5"/>
      <c r="F587" s="5"/>
      <c r="G587" s="5" t="str">
        <f t="shared" si="2"/>
        <v/>
      </c>
      <c r="H587" s="5" t="str">
        <f t="shared" si="3"/>
        <v/>
      </c>
      <c r="I587" s="5" t="str">
        <f t="shared" si="4"/>
        <v/>
      </c>
      <c r="J587" s="5" t="str">
        <f t="shared" si="5"/>
        <v/>
      </c>
      <c r="K587" s="5" t="str">
        <f>IFERROR(__xludf.DUMMYFUNCTION("IF(C587&lt;&gt;"""",HYPERLINK(""https://wa.me/507""&amp;REGEXREPLACE(C587,""[^0-9]"","""")&amp;""?text=""&amp;ENCODEURL(""Ya llegue. Codigo: ""&amp;A587&amp;"". Ubicacion: ""&amp;""https://www.google.com/maps/search/?api=1&amp;query=""&amp;SUBSTITUTE(F587,"" "","""")),""📲 Avisar al cliente"""&amp;"),"""")"),"")</f>
        <v/>
      </c>
      <c r="L587" s="5" t="str">
        <f>IFERROR(__xludf.DUMMYFUNCTION("IF(C587&lt;&gt;"""",""https://api.qrserver.com/v1/create-qr-code/?size=200x200&amp;data=""&amp;ENCODEURL(""https://wa.me/507""&amp;REGEXREPLACE(C587,""[^0-9]"","""")&amp;""?text=""&amp;ENCODEURL(""Ya llegue. Codigo: ""&amp;A587&amp;"". Ubicacion: ""&amp;""https://www.google.com/maps/search/?a"&amp;"pi=1&amp;query=""&amp;SUBSTITUTE(F587,"" "",""""))),"""")"),"")</f>
        <v/>
      </c>
      <c r="M587" s="5" t="str">
        <f t="shared" si="6"/>
        <v/>
      </c>
      <c r="N587" s="5" t="str">
        <f>IFERROR(__xludf.DUMMYFUNCTION("IF(AND(F587&lt;&gt;"""",REGEXMATCH(SUBSTITUTE(F587,"" "",""""),""^-?\d+(\.\d+)?,-?\d+(\.\d+)?$""),VALUE(REGEXEXTRACT(SUBSTITUTE(F587,"" "",""""),""^-?\d+(\.\d+)?""))&gt;=-90,VALUE(REGEXEXTRACT(SUBSTITUTE(F587,"" "",""""),""^-?\d+(\.\d+)?""))&lt;=90,VALUE(REGEXEXTRACT"&amp;"(SUBSTITUTE(F587,"" "",""""),""-?\d+(\.\d+)?$""))&gt;=-180,VALUE(REGEXEXTRACT(SUBSTITUTE(F587,"" "",""""),""-?\d+(\.\d+)?$""))&lt;=180),""OK"",""REVISAR"")"),"#N/A")</f>
        <v>#N/A</v>
      </c>
    </row>
    <row r="588" ht="15.75" customHeight="1">
      <c r="A588" s="5" t="str">
        <f t="shared" si="1"/>
        <v>AD507-0586</v>
      </c>
      <c r="C588" s="5"/>
      <c r="F588" s="5"/>
      <c r="G588" s="5" t="str">
        <f t="shared" si="2"/>
        <v/>
      </c>
      <c r="H588" s="5" t="str">
        <f t="shared" si="3"/>
        <v/>
      </c>
      <c r="I588" s="5" t="str">
        <f t="shared" si="4"/>
        <v/>
      </c>
      <c r="J588" s="5" t="str">
        <f t="shared" si="5"/>
        <v/>
      </c>
      <c r="K588" s="5" t="str">
        <f>IFERROR(__xludf.DUMMYFUNCTION("IF(C588&lt;&gt;"""",HYPERLINK(""https://wa.me/507""&amp;REGEXREPLACE(C588,""[^0-9]"","""")&amp;""?text=""&amp;ENCODEURL(""Ya llegue. Codigo: ""&amp;A588&amp;"". Ubicacion: ""&amp;""https://www.google.com/maps/search/?api=1&amp;query=""&amp;SUBSTITUTE(F588,"" "","""")),""📲 Avisar al cliente"""&amp;"),"""")"),"")</f>
        <v/>
      </c>
      <c r="L588" s="5" t="str">
        <f>IFERROR(__xludf.DUMMYFUNCTION("IF(C588&lt;&gt;"""",""https://api.qrserver.com/v1/create-qr-code/?size=200x200&amp;data=""&amp;ENCODEURL(""https://wa.me/507""&amp;REGEXREPLACE(C588,""[^0-9]"","""")&amp;""?text=""&amp;ENCODEURL(""Ya llegue. Codigo: ""&amp;A588&amp;"". Ubicacion: ""&amp;""https://www.google.com/maps/search/?a"&amp;"pi=1&amp;query=""&amp;SUBSTITUTE(F588,"" "",""""))),"""")"),"")</f>
        <v/>
      </c>
      <c r="M588" s="5" t="str">
        <f t="shared" si="6"/>
        <v/>
      </c>
      <c r="N588" s="5" t="str">
        <f>IFERROR(__xludf.DUMMYFUNCTION("IF(AND(F588&lt;&gt;"""",REGEXMATCH(SUBSTITUTE(F588,"" "",""""),""^-?\d+(\.\d+)?,-?\d+(\.\d+)?$""),VALUE(REGEXEXTRACT(SUBSTITUTE(F588,"" "",""""),""^-?\d+(\.\d+)?""))&gt;=-90,VALUE(REGEXEXTRACT(SUBSTITUTE(F588,"" "",""""),""^-?\d+(\.\d+)?""))&lt;=90,VALUE(REGEXEXTRACT"&amp;"(SUBSTITUTE(F588,"" "",""""),""-?\d+(\.\d+)?$""))&gt;=-180,VALUE(REGEXEXTRACT(SUBSTITUTE(F588,"" "",""""),""-?\d+(\.\d+)?$""))&lt;=180),""OK"",""REVISAR"")"),"#N/A")</f>
        <v>#N/A</v>
      </c>
    </row>
    <row r="589" ht="15.75" customHeight="1">
      <c r="A589" s="5" t="str">
        <f t="shared" si="1"/>
        <v>AD507-0587</v>
      </c>
      <c r="C589" s="5"/>
      <c r="F589" s="5"/>
      <c r="G589" s="5" t="str">
        <f t="shared" si="2"/>
        <v/>
      </c>
      <c r="H589" s="5" t="str">
        <f t="shared" si="3"/>
        <v/>
      </c>
      <c r="I589" s="5" t="str">
        <f t="shared" si="4"/>
        <v/>
      </c>
      <c r="J589" s="5" t="str">
        <f t="shared" si="5"/>
        <v/>
      </c>
      <c r="K589" s="5" t="str">
        <f>IFERROR(__xludf.DUMMYFUNCTION("IF(C589&lt;&gt;"""",HYPERLINK(""https://wa.me/507""&amp;REGEXREPLACE(C589,""[^0-9]"","""")&amp;""?text=""&amp;ENCODEURL(""Ya llegue. Codigo: ""&amp;A589&amp;"". Ubicacion: ""&amp;""https://www.google.com/maps/search/?api=1&amp;query=""&amp;SUBSTITUTE(F589,"" "","""")),""📲 Avisar al cliente"""&amp;"),"""")"),"")</f>
        <v/>
      </c>
      <c r="L589" s="5" t="str">
        <f>IFERROR(__xludf.DUMMYFUNCTION("IF(C589&lt;&gt;"""",""https://api.qrserver.com/v1/create-qr-code/?size=200x200&amp;data=""&amp;ENCODEURL(""https://wa.me/507""&amp;REGEXREPLACE(C589,""[^0-9]"","""")&amp;""?text=""&amp;ENCODEURL(""Ya llegue. Codigo: ""&amp;A589&amp;"". Ubicacion: ""&amp;""https://www.google.com/maps/search/?a"&amp;"pi=1&amp;query=""&amp;SUBSTITUTE(F589,"" "",""""))),"""")"),"")</f>
        <v/>
      </c>
      <c r="M589" s="5" t="str">
        <f t="shared" si="6"/>
        <v/>
      </c>
      <c r="N589" s="5" t="str">
        <f>IFERROR(__xludf.DUMMYFUNCTION("IF(AND(F589&lt;&gt;"""",REGEXMATCH(SUBSTITUTE(F589,"" "",""""),""^-?\d+(\.\d+)?,-?\d+(\.\d+)?$""),VALUE(REGEXEXTRACT(SUBSTITUTE(F589,"" "",""""),""^-?\d+(\.\d+)?""))&gt;=-90,VALUE(REGEXEXTRACT(SUBSTITUTE(F589,"" "",""""),""^-?\d+(\.\d+)?""))&lt;=90,VALUE(REGEXEXTRACT"&amp;"(SUBSTITUTE(F589,"" "",""""),""-?\d+(\.\d+)?$""))&gt;=-180,VALUE(REGEXEXTRACT(SUBSTITUTE(F589,"" "",""""),""-?\d+(\.\d+)?$""))&lt;=180),""OK"",""REVISAR"")"),"#N/A")</f>
        <v>#N/A</v>
      </c>
    </row>
    <row r="590" ht="15.75" customHeight="1">
      <c r="A590" s="5" t="str">
        <f t="shared" si="1"/>
        <v>AD507-0588</v>
      </c>
      <c r="C590" s="5"/>
      <c r="F590" s="5"/>
      <c r="G590" s="5" t="str">
        <f t="shared" si="2"/>
        <v/>
      </c>
      <c r="H590" s="5" t="str">
        <f t="shared" si="3"/>
        <v/>
      </c>
      <c r="I590" s="5" t="str">
        <f t="shared" si="4"/>
        <v/>
      </c>
      <c r="J590" s="5" t="str">
        <f t="shared" si="5"/>
        <v/>
      </c>
      <c r="K590" s="5" t="str">
        <f>IFERROR(__xludf.DUMMYFUNCTION("IF(C590&lt;&gt;"""",HYPERLINK(""https://wa.me/507""&amp;REGEXREPLACE(C590,""[^0-9]"","""")&amp;""?text=""&amp;ENCODEURL(""Ya llegue. Codigo: ""&amp;A590&amp;"". Ubicacion: ""&amp;""https://www.google.com/maps/search/?api=1&amp;query=""&amp;SUBSTITUTE(F590,"" "","""")),""📲 Avisar al cliente"""&amp;"),"""")"),"")</f>
        <v/>
      </c>
      <c r="L590" s="5" t="str">
        <f>IFERROR(__xludf.DUMMYFUNCTION("IF(C590&lt;&gt;"""",""https://api.qrserver.com/v1/create-qr-code/?size=200x200&amp;data=""&amp;ENCODEURL(""https://wa.me/507""&amp;REGEXREPLACE(C590,""[^0-9]"","""")&amp;""?text=""&amp;ENCODEURL(""Ya llegue. Codigo: ""&amp;A590&amp;"". Ubicacion: ""&amp;""https://www.google.com/maps/search/?a"&amp;"pi=1&amp;query=""&amp;SUBSTITUTE(F590,"" "",""""))),"""")"),"")</f>
        <v/>
      </c>
      <c r="M590" s="5" t="str">
        <f t="shared" si="6"/>
        <v/>
      </c>
      <c r="N590" s="5" t="str">
        <f>IFERROR(__xludf.DUMMYFUNCTION("IF(AND(F590&lt;&gt;"""",REGEXMATCH(SUBSTITUTE(F590,"" "",""""),""^-?\d+(\.\d+)?,-?\d+(\.\d+)?$""),VALUE(REGEXEXTRACT(SUBSTITUTE(F590,"" "",""""),""^-?\d+(\.\d+)?""))&gt;=-90,VALUE(REGEXEXTRACT(SUBSTITUTE(F590,"" "",""""),""^-?\d+(\.\d+)?""))&lt;=90,VALUE(REGEXEXTRACT"&amp;"(SUBSTITUTE(F590,"" "",""""),""-?\d+(\.\d+)?$""))&gt;=-180,VALUE(REGEXEXTRACT(SUBSTITUTE(F590,"" "",""""),""-?\d+(\.\d+)?$""))&lt;=180),""OK"",""REVISAR"")"),"#N/A")</f>
        <v>#N/A</v>
      </c>
    </row>
    <row r="591" ht="15.75" customHeight="1">
      <c r="A591" s="5" t="str">
        <f t="shared" si="1"/>
        <v>AD507-0589</v>
      </c>
      <c r="C591" s="5"/>
      <c r="F591" s="5"/>
      <c r="G591" s="5" t="str">
        <f t="shared" si="2"/>
        <v/>
      </c>
      <c r="H591" s="5" t="str">
        <f t="shared" si="3"/>
        <v/>
      </c>
      <c r="I591" s="5" t="str">
        <f t="shared" si="4"/>
        <v/>
      </c>
      <c r="J591" s="5" t="str">
        <f t="shared" si="5"/>
        <v/>
      </c>
      <c r="K591" s="5" t="str">
        <f>IFERROR(__xludf.DUMMYFUNCTION("IF(C591&lt;&gt;"""",HYPERLINK(""https://wa.me/507""&amp;REGEXREPLACE(C591,""[^0-9]"","""")&amp;""?text=""&amp;ENCODEURL(""Ya llegue. Codigo: ""&amp;A591&amp;"". Ubicacion: ""&amp;""https://www.google.com/maps/search/?api=1&amp;query=""&amp;SUBSTITUTE(F591,"" "","""")),""📲 Avisar al cliente"""&amp;"),"""")"),"")</f>
        <v/>
      </c>
      <c r="L591" s="5" t="str">
        <f>IFERROR(__xludf.DUMMYFUNCTION("IF(C591&lt;&gt;"""",""https://api.qrserver.com/v1/create-qr-code/?size=200x200&amp;data=""&amp;ENCODEURL(""https://wa.me/507""&amp;REGEXREPLACE(C591,""[^0-9]"","""")&amp;""?text=""&amp;ENCODEURL(""Ya llegue. Codigo: ""&amp;A591&amp;"". Ubicacion: ""&amp;""https://www.google.com/maps/search/?a"&amp;"pi=1&amp;query=""&amp;SUBSTITUTE(F591,"" "",""""))),"""")"),"")</f>
        <v/>
      </c>
      <c r="M591" s="5" t="str">
        <f t="shared" si="6"/>
        <v/>
      </c>
      <c r="N591" s="5" t="str">
        <f>IFERROR(__xludf.DUMMYFUNCTION("IF(AND(F591&lt;&gt;"""",REGEXMATCH(SUBSTITUTE(F591,"" "",""""),""^-?\d+(\.\d+)?,-?\d+(\.\d+)?$""),VALUE(REGEXEXTRACT(SUBSTITUTE(F591,"" "",""""),""^-?\d+(\.\d+)?""))&gt;=-90,VALUE(REGEXEXTRACT(SUBSTITUTE(F591,"" "",""""),""^-?\d+(\.\d+)?""))&lt;=90,VALUE(REGEXEXTRACT"&amp;"(SUBSTITUTE(F591,"" "",""""),""-?\d+(\.\d+)?$""))&gt;=-180,VALUE(REGEXEXTRACT(SUBSTITUTE(F591,"" "",""""),""-?\d+(\.\d+)?$""))&lt;=180),""OK"",""REVISAR"")"),"#N/A")</f>
        <v>#N/A</v>
      </c>
    </row>
    <row r="592" ht="15.75" customHeight="1">
      <c r="A592" s="5" t="str">
        <f t="shared" si="1"/>
        <v>AD507-0590</v>
      </c>
      <c r="C592" s="5"/>
      <c r="F592" s="5"/>
      <c r="G592" s="5" t="str">
        <f t="shared" si="2"/>
        <v/>
      </c>
      <c r="H592" s="5" t="str">
        <f t="shared" si="3"/>
        <v/>
      </c>
      <c r="I592" s="5" t="str">
        <f t="shared" si="4"/>
        <v/>
      </c>
      <c r="J592" s="5" t="str">
        <f t="shared" si="5"/>
        <v/>
      </c>
      <c r="K592" s="5" t="str">
        <f>IFERROR(__xludf.DUMMYFUNCTION("IF(C592&lt;&gt;"""",HYPERLINK(""https://wa.me/507""&amp;REGEXREPLACE(C592,""[^0-9]"","""")&amp;""?text=""&amp;ENCODEURL(""Ya llegue. Codigo: ""&amp;A592&amp;"". Ubicacion: ""&amp;""https://www.google.com/maps/search/?api=1&amp;query=""&amp;SUBSTITUTE(F592,"" "","""")),""📲 Avisar al cliente"""&amp;"),"""")"),"")</f>
        <v/>
      </c>
      <c r="L592" s="5" t="str">
        <f>IFERROR(__xludf.DUMMYFUNCTION("IF(C592&lt;&gt;"""",""https://api.qrserver.com/v1/create-qr-code/?size=200x200&amp;data=""&amp;ENCODEURL(""https://wa.me/507""&amp;REGEXREPLACE(C592,""[^0-9]"","""")&amp;""?text=""&amp;ENCODEURL(""Ya llegue. Codigo: ""&amp;A592&amp;"". Ubicacion: ""&amp;""https://www.google.com/maps/search/?a"&amp;"pi=1&amp;query=""&amp;SUBSTITUTE(F592,"" "",""""))),"""")"),"")</f>
        <v/>
      </c>
      <c r="M592" s="5" t="str">
        <f t="shared" si="6"/>
        <v/>
      </c>
      <c r="N592" s="5" t="str">
        <f>IFERROR(__xludf.DUMMYFUNCTION("IF(AND(F592&lt;&gt;"""",REGEXMATCH(SUBSTITUTE(F592,"" "",""""),""^-?\d+(\.\d+)?,-?\d+(\.\d+)?$""),VALUE(REGEXEXTRACT(SUBSTITUTE(F592,"" "",""""),""^-?\d+(\.\d+)?""))&gt;=-90,VALUE(REGEXEXTRACT(SUBSTITUTE(F592,"" "",""""),""^-?\d+(\.\d+)?""))&lt;=90,VALUE(REGEXEXTRACT"&amp;"(SUBSTITUTE(F592,"" "",""""),""-?\d+(\.\d+)?$""))&gt;=-180,VALUE(REGEXEXTRACT(SUBSTITUTE(F592,"" "",""""),""-?\d+(\.\d+)?$""))&lt;=180),""OK"",""REVISAR"")"),"#N/A")</f>
        <v>#N/A</v>
      </c>
    </row>
    <row r="593" ht="15.75" customHeight="1">
      <c r="A593" s="5" t="str">
        <f t="shared" si="1"/>
        <v>AD507-0591</v>
      </c>
      <c r="C593" s="5"/>
      <c r="F593" s="5"/>
      <c r="G593" s="5" t="str">
        <f t="shared" si="2"/>
        <v/>
      </c>
      <c r="H593" s="5" t="str">
        <f t="shared" si="3"/>
        <v/>
      </c>
      <c r="I593" s="5" t="str">
        <f t="shared" si="4"/>
        <v/>
      </c>
      <c r="J593" s="5" t="str">
        <f t="shared" si="5"/>
        <v/>
      </c>
      <c r="K593" s="5" t="str">
        <f>IFERROR(__xludf.DUMMYFUNCTION("IF(C593&lt;&gt;"""",HYPERLINK(""https://wa.me/507""&amp;REGEXREPLACE(C593,""[^0-9]"","""")&amp;""?text=""&amp;ENCODEURL(""Ya llegue. Codigo: ""&amp;A593&amp;"". Ubicacion: ""&amp;""https://www.google.com/maps/search/?api=1&amp;query=""&amp;SUBSTITUTE(F593,"" "","""")),""📲 Avisar al cliente"""&amp;"),"""")"),"")</f>
        <v/>
      </c>
      <c r="L593" s="5" t="str">
        <f>IFERROR(__xludf.DUMMYFUNCTION("IF(C593&lt;&gt;"""",""https://api.qrserver.com/v1/create-qr-code/?size=200x200&amp;data=""&amp;ENCODEURL(""https://wa.me/507""&amp;REGEXREPLACE(C593,""[^0-9]"","""")&amp;""?text=""&amp;ENCODEURL(""Ya llegue. Codigo: ""&amp;A593&amp;"". Ubicacion: ""&amp;""https://www.google.com/maps/search/?a"&amp;"pi=1&amp;query=""&amp;SUBSTITUTE(F593,"" "",""""))),"""")"),"")</f>
        <v/>
      </c>
      <c r="M593" s="5" t="str">
        <f t="shared" si="6"/>
        <v/>
      </c>
      <c r="N593" s="5" t="str">
        <f>IFERROR(__xludf.DUMMYFUNCTION("IF(AND(F593&lt;&gt;"""",REGEXMATCH(SUBSTITUTE(F593,"" "",""""),""^-?\d+(\.\d+)?,-?\d+(\.\d+)?$""),VALUE(REGEXEXTRACT(SUBSTITUTE(F593,"" "",""""),""^-?\d+(\.\d+)?""))&gt;=-90,VALUE(REGEXEXTRACT(SUBSTITUTE(F593,"" "",""""),""^-?\d+(\.\d+)?""))&lt;=90,VALUE(REGEXEXTRACT"&amp;"(SUBSTITUTE(F593,"" "",""""),""-?\d+(\.\d+)?$""))&gt;=-180,VALUE(REGEXEXTRACT(SUBSTITUTE(F593,"" "",""""),""-?\d+(\.\d+)?$""))&lt;=180),""OK"",""REVISAR"")"),"#N/A")</f>
        <v>#N/A</v>
      </c>
    </row>
    <row r="594" ht="15.75" customHeight="1">
      <c r="A594" s="5" t="str">
        <f t="shared" si="1"/>
        <v>AD507-0592</v>
      </c>
      <c r="C594" s="5"/>
      <c r="F594" s="5"/>
      <c r="G594" s="5" t="str">
        <f t="shared" si="2"/>
        <v/>
      </c>
      <c r="H594" s="5" t="str">
        <f t="shared" si="3"/>
        <v/>
      </c>
      <c r="I594" s="5" t="str">
        <f t="shared" si="4"/>
        <v/>
      </c>
      <c r="J594" s="5" t="str">
        <f t="shared" si="5"/>
        <v/>
      </c>
      <c r="K594" s="5" t="str">
        <f>IFERROR(__xludf.DUMMYFUNCTION("IF(C594&lt;&gt;"""",HYPERLINK(""https://wa.me/507""&amp;REGEXREPLACE(C594,""[^0-9]"","""")&amp;""?text=""&amp;ENCODEURL(""Ya llegue. Codigo: ""&amp;A594&amp;"". Ubicacion: ""&amp;""https://www.google.com/maps/search/?api=1&amp;query=""&amp;SUBSTITUTE(F594,"" "","""")),""📲 Avisar al cliente"""&amp;"),"""")"),"")</f>
        <v/>
      </c>
      <c r="L594" s="5" t="str">
        <f>IFERROR(__xludf.DUMMYFUNCTION("IF(C594&lt;&gt;"""",""https://api.qrserver.com/v1/create-qr-code/?size=200x200&amp;data=""&amp;ENCODEURL(""https://wa.me/507""&amp;REGEXREPLACE(C594,""[^0-9]"","""")&amp;""?text=""&amp;ENCODEURL(""Ya llegue. Codigo: ""&amp;A594&amp;"". Ubicacion: ""&amp;""https://www.google.com/maps/search/?a"&amp;"pi=1&amp;query=""&amp;SUBSTITUTE(F594,"" "",""""))),"""")"),"")</f>
        <v/>
      </c>
      <c r="M594" s="5" t="str">
        <f t="shared" si="6"/>
        <v/>
      </c>
      <c r="N594" s="5" t="str">
        <f>IFERROR(__xludf.DUMMYFUNCTION("IF(AND(F594&lt;&gt;"""",REGEXMATCH(SUBSTITUTE(F594,"" "",""""),""^-?\d+(\.\d+)?,-?\d+(\.\d+)?$""),VALUE(REGEXEXTRACT(SUBSTITUTE(F594,"" "",""""),""^-?\d+(\.\d+)?""))&gt;=-90,VALUE(REGEXEXTRACT(SUBSTITUTE(F594,"" "",""""),""^-?\d+(\.\d+)?""))&lt;=90,VALUE(REGEXEXTRACT"&amp;"(SUBSTITUTE(F594,"" "",""""),""-?\d+(\.\d+)?$""))&gt;=-180,VALUE(REGEXEXTRACT(SUBSTITUTE(F594,"" "",""""),""-?\d+(\.\d+)?$""))&lt;=180),""OK"",""REVISAR"")"),"#N/A")</f>
        <v>#N/A</v>
      </c>
    </row>
    <row r="595" ht="15.75" customHeight="1">
      <c r="A595" s="5" t="str">
        <f t="shared" si="1"/>
        <v>AD507-0593</v>
      </c>
      <c r="C595" s="5"/>
      <c r="F595" s="5"/>
      <c r="G595" s="5" t="str">
        <f t="shared" si="2"/>
        <v/>
      </c>
      <c r="H595" s="5" t="str">
        <f t="shared" si="3"/>
        <v/>
      </c>
      <c r="I595" s="5" t="str">
        <f t="shared" si="4"/>
        <v/>
      </c>
      <c r="J595" s="5" t="str">
        <f t="shared" si="5"/>
        <v/>
      </c>
      <c r="K595" s="5" t="str">
        <f>IFERROR(__xludf.DUMMYFUNCTION("IF(C595&lt;&gt;"""",HYPERLINK(""https://wa.me/507""&amp;REGEXREPLACE(C595,""[^0-9]"","""")&amp;""?text=""&amp;ENCODEURL(""Ya llegue. Codigo: ""&amp;A595&amp;"". Ubicacion: ""&amp;""https://www.google.com/maps/search/?api=1&amp;query=""&amp;SUBSTITUTE(F595,"" "","""")),""📲 Avisar al cliente"""&amp;"),"""")"),"")</f>
        <v/>
      </c>
      <c r="L595" s="5" t="str">
        <f>IFERROR(__xludf.DUMMYFUNCTION("IF(C595&lt;&gt;"""",""https://api.qrserver.com/v1/create-qr-code/?size=200x200&amp;data=""&amp;ENCODEURL(""https://wa.me/507""&amp;REGEXREPLACE(C595,""[^0-9]"","""")&amp;""?text=""&amp;ENCODEURL(""Ya llegue. Codigo: ""&amp;A595&amp;"". Ubicacion: ""&amp;""https://www.google.com/maps/search/?a"&amp;"pi=1&amp;query=""&amp;SUBSTITUTE(F595,"" "",""""))),"""")"),"")</f>
        <v/>
      </c>
      <c r="M595" s="5" t="str">
        <f t="shared" si="6"/>
        <v/>
      </c>
      <c r="N595" s="5" t="str">
        <f>IFERROR(__xludf.DUMMYFUNCTION("IF(AND(F595&lt;&gt;"""",REGEXMATCH(SUBSTITUTE(F595,"" "",""""),""^-?\d+(\.\d+)?,-?\d+(\.\d+)?$""),VALUE(REGEXEXTRACT(SUBSTITUTE(F595,"" "",""""),""^-?\d+(\.\d+)?""))&gt;=-90,VALUE(REGEXEXTRACT(SUBSTITUTE(F595,"" "",""""),""^-?\d+(\.\d+)?""))&lt;=90,VALUE(REGEXEXTRACT"&amp;"(SUBSTITUTE(F595,"" "",""""),""-?\d+(\.\d+)?$""))&gt;=-180,VALUE(REGEXEXTRACT(SUBSTITUTE(F595,"" "",""""),""-?\d+(\.\d+)?$""))&lt;=180),""OK"",""REVISAR"")"),"#N/A")</f>
        <v>#N/A</v>
      </c>
    </row>
    <row r="596" ht="15.75" customHeight="1">
      <c r="A596" s="5" t="str">
        <f t="shared" si="1"/>
        <v>AD507-0594</v>
      </c>
      <c r="C596" s="5"/>
      <c r="F596" s="5"/>
      <c r="G596" s="5" t="str">
        <f t="shared" si="2"/>
        <v/>
      </c>
      <c r="H596" s="5" t="str">
        <f t="shared" si="3"/>
        <v/>
      </c>
      <c r="I596" s="5" t="str">
        <f t="shared" si="4"/>
        <v/>
      </c>
      <c r="J596" s="5" t="str">
        <f t="shared" si="5"/>
        <v/>
      </c>
      <c r="K596" s="5" t="str">
        <f>IFERROR(__xludf.DUMMYFUNCTION("IF(C596&lt;&gt;"""",HYPERLINK(""https://wa.me/507""&amp;REGEXREPLACE(C596,""[^0-9]"","""")&amp;""?text=""&amp;ENCODEURL(""Ya llegue. Codigo: ""&amp;A596&amp;"". Ubicacion: ""&amp;""https://www.google.com/maps/search/?api=1&amp;query=""&amp;SUBSTITUTE(F596,"" "","""")),""📲 Avisar al cliente"""&amp;"),"""")"),"")</f>
        <v/>
      </c>
      <c r="L596" s="5" t="str">
        <f>IFERROR(__xludf.DUMMYFUNCTION("IF(C596&lt;&gt;"""",""https://api.qrserver.com/v1/create-qr-code/?size=200x200&amp;data=""&amp;ENCODEURL(""https://wa.me/507""&amp;REGEXREPLACE(C596,""[^0-9]"","""")&amp;""?text=""&amp;ENCODEURL(""Ya llegue. Codigo: ""&amp;A596&amp;"". Ubicacion: ""&amp;""https://www.google.com/maps/search/?a"&amp;"pi=1&amp;query=""&amp;SUBSTITUTE(F596,"" "",""""))),"""")"),"")</f>
        <v/>
      </c>
      <c r="M596" s="5" t="str">
        <f t="shared" si="6"/>
        <v/>
      </c>
      <c r="N596" s="5" t="str">
        <f>IFERROR(__xludf.DUMMYFUNCTION("IF(AND(F596&lt;&gt;"""",REGEXMATCH(SUBSTITUTE(F596,"" "",""""),""^-?\d+(\.\d+)?,-?\d+(\.\d+)?$""),VALUE(REGEXEXTRACT(SUBSTITUTE(F596,"" "",""""),""^-?\d+(\.\d+)?""))&gt;=-90,VALUE(REGEXEXTRACT(SUBSTITUTE(F596,"" "",""""),""^-?\d+(\.\d+)?""))&lt;=90,VALUE(REGEXEXTRACT"&amp;"(SUBSTITUTE(F596,"" "",""""),""-?\d+(\.\d+)?$""))&gt;=-180,VALUE(REGEXEXTRACT(SUBSTITUTE(F596,"" "",""""),""-?\d+(\.\d+)?$""))&lt;=180),""OK"",""REVISAR"")"),"#N/A")</f>
        <v>#N/A</v>
      </c>
    </row>
    <row r="597" ht="15.75" customHeight="1">
      <c r="A597" s="5" t="str">
        <f t="shared" si="1"/>
        <v>AD507-0595</v>
      </c>
      <c r="C597" s="5"/>
      <c r="F597" s="5"/>
      <c r="G597" s="5" t="str">
        <f t="shared" si="2"/>
        <v/>
      </c>
      <c r="H597" s="5" t="str">
        <f t="shared" si="3"/>
        <v/>
      </c>
      <c r="I597" s="5" t="str">
        <f t="shared" si="4"/>
        <v/>
      </c>
      <c r="J597" s="5" t="str">
        <f t="shared" si="5"/>
        <v/>
      </c>
      <c r="K597" s="5" t="str">
        <f>IFERROR(__xludf.DUMMYFUNCTION("IF(C597&lt;&gt;"""",HYPERLINK(""https://wa.me/507""&amp;REGEXREPLACE(C597,""[^0-9]"","""")&amp;""?text=""&amp;ENCODEURL(""Ya llegue. Codigo: ""&amp;A597&amp;"". Ubicacion: ""&amp;""https://www.google.com/maps/search/?api=1&amp;query=""&amp;SUBSTITUTE(F597,"" "","""")),""📲 Avisar al cliente"""&amp;"),"""")"),"")</f>
        <v/>
      </c>
      <c r="L597" s="5" t="str">
        <f>IFERROR(__xludf.DUMMYFUNCTION("IF(C597&lt;&gt;"""",""https://api.qrserver.com/v1/create-qr-code/?size=200x200&amp;data=""&amp;ENCODEURL(""https://wa.me/507""&amp;REGEXREPLACE(C597,""[^0-9]"","""")&amp;""?text=""&amp;ENCODEURL(""Ya llegue. Codigo: ""&amp;A597&amp;"". Ubicacion: ""&amp;""https://www.google.com/maps/search/?a"&amp;"pi=1&amp;query=""&amp;SUBSTITUTE(F597,"" "",""""))),"""")"),"")</f>
        <v/>
      </c>
      <c r="M597" s="5" t="str">
        <f t="shared" si="6"/>
        <v/>
      </c>
      <c r="N597" s="5" t="str">
        <f>IFERROR(__xludf.DUMMYFUNCTION("IF(AND(F597&lt;&gt;"""",REGEXMATCH(SUBSTITUTE(F597,"" "",""""),""^-?\d+(\.\d+)?,-?\d+(\.\d+)?$""),VALUE(REGEXEXTRACT(SUBSTITUTE(F597,"" "",""""),""^-?\d+(\.\d+)?""))&gt;=-90,VALUE(REGEXEXTRACT(SUBSTITUTE(F597,"" "",""""),""^-?\d+(\.\d+)?""))&lt;=90,VALUE(REGEXEXTRACT"&amp;"(SUBSTITUTE(F597,"" "",""""),""-?\d+(\.\d+)?$""))&gt;=-180,VALUE(REGEXEXTRACT(SUBSTITUTE(F597,"" "",""""),""-?\d+(\.\d+)?$""))&lt;=180),""OK"",""REVISAR"")"),"#N/A")</f>
        <v>#N/A</v>
      </c>
    </row>
    <row r="598" ht="15.75" customHeight="1">
      <c r="A598" s="5" t="str">
        <f t="shared" si="1"/>
        <v>AD507-0596</v>
      </c>
      <c r="C598" s="5"/>
      <c r="F598" s="5"/>
      <c r="G598" s="5" t="str">
        <f t="shared" si="2"/>
        <v/>
      </c>
      <c r="H598" s="5" t="str">
        <f t="shared" si="3"/>
        <v/>
      </c>
      <c r="I598" s="5" t="str">
        <f t="shared" si="4"/>
        <v/>
      </c>
      <c r="J598" s="5" t="str">
        <f t="shared" si="5"/>
        <v/>
      </c>
      <c r="K598" s="5" t="str">
        <f>IFERROR(__xludf.DUMMYFUNCTION("IF(C598&lt;&gt;"""",HYPERLINK(""https://wa.me/507""&amp;REGEXREPLACE(C598,""[^0-9]"","""")&amp;""?text=""&amp;ENCODEURL(""Ya llegue. Codigo: ""&amp;A598&amp;"". Ubicacion: ""&amp;""https://www.google.com/maps/search/?api=1&amp;query=""&amp;SUBSTITUTE(F598,"" "","""")),""📲 Avisar al cliente"""&amp;"),"""")"),"")</f>
        <v/>
      </c>
      <c r="L598" s="5" t="str">
        <f>IFERROR(__xludf.DUMMYFUNCTION("IF(C598&lt;&gt;"""",""https://api.qrserver.com/v1/create-qr-code/?size=200x200&amp;data=""&amp;ENCODEURL(""https://wa.me/507""&amp;REGEXREPLACE(C598,""[^0-9]"","""")&amp;""?text=""&amp;ENCODEURL(""Ya llegue. Codigo: ""&amp;A598&amp;"". Ubicacion: ""&amp;""https://www.google.com/maps/search/?a"&amp;"pi=1&amp;query=""&amp;SUBSTITUTE(F598,"" "",""""))),"""")"),"")</f>
        <v/>
      </c>
      <c r="M598" s="5" t="str">
        <f t="shared" si="6"/>
        <v/>
      </c>
      <c r="N598" s="5" t="str">
        <f>IFERROR(__xludf.DUMMYFUNCTION("IF(AND(F598&lt;&gt;"""",REGEXMATCH(SUBSTITUTE(F598,"" "",""""),""^-?\d+(\.\d+)?,-?\d+(\.\d+)?$""),VALUE(REGEXEXTRACT(SUBSTITUTE(F598,"" "",""""),""^-?\d+(\.\d+)?""))&gt;=-90,VALUE(REGEXEXTRACT(SUBSTITUTE(F598,"" "",""""),""^-?\d+(\.\d+)?""))&lt;=90,VALUE(REGEXEXTRACT"&amp;"(SUBSTITUTE(F598,"" "",""""),""-?\d+(\.\d+)?$""))&gt;=-180,VALUE(REGEXEXTRACT(SUBSTITUTE(F598,"" "",""""),""-?\d+(\.\d+)?$""))&lt;=180),""OK"",""REVISAR"")"),"#N/A")</f>
        <v>#N/A</v>
      </c>
    </row>
    <row r="599" ht="15.75" customHeight="1">
      <c r="A599" s="5" t="str">
        <f t="shared" si="1"/>
        <v>AD507-0597</v>
      </c>
      <c r="C599" s="5"/>
      <c r="F599" s="5"/>
      <c r="G599" s="5" t="str">
        <f t="shared" si="2"/>
        <v/>
      </c>
      <c r="H599" s="5" t="str">
        <f t="shared" si="3"/>
        <v/>
      </c>
      <c r="I599" s="5" t="str">
        <f t="shared" si="4"/>
        <v/>
      </c>
      <c r="J599" s="5" t="str">
        <f t="shared" si="5"/>
        <v/>
      </c>
      <c r="K599" s="5" t="str">
        <f>IFERROR(__xludf.DUMMYFUNCTION("IF(C599&lt;&gt;"""",HYPERLINK(""https://wa.me/507""&amp;REGEXREPLACE(C599,""[^0-9]"","""")&amp;""?text=""&amp;ENCODEURL(""Ya llegue. Codigo: ""&amp;A599&amp;"". Ubicacion: ""&amp;""https://www.google.com/maps/search/?api=1&amp;query=""&amp;SUBSTITUTE(F599,"" "","""")),""📲 Avisar al cliente"""&amp;"),"""")"),"")</f>
        <v/>
      </c>
      <c r="L599" s="5" t="str">
        <f>IFERROR(__xludf.DUMMYFUNCTION("IF(C599&lt;&gt;"""",""https://api.qrserver.com/v1/create-qr-code/?size=200x200&amp;data=""&amp;ENCODEURL(""https://wa.me/507""&amp;REGEXREPLACE(C599,""[^0-9]"","""")&amp;""?text=""&amp;ENCODEURL(""Ya llegue. Codigo: ""&amp;A599&amp;"". Ubicacion: ""&amp;""https://www.google.com/maps/search/?a"&amp;"pi=1&amp;query=""&amp;SUBSTITUTE(F599,"" "",""""))),"""")"),"")</f>
        <v/>
      </c>
      <c r="M599" s="5" t="str">
        <f t="shared" si="6"/>
        <v/>
      </c>
      <c r="N599" s="5" t="str">
        <f>IFERROR(__xludf.DUMMYFUNCTION("IF(AND(F599&lt;&gt;"""",REGEXMATCH(SUBSTITUTE(F599,"" "",""""),""^-?\d+(\.\d+)?,-?\d+(\.\d+)?$""),VALUE(REGEXEXTRACT(SUBSTITUTE(F599,"" "",""""),""^-?\d+(\.\d+)?""))&gt;=-90,VALUE(REGEXEXTRACT(SUBSTITUTE(F599,"" "",""""),""^-?\d+(\.\d+)?""))&lt;=90,VALUE(REGEXEXTRACT"&amp;"(SUBSTITUTE(F599,"" "",""""),""-?\d+(\.\d+)?$""))&gt;=-180,VALUE(REGEXEXTRACT(SUBSTITUTE(F599,"" "",""""),""-?\d+(\.\d+)?$""))&lt;=180),""OK"",""REVISAR"")"),"#N/A")</f>
        <v>#N/A</v>
      </c>
    </row>
    <row r="600" ht="15.75" customHeight="1">
      <c r="A600" s="5" t="str">
        <f t="shared" si="1"/>
        <v>AD507-0598</v>
      </c>
      <c r="C600" s="5"/>
      <c r="F600" s="5"/>
      <c r="G600" s="5" t="str">
        <f t="shared" si="2"/>
        <v/>
      </c>
      <c r="H600" s="5" t="str">
        <f t="shared" si="3"/>
        <v/>
      </c>
      <c r="I600" s="5" t="str">
        <f t="shared" si="4"/>
        <v/>
      </c>
      <c r="J600" s="5" t="str">
        <f t="shared" si="5"/>
        <v/>
      </c>
      <c r="K600" s="5" t="str">
        <f>IFERROR(__xludf.DUMMYFUNCTION("IF(C600&lt;&gt;"""",HYPERLINK(""https://wa.me/507""&amp;REGEXREPLACE(C600,""[^0-9]"","""")&amp;""?text=""&amp;ENCODEURL(""Ya llegue. Codigo: ""&amp;A600&amp;"". Ubicacion: ""&amp;""https://www.google.com/maps/search/?api=1&amp;query=""&amp;SUBSTITUTE(F600,"" "","""")),""📲 Avisar al cliente"""&amp;"),"""")"),"")</f>
        <v/>
      </c>
      <c r="L600" s="5" t="str">
        <f>IFERROR(__xludf.DUMMYFUNCTION("IF(C600&lt;&gt;"""",""https://api.qrserver.com/v1/create-qr-code/?size=200x200&amp;data=""&amp;ENCODEURL(""https://wa.me/507""&amp;REGEXREPLACE(C600,""[^0-9]"","""")&amp;""?text=""&amp;ENCODEURL(""Ya llegue. Codigo: ""&amp;A600&amp;"". Ubicacion: ""&amp;""https://www.google.com/maps/search/?a"&amp;"pi=1&amp;query=""&amp;SUBSTITUTE(F600,"" "",""""))),"""")"),"")</f>
        <v/>
      </c>
      <c r="M600" s="5" t="str">
        <f t="shared" si="6"/>
        <v/>
      </c>
      <c r="N600" s="5" t="str">
        <f>IFERROR(__xludf.DUMMYFUNCTION("IF(AND(F600&lt;&gt;"""",REGEXMATCH(SUBSTITUTE(F600,"" "",""""),""^-?\d+(\.\d+)?,-?\d+(\.\d+)?$""),VALUE(REGEXEXTRACT(SUBSTITUTE(F600,"" "",""""),""^-?\d+(\.\d+)?""))&gt;=-90,VALUE(REGEXEXTRACT(SUBSTITUTE(F600,"" "",""""),""^-?\d+(\.\d+)?""))&lt;=90,VALUE(REGEXEXTRACT"&amp;"(SUBSTITUTE(F600,"" "",""""),""-?\d+(\.\d+)?$""))&gt;=-180,VALUE(REGEXEXTRACT(SUBSTITUTE(F600,"" "",""""),""-?\d+(\.\d+)?$""))&lt;=180),""OK"",""REVISAR"")"),"#N/A")</f>
        <v>#N/A</v>
      </c>
    </row>
    <row r="601" ht="15.75" customHeight="1">
      <c r="A601" s="5" t="str">
        <f t="shared" si="1"/>
        <v>AD507-0599</v>
      </c>
      <c r="C601" s="5"/>
      <c r="F601" s="5"/>
      <c r="G601" s="5" t="str">
        <f t="shared" si="2"/>
        <v/>
      </c>
      <c r="H601" s="5" t="str">
        <f t="shared" si="3"/>
        <v/>
      </c>
      <c r="I601" s="5" t="str">
        <f t="shared" si="4"/>
        <v/>
      </c>
      <c r="J601" s="5" t="str">
        <f t="shared" si="5"/>
        <v/>
      </c>
      <c r="K601" s="5" t="str">
        <f>IFERROR(__xludf.DUMMYFUNCTION("IF(C601&lt;&gt;"""",HYPERLINK(""https://wa.me/507""&amp;REGEXREPLACE(C601,""[^0-9]"","""")&amp;""?text=""&amp;ENCODEURL(""Ya llegue. Codigo: ""&amp;A601&amp;"". Ubicacion: ""&amp;""https://www.google.com/maps/search/?api=1&amp;query=""&amp;SUBSTITUTE(F601,"" "","""")),""📲 Avisar al cliente"""&amp;"),"""")"),"")</f>
        <v/>
      </c>
      <c r="L601" s="5" t="str">
        <f>IFERROR(__xludf.DUMMYFUNCTION("IF(C601&lt;&gt;"""",""https://api.qrserver.com/v1/create-qr-code/?size=200x200&amp;data=""&amp;ENCODEURL(""https://wa.me/507""&amp;REGEXREPLACE(C601,""[^0-9]"","""")&amp;""?text=""&amp;ENCODEURL(""Ya llegue. Codigo: ""&amp;A601&amp;"". Ubicacion: ""&amp;""https://www.google.com/maps/search/?a"&amp;"pi=1&amp;query=""&amp;SUBSTITUTE(F601,"" "",""""))),"""")"),"")</f>
        <v/>
      </c>
      <c r="M601" s="5" t="str">
        <f t="shared" si="6"/>
        <v/>
      </c>
      <c r="N601" s="5" t="str">
        <f>IFERROR(__xludf.DUMMYFUNCTION("IF(AND(F601&lt;&gt;"""",REGEXMATCH(SUBSTITUTE(F601,"" "",""""),""^-?\d+(\.\d+)?,-?\d+(\.\d+)?$""),VALUE(REGEXEXTRACT(SUBSTITUTE(F601,"" "",""""),""^-?\d+(\.\d+)?""))&gt;=-90,VALUE(REGEXEXTRACT(SUBSTITUTE(F601,"" "",""""),""^-?\d+(\.\d+)?""))&lt;=90,VALUE(REGEXEXTRACT"&amp;"(SUBSTITUTE(F601,"" "",""""),""-?\d+(\.\d+)?$""))&gt;=-180,VALUE(REGEXEXTRACT(SUBSTITUTE(F601,"" "",""""),""-?\d+(\.\d+)?$""))&lt;=180),""OK"",""REVISAR"")"),"#N/A")</f>
        <v>#N/A</v>
      </c>
    </row>
    <row r="602" ht="15.75" customHeight="1">
      <c r="A602" s="5" t="str">
        <f t="shared" si="1"/>
        <v>AD507-0600</v>
      </c>
      <c r="C602" s="5"/>
      <c r="F602" s="5"/>
      <c r="G602" s="5" t="str">
        <f t="shared" si="2"/>
        <v/>
      </c>
      <c r="H602" s="5" t="str">
        <f t="shared" si="3"/>
        <v/>
      </c>
      <c r="I602" s="5" t="str">
        <f t="shared" si="4"/>
        <v/>
      </c>
      <c r="J602" s="5" t="str">
        <f t="shared" si="5"/>
        <v/>
      </c>
      <c r="K602" s="5" t="str">
        <f>IFERROR(__xludf.DUMMYFUNCTION("IF(C602&lt;&gt;"""",HYPERLINK(""https://wa.me/507""&amp;REGEXREPLACE(C602,""[^0-9]"","""")&amp;""?text=""&amp;ENCODEURL(""Ya llegue. Codigo: ""&amp;A602&amp;"". Ubicacion: ""&amp;""https://www.google.com/maps/search/?api=1&amp;query=""&amp;SUBSTITUTE(F602,"" "","""")),""📲 Avisar al cliente"""&amp;"),"""")"),"")</f>
        <v/>
      </c>
      <c r="L602" s="5" t="str">
        <f>IFERROR(__xludf.DUMMYFUNCTION("IF(C602&lt;&gt;"""",""https://api.qrserver.com/v1/create-qr-code/?size=200x200&amp;data=""&amp;ENCODEURL(""https://wa.me/507""&amp;REGEXREPLACE(C602,""[^0-9]"","""")&amp;""?text=""&amp;ENCODEURL(""Ya llegue. Codigo: ""&amp;A602&amp;"". Ubicacion: ""&amp;""https://www.google.com/maps/search/?a"&amp;"pi=1&amp;query=""&amp;SUBSTITUTE(F602,"" "",""""))),"""")"),"")</f>
        <v/>
      </c>
      <c r="M602" s="5" t="str">
        <f t="shared" si="6"/>
        <v/>
      </c>
      <c r="N602" s="5" t="str">
        <f>IFERROR(__xludf.DUMMYFUNCTION("IF(AND(F602&lt;&gt;"""",REGEXMATCH(SUBSTITUTE(F602,"" "",""""),""^-?\d+(\.\d+)?,-?\d+(\.\d+)?$""),VALUE(REGEXEXTRACT(SUBSTITUTE(F602,"" "",""""),""^-?\d+(\.\d+)?""))&gt;=-90,VALUE(REGEXEXTRACT(SUBSTITUTE(F602,"" "",""""),""^-?\d+(\.\d+)?""))&lt;=90,VALUE(REGEXEXTRACT"&amp;"(SUBSTITUTE(F602,"" "",""""),""-?\d+(\.\d+)?$""))&gt;=-180,VALUE(REGEXEXTRACT(SUBSTITUTE(F602,"" "",""""),""-?\d+(\.\d+)?$""))&lt;=180),""OK"",""REVISAR"")"),"#N/A")</f>
        <v>#N/A</v>
      </c>
    </row>
    <row r="603" ht="15.75" customHeight="1">
      <c r="A603" s="5" t="str">
        <f t="shared" si="1"/>
        <v>AD507-0601</v>
      </c>
      <c r="C603" s="5"/>
      <c r="F603" s="5"/>
      <c r="G603" s="5" t="str">
        <f t="shared" si="2"/>
        <v/>
      </c>
      <c r="H603" s="5" t="str">
        <f t="shared" si="3"/>
        <v/>
      </c>
      <c r="I603" s="5" t="str">
        <f t="shared" si="4"/>
        <v/>
      </c>
      <c r="J603" s="5" t="str">
        <f t="shared" si="5"/>
        <v/>
      </c>
      <c r="K603" s="5" t="str">
        <f>IFERROR(__xludf.DUMMYFUNCTION("IF(C603&lt;&gt;"""",HYPERLINK(""https://wa.me/507""&amp;REGEXREPLACE(C603,""[^0-9]"","""")&amp;""?text=""&amp;ENCODEURL(""Ya llegue. Codigo: ""&amp;A603&amp;"". Ubicacion: ""&amp;""https://www.google.com/maps/search/?api=1&amp;query=""&amp;SUBSTITUTE(F603,"" "","""")),""📲 Avisar al cliente"""&amp;"),"""")"),"")</f>
        <v/>
      </c>
      <c r="L603" s="5" t="str">
        <f>IFERROR(__xludf.DUMMYFUNCTION("IF(C603&lt;&gt;"""",""https://api.qrserver.com/v1/create-qr-code/?size=200x200&amp;data=""&amp;ENCODEURL(""https://wa.me/507""&amp;REGEXREPLACE(C603,""[^0-9]"","""")&amp;""?text=""&amp;ENCODEURL(""Ya llegue. Codigo: ""&amp;A603&amp;"". Ubicacion: ""&amp;""https://www.google.com/maps/search/?a"&amp;"pi=1&amp;query=""&amp;SUBSTITUTE(F603,"" "",""""))),"""")"),"")</f>
        <v/>
      </c>
      <c r="M603" s="5" t="str">
        <f t="shared" si="6"/>
        <v/>
      </c>
      <c r="N603" s="5" t="str">
        <f>IFERROR(__xludf.DUMMYFUNCTION("IF(AND(F603&lt;&gt;"""",REGEXMATCH(SUBSTITUTE(F603,"" "",""""),""^-?\d+(\.\d+)?,-?\d+(\.\d+)?$""),VALUE(REGEXEXTRACT(SUBSTITUTE(F603,"" "",""""),""^-?\d+(\.\d+)?""))&gt;=-90,VALUE(REGEXEXTRACT(SUBSTITUTE(F603,"" "",""""),""^-?\d+(\.\d+)?""))&lt;=90,VALUE(REGEXEXTRACT"&amp;"(SUBSTITUTE(F603,"" "",""""),""-?\d+(\.\d+)?$""))&gt;=-180,VALUE(REGEXEXTRACT(SUBSTITUTE(F603,"" "",""""),""-?\d+(\.\d+)?$""))&lt;=180),""OK"",""REVISAR"")"),"#N/A")</f>
        <v>#N/A</v>
      </c>
    </row>
    <row r="604" ht="15.75" customHeight="1">
      <c r="A604" s="5" t="str">
        <f t="shared" si="1"/>
        <v>AD507-0602</v>
      </c>
      <c r="C604" s="5"/>
      <c r="F604" s="5"/>
      <c r="G604" s="5" t="str">
        <f t="shared" si="2"/>
        <v/>
      </c>
      <c r="H604" s="5" t="str">
        <f t="shared" si="3"/>
        <v/>
      </c>
      <c r="I604" s="5" t="str">
        <f t="shared" si="4"/>
        <v/>
      </c>
      <c r="J604" s="5" t="str">
        <f t="shared" si="5"/>
        <v/>
      </c>
      <c r="K604" s="5" t="str">
        <f>IFERROR(__xludf.DUMMYFUNCTION("IF(C604&lt;&gt;"""",HYPERLINK(""https://wa.me/507""&amp;REGEXREPLACE(C604,""[^0-9]"","""")&amp;""?text=""&amp;ENCODEURL(""Ya llegue. Codigo: ""&amp;A604&amp;"". Ubicacion: ""&amp;""https://www.google.com/maps/search/?api=1&amp;query=""&amp;SUBSTITUTE(F604,"" "","""")),""📲 Avisar al cliente"""&amp;"),"""")"),"")</f>
        <v/>
      </c>
      <c r="L604" s="5" t="str">
        <f>IFERROR(__xludf.DUMMYFUNCTION("IF(C604&lt;&gt;"""",""https://api.qrserver.com/v1/create-qr-code/?size=200x200&amp;data=""&amp;ENCODEURL(""https://wa.me/507""&amp;REGEXREPLACE(C604,""[^0-9]"","""")&amp;""?text=""&amp;ENCODEURL(""Ya llegue. Codigo: ""&amp;A604&amp;"". Ubicacion: ""&amp;""https://www.google.com/maps/search/?a"&amp;"pi=1&amp;query=""&amp;SUBSTITUTE(F604,"" "",""""))),"""")"),"")</f>
        <v/>
      </c>
      <c r="M604" s="5" t="str">
        <f t="shared" si="6"/>
        <v/>
      </c>
      <c r="N604" s="5" t="str">
        <f>IFERROR(__xludf.DUMMYFUNCTION("IF(AND(F604&lt;&gt;"""",REGEXMATCH(SUBSTITUTE(F604,"" "",""""),""^-?\d+(\.\d+)?,-?\d+(\.\d+)?$""),VALUE(REGEXEXTRACT(SUBSTITUTE(F604,"" "",""""),""^-?\d+(\.\d+)?""))&gt;=-90,VALUE(REGEXEXTRACT(SUBSTITUTE(F604,"" "",""""),""^-?\d+(\.\d+)?""))&lt;=90,VALUE(REGEXEXTRACT"&amp;"(SUBSTITUTE(F604,"" "",""""),""-?\d+(\.\d+)?$""))&gt;=-180,VALUE(REGEXEXTRACT(SUBSTITUTE(F604,"" "",""""),""-?\d+(\.\d+)?$""))&lt;=180),""OK"",""REVISAR"")"),"#N/A")</f>
        <v>#N/A</v>
      </c>
    </row>
    <row r="605" ht="15.75" customHeight="1">
      <c r="A605" s="5" t="str">
        <f t="shared" si="1"/>
        <v>AD507-0603</v>
      </c>
      <c r="C605" s="5"/>
      <c r="F605" s="5"/>
      <c r="G605" s="5" t="str">
        <f t="shared" si="2"/>
        <v/>
      </c>
      <c r="H605" s="5" t="str">
        <f t="shared" si="3"/>
        <v/>
      </c>
      <c r="I605" s="5" t="str">
        <f t="shared" si="4"/>
        <v/>
      </c>
      <c r="J605" s="5" t="str">
        <f t="shared" si="5"/>
        <v/>
      </c>
      <c r="K605" s="5" t="str">
        <f>IFERROR(__xludf.DUMMYFUNCTION("IF(C605&lt;&gt;"""",HYPERLINK(""https://wa.me/507""&amp;REGEXREPLACE(C605,""[^0-9]"","""")&amp;""?text=""&amp;ENCODEURL(""Ya llegue. Codigo: ""&amp;A605&amp;"". Ubicacion: ""&amp;""https://www.google.com/maps/search/?api=1&amp;query=""&amp;SUBSTITUTE(F605,"" "","""")),""📲 Avisar al cliente"""&amp;"),"""")"),"")</f>
        <v/>
      </c>
      <c r="L605" s="5" t="str">
        <f>IFERROR(__xludf.DUMMYFUNCTION("IF(C605&lt;&gt;"""",""https://api.qrserver.com/v1/create-qr-code/?size=200x200&amp;data=""&amp;ENCODEURL(""https://wa.me/507""&amp;REGEXREPLACE(C605,""[^0-9]"","""")&amp;""?text=""&amp;ENCODEURL(""Ya llegue. Codigo: ""&amp;A605&amp;"". Ubicacion: ""&amp;""https://www.google.com/maps/search/?a"&amp;"pi=1&amp;query=""&amp;SUBSTITUTE(F605,"" "",""""))),"""")"),"")</f>
        <v/>
      </c>
      <c r="M605" s="5" t="str">
        <f t="shared" si="6"/>
        <v/>
      </c>
      <c r="N605" s="5" t="str">
        <f>IFERROR(__xludf.DUMMYFUNCTION("IF(AND(F605&lt;&gt;"""",REGEXMATCH(SUBSTITUTE(F605,"" "",""""),""^-?\d+(\.\d+)?,-?\d+(\.\d+)?$""),VALUE(REGEXEXTRACT(SUBSTITUTE(F605,"" "",""""),""^-?\d+(\.\d+)?""))&gt;=-90,VALUE(REGEXEXTRACT(SUBSTITUTE(F605,"" "",""""),""^-?\d+(\.\d+)?""))&lt;=90,VALUE(REGEXEXTRACT"&amp;"(SUBSTITUTE(F605,"" "",""""),""-?\d+(\.\d+)?$""))&gt;=-180,VALUE(REGEXEXTRACT(SUBSTITUTE(F605,"" "",""""),""-?\d+(\.\d+)?$""))&lt;=180),""OK"",""REVISAR"")"),"#N/A")</f>
        <v>#N/A</v>
      </c>
    </row>
    <row r="606" ht="15.75" customHeight="1">
      <c r="A606" s="5" t="str">
        <f t="shared" si="1"/>
        <v>AD507-0604</v>
      </c>
      <c r="C606" s="5"/>
      <c r="F606" s="5"/>
      <c r="G606" s="5" t="str">
        <f t="shared" si="2"/>
        <v/>
      </c>
      <c r="H606" s="5" t="str">
        <f t="shared" si="3"/>
        <v/>
      </c>
      <c r="I606" s="5" t="str">
        <f t="shared" si="4"/>
        <v/>
      </c>
      <c r="J606" s="5" t="str">
        <f t="shared" si="5"/>
        <v/>
      </c>
      <c r="K606" s="5" t="str">
        <f>IFERROR(__xludf.DUMMYFUNCTION("IF(C606&lt;&gt;"""",HYPERLINK(""https://wa.me/507""&amp;REGEXREPLACE(C606,""[^0-9]"","""")&amp;""?text=""&amp;ENCODEURL(""Ya llegue. Codigo: ""&amp;A606&amp;"". Ubicacion: ""&amp;""https://www.google.com/maps/search/?api=1&amp;query=""&amp;SUBSTITUTE(F606,"" "","""")),""📲 Avisar al cliente"""&amp;"),"""")"),"")</f>
        <v/>
      </c>
      <c r="L606" s="5" t="str">
        <f>IFERROR(__xludf.DUMMYFUNCTION("IF(C606&lt;&gt;"""",""https://api.qrserver.com/v1/create-qr-code/?size=200x200&amp;data=""&amp;ENCODEURL(""https://wa.me/507""&amp;REGEXREPLACE(C606,""[^0-9]"","""")&amp;""?text=""&amp;ENCODEURL(""Ya llegue. Codigo: ""&amp;A606&amp;"". Ubicacion: ""&amp;""https://www.google.com/maps/search/?a"&amp;"pi=1&amp;query=""&amp;SUBSTITUTE(F606,"" "",""""))),"""")"),"")</f>
        <v/>
      </c>
      <c r="M606" s="5" t="str">
        <f t="shared" si="6"/>
        <v/>
      </c>
      <c r="N606" s="5" t="str">
        <f>IFERROR(__xludf.DUMMYFUNCTION("IF(AND(F606&lt;&gt;"""",REGEXMATCH(SUBSTITUTE(F606,"" "",""""),""^-?\d+(\.\d+)?,-?\d+(\.\d+)?$""),VALUE(REGEXEXTRACT(SUBSTITUTE(F606,"" "",""""),""^-?\d+(\.\d+)?""))&gt;=-90,VALUE(REGEXEXTRACT(SUBSTITUTE(F606,"" "",""""),""^-?\d+(\.\d+)?""))&lt;=90,VALUE(REGEXEXTRACT"&amp;"(SUBSTITUTE(F606,"" "",""""),""-?\d+(\.\d+)?$""))&gt;=-180,VALUE(REGEXEXTRACT(SUBSTITUTE(F606,"" "",""""),""-?\d+(\.\d+)?$""))&lt;=180),""OK"",""REVISAR"")"),"#N/A")</f>
        <v>#N/A</v>
      </c>
    </row>
    <row r="607" ht="15.75" customHeight="1">
      <c r="A607" s="5" t="str">
        <f t="shared" si="1"/>
        <v>AD507-0605</v>
      </c>
      <c r="C607" s="5"/>
      <c r="F607" s="5"/>
      <c r="G607" s="5" t="str">
        <f t="shared" si="2"/>
        <v/>
      </c>
      <c r="H607" s="5" t="str">
        <f t="shared" si="3"/>
        <v/>
      </c>
      <c r="I607" s="5" t="str">
        <f t="shared" si="4"/>
        <v/>
      </c>
      <c r="J607" s="5" t="str">
        <f t="shared" si="5"/>
        <v/>
      </c>
      <c r="K607" s="5" t="str">
        <f>IFERROR(__xludf.DUMMYFUNCTION("IF(C607&lt;&gt;"""",HYPERLINK(""https://wa.me/507""&amp;REGEXREPLACE(C607,""[^0-9]"","""")&amp;""?text=""&amp;ENCODEURL(""Ya llegue. Codigo: ""&amp;A607&amp;"". Ubicacion: ""&amp;""https://www.google.com/maps/search/?api=1&amp;query=""&amp;SUBSTITUTE(F607,"" "","""")),""📲 Avisar al cliente"""&amp;"),"""")"),"")</f>
        <v/>
      </c>
      <c r="L607" s="5" t="str">
        <f>IFERROR(__xludf.DUMMYFUNCTION("IF(C607&lt;&gt;"""",""https://api.qrserver.com/v1/create-qr-code/?size=200x200&amp;data=""&amp;ENCODEURL(""https://wa.me/507""&amp;REGEXREPLACE(C607,""[^0-9]"","""")&amp;""?text=""&amp;ENCODEURL(""Ya llegue. Codigo: ""&amp;A607&amp;"". Ubicacion: ""&amp;""https://www.google.com/maps/search/?a"&amp;"pi=1&amp;query=""&amp;SUBSTITUTE(F607,"" "",""""))),"""")"),"")</f>
        <v/>
      </c>
      <c r="M607" s="5" t="str">
        <f t="shared" si="6"/>
        <v/>
      </c>
      <c r="N607" s="5" t="str">
        <f>IFERROR(__xludf.DUMMYFUNCTION("IF(AND(F607&lt;&gt;"""",REGEXMATCH(SUBSTITUTE(F607,"" "",""""),""^-?\d+(\.\d+)?,-?\d+(\.\d+)?$""),VALUE(REGEXEXTRACT(SUBSTITUTE(F607,"" "",""""),""^-?\d+(\.\d+)?""))&gt;=-90,VALUE(REGEXEXTRACT(SUBSTITUTE(F607,"" "",""""),""^-?\d+(\.\d+)?""))&lt;=90,VALUE(REGEXEXTRACT"&amp;"(SUBSTITUTE(F607,"" "",""""),""-?\d+(\.\d+)?$""))&gt;=-180,VALUE(REGEXEXTRACT(SUBSTITUTE(F607,"" "",""""),""-?\d+(\.\d+)?$""))&lt;=180),""OK"",""REVISAR"")"),"#N/A")</f>
        <v>#N/A</v>
      </c>
    </row>
    <row r="608" ht="15.75" customHeight="1">
      <c r="A608" s="5" t="str">
        <f t="shared" si="1"/>
        <v>AD507-0606</v>
      </c>
      <c r="C608" s="5"/>
      <c r="F608" s="5"/>
      <c r="G608" s="5" t="str">
        <f t="shared" si="2"/>
        <v/>
      </c>
      <c r="H608" s="5" t="str">
        <f t="shared" si="3"/>
        <v/>
      </c>
      <c r="I608" s="5" t="str">
        <f t="shared" si="4"/>
        <v/>
      </c>
      <c r="J608" s="5" t="str">
        <f t="shared" si="5"/>
        <v/>
      </c>
      <c r="K608" s="5" t="str">
        <f>IFERROR(__xludf.DUMMYFUNCTION("IF(C608&lt;&gt;"""",HYPERLINK(""https://wa.me/507""&amp;REGEXREPLACE(C608,""[^0-9]"","""")&amp;""?text=""&amp;ENCODEURL(""Ya llegue. Codigo: ""&amp;A608&amp;"". Ubicacion: ""&amp;""https://www.google.com/maps/search/?api=1&amp;query=""&amp;SUBSTITUTE(F608,"" "","""")),""📲 Avisar al cliente"""&amp;"),"""")"),"")</f>
        <v/>
      </c>
      <c r="L608" s="5" t="str">
        <f>IFERROR(__xludf.DUMMYFUNCTION("IF(C608&lt;&gt;"""",""https://api.qrserver.com/v1/create-qr-code/?size=200x200&amp;data=""&amp;ENCODEURL(""https://wa.me/507""&amp;REGEXREPLACE(C608,""[^0-9]"","""")&amp;""?text=""&amp;ENCODEURL(""Ya llegue. Codigo: ""&amp;A608&amp;"". Ubicacion: ""&amp;""https://www.google.com/maps/search/?a"&amp;"pi=1&amp;query=""&amp;SUBSTITUTE(F608,"" "",""""))),"""")"),"")</f>
        <v/>
      </c>
      <c r="M608" s="5" t="str">
        <f t="shared" si="6"/>
        <v/>
      </c>
      <c r="N608" s="5" t="str">
        <f>IFERROR(__xludf.DUMMYFUNCTION("IF(AND(F608&lt;&gt;"""",REGEXMATCH(SUBSTITUTE(F608,"" "",""""),""^-?\d+(\.\d+)?,-?\d+(\.\d+)?$""),VALUE(REGEXEXTRACT(SUBSTITUTE(F608,"" "",""""),""^-?\d+(\.\d+)?""))&gt;=-90,VALUE(REGEXEXTRACT(SUBSTITUTE(F608,"" "",""""),""^-?\d+(\.\d+)?""))&lt;=90,VALUE(REGEXEXTRACT"&amp;"(SUBSTITUTE(F608,"" "",""""),""-?\d+(\.\d+)?$""))&gt;=-180,VALUE(REGEXEXTRACT(SUBSTITUTE(F608,"" "",""""),""-?\d+(\.\d+)?$""))&lt;=180),""OK"",""REVISAR"")"),"#N/A")</f>
        <v>#N/A</v>
      </c>
    </row>
    <row r="609" ht="15.75" customHeight="1">
      <c r="A609" s="5" t="str">
        <f t="shared" si="1"/>
        <v>AD507-0607</v>
      </c>
      <c r="C609" s="5"/>
      <c r="F609" s="5"/>
      <c r="G609" s="5" t="str">
        <f t="shared" si="2"/>
        <v/>
      </c>
      <c r="H609" s="5" t="str">
        <f t="shared" si="3"/>
        <v/>
      </c>
      <c r="I609" s="5" t="str">
        <f t="shared" si="4"/>
        <v/>
      </c>
      <c r="J609" s="5" t="str">
        <f t="shared" si="5"/>
        <v/>
      </c>
      <c r="K609" s="5" t="str">
        <f>IFERROR(__xludf.DUMMYFUNCTION("IF(C609&lt;&gt;"""",HYPERLINK(""https://wa.me/507""&amp;REGEXREPLACE(C609,""[^0-9]"","""")&amp;""?text=""&amp;ENCODEURL(""Ya llegue. Codigo: ""&amp;A609&amp;"". Ubicacion: ""&amp;""https://www.google.com/maps/search/?api=1&amp;query=""&amp;SUBSTITUTE(F609,"" "","""")),""📲 Avisar al cliente"""&amp;"),"""")"),"")</f>
        <v/>
      </c>
      <c r="L609" s="5" t="str">
        <f>IFERROR(__xludf.DUMMYFUNCTION("IF(C609&lt;&gt;"""",""https://api.qrserver.com/v1/create-qr-code/?size=200x200&amp;data=""&amp;ENCODEURL(""https://wa.me/507""&amp;REGEXREPLACE(C609,""[^0-9]"","""")&amp;""?text=""&amp;ENCODEURL(""Ya llegue. Codigo: ""&amp;A609&amp;"". Ubicacion: ""&amp;""https://www.google.com/maps/search/?a"&amp;"pi=1&amp;query=""&amp;SUBSTITUTE(F609,"" "",""""))),"""")"),"")</f>
        <v/>
      </c>
      <c r="M609" s="5" t="str">
        <f t="shared" si="6"/>
        <v/>
      </c>
      <c r="N609" s="5" t="str">
        <f>IFERROR(__xludf.DUMMYFUNCTION("IF(AND(F609&lt;&gt;"""",REGEXMATCH(SUBSTITUTE(F609,"" "",""""),""^-?\d+(\.\d+)?,-?\d+(\.\d+)?$""),VALUE(REGEXEXTRACT(SUBSTITUTE(F609,"" "",""""),""^-?\d+(\.\d+)?""))&gt;=-90,VALUE(REGEXEXTRACT(SUBSTITUTE(F609,"" "",""""),""^-?\d+(\.\d+)?""))&lt;=90,VALUE(REGEXEXTRACT"&amp;"(SUBSTITUTE(F609,"" "",""""),""-?\d+(\.\d+)?$""))&gt;=-180,VALUE(REGEXEXTRACT(SUBSTITUTE(F609,"" "",""""),""-?\d+(\.\d+)?$""))&lt;=180),""OK"",""REVISAR"")"),"#N/A")</f>
        <v>#N/A</v>
      </c>
    </row>
    <row r="610" ht="15.75" customHeight="1">
      <c r="A610" s="5" t="str">
        <f t="shared" si="1"/>
        <v>AD507-0608</v>
      </c>
      <c r="C610" s="5"/>
      <c r="F610" s="5"/>
      <c r="G610" s="5" t="str">
        <f t="shared" si="2"/>
        <v/>
      </c>
      <c r="H610" s="5" t="str">
        <f t="shared" si="3"/>
        <v/>
      </c>
      <c r="I610" s="5" t="str">
        <f t="shared" si="4"/>
        <v/>
      </c>
      <c r="J610" s="5" t="str">
        <f t="shared" si="5"/>
        <v/>
      </c>
      <c r="K610" s="5" t="str">
        <f>IFERROR(__xludf.DUMMYFUNCTION("IF(C610&lt;&gt;"""",HYPERLINK(""https://wa.me/507""&amp;REGEXREPLACE(C610,""[^0-9]"","""")&amp;""?text=""&amp;ENCODEURL(""Ya llegue. Codigo: ""&amp;A610&amp;"". Ubicacion: ""&amp;""https://www.google.com/maps/search/?api=1&amp;query=""&amp;SUBSTITUTE(F610,"" "","""")),""📲 Avisar al cliente"""&amp;"),"""")"),"")</f>
        <v/>
      </c>
      <c r="L610" s="5" t="str">
        <f>IFERROR(__xludf.DUMMYFUNCTION("IF(C610&lt;&gt;"""",""https://api.qrserver.com/v1/create-qr-code/?size=200x200&amp;data=""&amp;ENCODEURL(""https://wa.me/507""&amp;REGEXREPLACE(C610,""[^0-9]"","""")&amp;""?text=""&amp;ENCODEURL(""Ya llegue. Codigo: ""&amp;A610&amp;"". Ubicacion: ""&amp;""https://www.google.com/maps/search/?a"&amp;"pi=1&amp;query=""&amp;SUBSTITUTE(F610,"" "",""""))),"""")"),"")</f>
        <v/>
      </c>
      <c r="M610" s="5" t="str">
        <f t="shared" si="6"/>
        <v/>
      </c>
      <c r="N610" s="5" t="str">
        <f>IFERROR(__xludf.DUMMYFUNCTION("IF(AND(F610&lt;&gt;"""",REGEXMATCH(SUBSTITUTE(F610,"" "",""""),""^-?\d+(\.\d+)?,-?\d+(\.\d+)?$""),VALUE(REGEXEXTRACT(SUBSTITUTE(F610,"" "",""""),""^-?\d+(\.\d+)?""))&gt;=-90,VALUE(REGEXEXTRACT(SUBSTITUTE(F610,"" "",""""),""^-?\d+(\.\d+)?""))&lt;=90,VALUE(REGEXEXTRACT"&amp;"(SUBSTITUTE(F610,"" "",""""),""-?\d+(\.\d+)?$""))&gt;=-180,VALUE(REGEXEXTRACT(SUBSTITUTE(F610,"" "",""""),""-?\d+(\.\d+)?$""))&lt;=180),""OK"",""REVISAR"")"),"#N/A")</f>
        <v>#N/A</v>
      </c>
    </row>
    <row r="611" ht="15.75" customHeight="1">
      <c r="A611" s="5" t="str">
        <f t="shared" si="1"/>
        <v>AD507-0609</v>
      </c>
      <c r="C611" s="5"/>
      <c r="F611" s="5"/>
      <c r="G611" s="5" t="str">
        <f t="shared" si="2"/>
        <v/>
      </c>
      <c r="H611" s="5" t="str">
        <f t="shared" si="3"/>
        <v/>
      </c>
      <c r="I611" s="5" t="str">
        <f t="shared" si="4"/>
        <v/>
      </c>
      <c r="J611" s="5" t="str">
        <f t="shared" si="5"/>
        <v/>
      </c>
      <c r="K611" s="5" t="str">
        <f>IFERROR(__xludf.DUMMYFUNCTION("IF(C611&lt;&gt;"""",HYPERLINK(""https://wa.me/507""&amp;REGEXREPLACE(C611,""[^0-9]"","""")&amp;""?text=""&amp;ENCODEURL(""Ya llegue. Codigo: ""&amp;A611&amp;"". Ubicacion: ""&amp;""https://www.google.com/maps/search/?api=1&amp;query=""&amp;SUBSTITUTE(F611,"" "","""")),""📲 Avisar al cliente"""&amp;"),"""")"),"")</f>
        <v/>
      </c>
      <c r="L611" s="5" t="str">
        <f>IFERROR(__xludf.DUMMYFUNCTION("IF(C611&lt;&gt;"""",""https://api.qrserver.com/v1/create-qr-code/?size=200x200&amp;data=""&amp;ENCODEURL(""https://wa.me/507""&amp;REGEXREPLACE(C611,""[^0-9]"","""")&amp;""?text=""&amp;ENCODEURL(""Ya llegue. Codigo: ""&amp;A611&amp;"". Ubicacion: ""&amp;""https://www.google.com/maps/search/?a"&amp;"pi=1&amp;query=""&amp;SUBSTITUTE(F611,"" "",""""))),"""")"),"")</f>
        <v/>
      </c>
      <c r="M611" s="5" t="str">
        <f t="shared" si="6"/>
        <v/>
      </c>
      <c r="N611" s="5" t="str">
        <f>IFERROR(__xludf.DUMMYFUNCTION("IF(AND(F611&lt;&gt;"""",REGEXMATCH(SUBSTITUTE(F611,"" "",""""),""^-?\d+(\.\d+)?,-?\d+(\.\d+)?$""),VALUE(REGEXEXTRACT(SUBSTITUTE(F611,"" "",""""),""^-?\d+(\.\d+)?""))&gt;=-90,VALUE(REGEXEXTRACT(SUBSTITUTE(F611,"" "",""""),""^-?\d+(\.\d+)?""))&lt;=90,VALUE(REGEXEXTRACT"&amp;"(SUBSTITUTE(F611,"" "",""""),""-?\d+(\.\d+)?$""))&gt;=-180,VALUE(REGEXEXTRACT(SUBSTITUTE(F611,"" "",""""),""-?\d+(\.\d+)?$""))&lt;=180),""OK"",""REVISAR"")"),"#N/A")</f>
        <v>#N/A</v>
      </c>
    </row>
    <row r="612" ht="15.75" customHeight="1">
      <c r="A612" s="5" t="str">
        <f t="shared" si="1"/>
        <v>AD507-0610</v>
      </c>
      <c r="C612" s="5"/>
      <c r="F612" s="5"/>
      <c r="G612" s="5" t="str">
        <f t="shared" si="2"/>
        <v/>
      </c>
      <c r="H612" s="5" t="str">
        <f t="shared" si="3"/>
        <v/>
      </c>
      <c r="I612" s="5" t="str">
        <f t="shared" si="4"/>
        <v/>
      </c>
      <c r="J612" s="5" t="str">
        <f t="shared" si="5"/>
        <v/>
      </c>
      <c r="K612" s="5" t="str">
        <f>IFERROR(__xludf.DUMMYFUNCTION("IF(C612&lt;&gt;"""",HYPERLINK(""https://wa.me/507""&amp;REGEXREPLACE(C612,""[^0-9]"","""")&amp;""?text=""&amp;ENCODEURL(""Ya llegue. Codigo: ""&amp;A612&amp;"". Ubicacion: ""&amp;""https://www.google.com/maps/search/?api=1&amp;query=""&amp;SUBSTITUTE(F612,"" "","""")),""📲 Avisar al cliente"""&amp;"),"""")"),"")</f>
        <v/>
      </c>
      <c r="L612" s="5" t="str">
        <f>IFERROR(__xludf.DUMMYFUNCTION("IF(C612&lt;&gt;"""",""https://api.qrserver.com/v1/create-qr-code/?size=200x200&amp;data=""&amp;ENCODEURL(""https://wa.me/507""&amp;REGEXREPLACE(C612,""[^0-9]"","""")&amp;""?text=""&amp;ENCODEURL(""Ya llegue. Codigo: ""&amp;A612&amp;"". Ubicacion: ""&amp;""https://www.google.com/maps/search/?a"&amp;"pi=1&amp;query=""&amp;SUBSTITUTE(F612,"" "",""""))),"""")"),"")</f>
        <v/>
      </c>
      <c r="M612" s="5" t="str">
        <f t="shared" si="6"/>
        <v/>
      </c>
      <c r="N612" s="5" t="str">
        <f>IFERROR(__xludf.DUMMYFUNCTION("IF(AND(F612&lt;&gt;"""",REGEXMATCH(SUBSTITUTE(F612,"" "",""""),""^-?\d+(\.\d+)?,-?\d+(\.\d+)?$""),VALUE(REGEXEXTRACT(SUBSTITUTE(F612,"" "",""""),""^-?\d+(\.\d+)?""))&gt;=-90,VALUE(REGEXEXTRACT(SUBSTITUTE(F612,"" "",""""),""^-?\d+(\.\d+)?""))&lt;=90,VALUE(REGEXEXTRACT"&amp;"(SUBSTITUTE(F612,"" "",""""),""-?\d+(\.\d+)?$""))&gt;=-180,VALUE(REGEXEXTRACT(SUBSTITUTE(F612,"" "",""""),""-?\d+(\.\d+)?$""))&lt;=180),""OK"",""REVISAR"")"),"#N/A")</f>
        <v>#N/A</v>
      </c>
    </row>
    <row r="613" ht="15.75" customHeight="1">
      <c r="A613" s="5" t="str">
        <f t="shared" si="1"/>
        <v>AD507-0611</v>
      </c>
      <c r="C613" s="5"/>
      <c r="F613" s="5"/>
      <c r="G613" s="5" t="str">
        <f t="shared" si="2"/>
        <v/>
      </c>
      <c r="H613" s="5" t="str">
        <f t="shared" si="3"/>
        <v/>
      </c>
      <c r="I613" s="5" t="str">
        <f t="shared" si="4"/>
        <v/>
      </c>
      <c r="J613" s="5" t="str">
        <f t="shared" si="5"/>
        <v/>
      </c>
      <c r="K613" s="5" t="str">
        <f>IFERROR(__xludf.DUMMYFUNCTION("IF(C613&lt;&gt;"""",HYPERLINK(""https://wa.me/507""&amp;REGEXREPLACE(C613,""[^0-9]"","""")&amp;""?text=""&amp;ENCODEURL(""Ya llegue. Codigo: ""&amp;A613&amp;"". Ubicacion: ""&amp;""https://www.google.com/maps/search/?api=1&amp;query=""&amp;SUBSTITUTE(F613,"" "","""")),""📲 Avisar al cliente"""&amp;"),"""")"),"")</f>
        <v/>
      </c>
      <c r="L613" s="5" t="str">
        <f>IFERROR(__xludf.DUMMYFUNCTION("IF(C613&lt;&gt;"""",""https://api.qrserver.com/v1/create-qr-code/?size=200x200&amp;data=""&amp;ENCODEURL(""https://wa.me/507""&amp;REGEXREPLACE(C613,""[^0-9]"","""")&amp;""?text=""&amp;ENCODEURL(""Ya llegue. Codigo: ""&amp;A613&amp;"". Ubicacion: ""&amp;""https://www.google.com/maps/search/?a"&amp;"pi=1&amp;query=""&amp;SUBSTITUTE(F613,"" "",""""))),"""")"),"")</f>
        <v/>
      </c>
      <c r="M613" s="5" t="str">
        <f t="shared" si="6"/>
        <v/>
      </c>
      <c r="N613" s="5" t="str">
        <f>IFERROR(__xludf.DUMMYFUNCTION("IF(AND(F613&lt;&gt;"""",REGEXMATCH(SUBSTITUTE(F613,"" "",""""),""^-?\d+(\.\d+)?,-?\d+(\.\d+)?$""),VALUE(REGEXEXTRACT(SUBSTITUTE(F613,"" "",""""),""^-?\d+(\.\d+)?""))&gt;=-90,VALUE(REGEXEXTRACT(SUBSTITUTE(F613,"" "",""""),""^-?\d+(\.\d+)?""))&lt;=90,VALUE(REGEXEXTRACT"&amp;"(SUBSTITUTE(F613,"" "",""""),""-?\d+(\.\d+)?$""))&gt;=-180,VALUE(REGEXEXTRACT(SUBSTITUTE(F613,"" "",""""),""-?\d+(\.\d+)?$""))&lt;=180),""OK"",""REVISAR"")"),"#N/A")</f>
        <v>#N/A</v>
      </c>
    </row>
    <row r="614" ht="15.75" customHeight="1">
      <c r="A614" s="5" t="str">
        <f t="shared" si="1"/>
        <v>AD507-0612</v>
      </c>
      <c r="C614" s="5"/>
      <c r="F614" s="5"/>
      <c r="G614" s="5" t="str">
        <f t="shared" si="2"/>
        <v/>
      </c>
      <c r="H614" s="5" t="str">
        <f t="shared" si="3"/>
        <v/>
      </c>
      <c r="I614" s="5" t="str">
        <f t="shared" si="4"/>
        <v/>
      </c>
      <c r="J614" s="5" t="str">
        <f t="shared" si="5"/>
        <v/>
      </c>
      <c r="K614" s="5" t="str">
        <f>IFERROR(__xludf.DUMMYFUNCTION("IF(C614&lt;&gt;"""",HYPERLINK(""https://wa.me/507""&amp;REGEXREPLACE(C614,""[^0-9]"","""")&amp;""?text=""&amp;ENCODEURL(""Ya llegue. Codigo: ""&amp;A614&amp;"". Ubicacion: ""&amp;""https://www.google.com/maps/search/?api=1&amp;query=""&amp;SUBSTITUTE(F614,"" "","""")),""📲 Avisar al cliente"""&amp;"),"""")"),"")</f>
        <v/>
      </c>
      <c r="L614" s="5" t="str">
        <f>IFERROR(__xludf.DUMMYFUNCTION("IF(C614&lt;&gt;"""",""https://api.qrserver.com/v1/create-qr-code/?size=200x200&amp;data=""&amp;ENCODEURL(""https://wa.me/507""&amp;REGEXREPLACE(C614,""[^0-9]"","""")&amp;""?text=""&amp;ENCODEURL(""Ya llegue. Codigo: ""&amp;A614&amp;"". Ubicacion: ""&amp;""https://www.google.com/maps/search/?a"&amp;"pi=1&amp;query=""&amp;SUBSTITUTE(F614,"" "",""""))),"""")"),"")</f>
        <v/>
      </c>
      <c r="M614" s="5" t="str">
        <f t="shared" si="6"/>
        <v/>
      </c>
      <c r="N614" s="5" t="str">
        <f>IFERROR(__xludf.DUMMYFUNCTION("IF(AND(F614&lt;&gt;"""",REGEXMATCH(SUBSTITUTE(F614,"" "",""""),""^-?\d+(\.\d+)?,-?\d+(\.\d+)?$""),VALUE(REGEXEXTRACT(SUBSTITUTE(F614,"" "",""""),""^-?\d+(\.\d+)?""))&gt;=-90,VALUE(REGEXEXTRACT(SUBSTITUTE(F614,"" "",""""),""^-?\d+(\.\d+)?""))&lt;=90,VALUE(REGEXEXTRACT"&amp;"(SUBSTITUTE(F614,"" "",""""),""-?\d+(\.\d+)?$""))&gt;=-180,VALUE(REGEXEXTRACT(SUBSTITUTE(F614,"" "",""""),""-?\d+(\.\d+)?$""))&lt;=180),""OK"",""REVISAR"")"),"#N/A")</f>
        <v>#N/A</v>
      </c>
    </row>
    <row r="615" ht="15.75" customHeight="1">
      <c r="A615" s="5" t="str">
        <f t="shared" si="1"/>
        <v>AD507-0613</v>
      </c>
      <c r="C615" s="5"/>
      <c r="F615" s="5"/>
      <c r="G615" s="5" t="str">
        <f t="shared" si="2"/>
        <v/>
      </c>
      <c r="H615" s="5" t="str">
        <f t="shared" si="3"/>
        <v/>
      </c>
      <c r="I615" s="5" t="str">
        <f t="shared" si="4"/>
        <v/>
      </c>
      <c r="J615" s="5" t="str">
        <f t="shared" si="5"/>
        <v/>
      </c>
      <c r="K615" s="5" t="str">
        <f>IFERROR(__xludf.DUMMYFUNCTION("IF(C615&lt;&gt;"""",HYPERLINK(""https://wa.me/507""&amp;REGEXREPLACE(C615,""[^0-9]"","""")&amp;""?text=""&amp;ENCODEURL(""Ya llegue. Codigo: ""&amp;A615&amp;"". Ubicacion: ""&amp;""https://www.google.com/maps/search/?api=1&amp;query=""&amp;SUBSTITUTE(F615,"" "","""")),""📲 Avisar al cliente"""&amp;"),"""")"),"")</f>
        <v/>
      </c>
      <c r="L615" s="5" t="str">
        <f>IFERROR(__xludf.DUMMYFUNCTION("IF(C615&lt;&gt;"""",""https://api.qrserver.com/v1/create-qr-code/?size=200x200&amp;data=""&amp;ENCODEURL(""https://wa.me/507""&amp;REGEXREPLACE(C615,""[^0-9]"","""")&amp;""?text=""&amp;ENCODEURL(""Ya llegue. Codigo: ""&amp;A615&amp;"". Ubicacion: ""&amp;""https://www.google.com/maps/search/?a"&amp;"pi=1&amp;query=""&amp;SUBSTITUTE(F615,"" "",""""))),"""")"),"")</f>
        <v/>
      </c>
      <c r="M615" s="5" t="str">
        <f t="shared" si="6"/>
        <v/>
      </c>
      <c r="N615" s="5" t="str">
        <f>IFERROR(__xludf.DUMMYFUNCTION("IF(AND(F615&lt;&gt;"""",REGEXMATCH(SUBSTITUTE(F615,"" "",""""),""^-?\d+(\.\d+)?,-?\d+(\.\d+)?$""),VALUE(REGEXEXTRACT(SUBSTITUTE(F615,"" "",""""),""^-?\d+(\.\d+)?""))&gt;=-90,VALUE(REGEXEXTRACT(SUBSTITUTE(F615,"" "",""""),""^-?\d+(\.\d+)?""))&lt;=90,VALUE(REGEXEXTRACT"&amp;"(SUBSTITUTE(F615,"" "",""""),""-?\d+(\.\d+)?$""))&gt;=-180,VALUE(REGEXEXTRACT(SUBSTITUTE(F615,"" "",""""),""-?\d+(\.\d+)?$""))&lt;=180),""OK"",""REVISAR"")"),"#N/A")</f>
        <v>#N/A</v>
      </c>
    </row>
    <row r="616" ht="15.75" customHeight="1">
      <c r="A616" s="5" t="str">
        <f t="shared" si="1"/>
        <v>AD507-0614</v>
      </c>
      <c r="C616" s="5"/>
      <c r="F616" s="5"/>
      <c r="G616" s="5" t="str">
        <f t="shared" si="2"/>
        <v/>
      </c>
      <c r="H616" s="5" t="str">
        <f t="shared" si="3"/>
        <v/>
      </c>
      <c r="I616" s="5" t="str">
        <f t="shared" si="4"/>
        <v/>
      </c>
      <c r="J616" s="5" t="str">
        <f t="shared" si="5"/>
        <v/>
      </c>
      <c r="K616" s="5" t="str">
        <f>IFERROR(__xludf.DUMMYFUNCTION("IF(C616&lt;&gt;"""",HYPERLINK(""https://wa.me/507""&amp;REGEXREPLACE(C616,""[^0-9]"","""")&amp;""?text=""&amp;ENCODEURL(""Ya llegue. Codigo: ""&amp;A616&amp;"". Ubicacion: ""&amp;""https://www.google.com/maps/search/?api=1&amp;query=""&amp;SUBSTITUTE(F616,"" "","""")),""📲 Avisar al cliente"""&amp;"),"""")"),"")</f>
        <v/>
      </c>
      <c r="L616" s="5" t="str">
        <f>IFERROR(__xludf.DUMMYFUNCTION("IF(C616&lt;&gt;"""",""https://api.qrserver.com/v1/create-qr-code/?size=200x200&amp;data=""&amp;ENCODEURL(""https://wa.me/507""&amp;REGEXREPLACE(C616,""[^0-9]"","""")&amp;""?text=""&amp;ENCODEURL(""Ya llegue. Codigo: ""&amp;A616&amp;"". Ubicacion: ""&amp;""https://www.google.com/maps/search/?a"&amp;"pi=1&amp;query=""&amp;SUBSTITUTE(F616,"" "",""""))),"""")"),"")</f>
        <v/>
      </c>
      <c r="M616" s="5" t="str">
        <f t="shared" si="6"/>
        <v/>
      </c>
      <c r="N616" s="5" t="str">
        <f>IFERROR(__xludf.DUMMYFUNCTION("IF(AND(F616&lt;&gt;"""",REGEXMATCH(SUBSTITUTE(F616,"" "",""""),""^-?\d+(\.\d+)?,-?\d+(\.\d+)?$""),VALUE(REGEXEXTRACT(SUBSTITUTE(F616,"" "",""""),""^-?\d+(\.\d+)?""))&gt;=-90,VALUE(REGEXEXTRACT(SUBSTITUTE(F616,"" "",""""),""^-?\d+(\.\d+)?""))&lt;=90,VALUE(REGEXEXTRACT"&amp;"(SUBSTITUTE(F616,"" "",""""),""-?\d+(\.\d+)?$""))&gt;=-180,VALUE(REGEXEXTRACT(SUBSTITUTE(F616,"" "",""""),""-?\d+(\.\d+)?$""))&lt;=180),""OK"",""REVISAR"")"),"#N/A")</f>
        <v>#N/A</v>
      </c>
    </row>
    <row r="617" ht="15.75" customHeight="1">
      <c r="A617" s="5" t="str">
        <f t="shared" si="1"/>
        <v>AD507-0615</v>
      </c>
      <c r="C617" s="5"/>
      <c r="F617" s="5"/>
      <c r="G617" s="5" t="str">
        <f t="shared" si="2"/>
        <v/>
      </c>
      <c r="H617" s="5" t="str">
        <f t="shared" si="3"/>
        <v/>
      </c>
      <c r="I617" s="5" t="str">
        <f t="shared" si="4"/>
        <v/>
      </c>
      <c r="J617" s="5" t="str">
        <f t="shared" si="5"/>
        <v/>
      </c>
      <c r="K617" s="5" t="str">
        <f>IFERROR(__xludf.DUMMYFUNCTION("IF(C617&lt;&gt;"""",HYPERLINK(""https://wa.me/507""&amp;REGEXREPLACE(C617,""[^0-9]"","""")&amp;""?text=""&amp;ENCODEURL(""Ya llegue. Codigo: ""&amp;A617&amp;"". Ubicacion: ""&amp;""https://www.google.com/maps/search/?api=1&amp;query=""&amp;SUBSTITUTE(F617,"" "","""")),""📲 Avisar al cliente"""&amp;"),"""")"),"")</f>
        <v/>
      </c>
      <c r="L617" s="5" t="str">
        <f>IFERROR(__xludf.DUMMYFUNCTION("IF(C617&lt;&gt;"""",""https://api.qrserver.com/v1/create-qr-code/?size=200x200&amp;data=""&amp;ENCODEURL(""https://wa.me/507""&amp;REGEXREPLACE(C617,""[^0-9]"","""")&amp;""?text=""&amp;ENCODEURL(""Ya llegue. Codigo: ""&amp;A617&amp;"". Ubicacion: ""&amp;""https://www.google.com/maps/search/?a"&amp;"pi=1&amp;query=""&amp;SUBSTITUTE(F617,"" "",""""))),"""")"),"")</f>
        <v/>
      </c>
      <c r="M617" s="5" t="str">
        <f t="shared" si="6"/>
        <v/>
      </c>
      <c r="N617" s="5" t="str">
        <f>IFERROR(__xludf.DUMMYFUNCTION("IF(AND(F617&lt;&gt;"""",REGEXMATCH(SUBSTITUTE(F617,"" "",""""),""^-?\d+(\.\d+)?,-?\d+(\.\d+)?$""),VALUE(REGEXEXTRACT(SUBSTITUTE(F617,"" "",""""),""^-?\d+(\.\d+)?""))&gt;=-90,VALUE(REGEXEXTRACT(SUBSTITUTE(F617,"" "",""""),""^-?\d+(\.\d+)?""))&lt;=90,VALUE(REGEXEXTRACT"&amp;"(SUBSTITUTE(F617,"" "",""""),""-?\d+(\.\d+)?$""))&gt;=-180,VALUE(REGEXEXTRACT(SUBSTITUTE(F617,"" "",""""),""-?\d+(\.\d+)?$""))&lt;=180),""OK"",""REVISAR"")"),"#N/A")</f>
        <v>#N/A</v>
      </c>
    </row>
    <row r="618" ht="15.75" customHeight="1">
      <c r="A618" s="5" t="str">
        <f t="shared" si="1"/>
        <v>AD507-0616</v>
      </c>
      <c r="C618" s="5"/>
      <c r="F618" s="5"/>
      <c r="G618" s="5" t="str">
        <f t="shared" si="2"/>
        <v/>
      </c>
      <c r="H618" s="5" t="str">
        <f t="shared" si="3"/>
        <v/>
      </c>
      <c r="I618" s="5" t="str">
        <f t="shared" si="4"/>
        <v/>
      </c>
      <c r="J618" s="5" t="str">
        <f t="shared" si="5"/>
        <v/>
      </c>
      <c r="K618" s="5" t="str">
        <f>IFERROR(__xludf.DUMMYFUNCTION("IF(C618&lt;&gt;"""",HYPERLINK(""https://wa.me/507""&amp;REGEXREPLACE(C618,""[^0-9]"","""")&amp;""?text=""&amp;ENCODEURL(""Ya llegue. Codigo: ""&amp;A618&amp;"". Ubicacion: ""&amp;""https://www.google.com/maps/search/?api=1&amp;query=""&amp;SUBSTITUTE(F618,"" "","""")),""📲 Avisar al cliente"""&amp;"),"""")"),"")</f>
        <v/>
      </c>
      <c r="L618" s="5" t="str">
        <f>IFERROR(__xludf.DUMMYFUNCTION("IF(C618&lt;&gt;"""",""https://api.qrserver.com/v1/create-qr-code/?size=200x200&amp;data=""&amp;ENCODEURL(""https://wa.me/507""&amp;REGEXREPLACE(C618,""[^0-9]"","""")&amp;""?text=""&amp;ENCODEURL(""Ya llegue. Codigo: ""&amp;A618&amp;"". Ubicacion: ""&amp;""https://www.google.com/maps/search/?a"&amp;"pi=1&amp;query=""&amp;SUBSTITUTE(F618,"" "",""""))),"""")"),"")</f>
        <v/>
      </c>
      <c r="M618" s="5" t="str">
        <f t="shared" si="6"/>
        <v/>
      </c>
      <c r="N618" s="5" t="str">
        <f>IFERROR(__xludf.DUMMYFUNCTION("IF(AND(F618&lt;&gt;"""",REGEXMATCH(SUBSTITUTE(F618,"" "",""""),""^-?\d+(\.\d+)?,-?\d+(\.\d+)?$""),VALUE(REGEXEXTRACT(SUBSTITUTE(F618,"" "",""""),""^-?\d+(\.\d+)?""))&gt;=-90,VALUE(REGEXEXTRACT(SUBSTITUTE(F618,"" "",""""),""^-?\d+(\.\d+)?""))&lt;=90,VALUE(REGEXEXTRACT"&amp;"(SUBSTITUTE(F618,"" "",""""),""-?\d+(\.\d+)?$""))&gt;=-180,VALUE(REGEXEXTRACT(SUBSTITUTE(F618,"" "",""""),""-?\d+(\.\d+)?$""))&lt;=180),""OK"",""REVISAR"")"),"#N/A")</f>
        <v>#N/A</v>
      </c>
    </row>
    <row r="619" ht="15.75" customHeight="1">
      <c r="A619" s="5" t="str">
        <f t="shared" si="1"/>
        <v>AD507-0617</v>
      </c>
      <c r="C619" s="5"/>
      <c r="F619" s="5"/>
      <c r="G619" s="5" t="str">
        <f t="shared" si="2"/>
        <v/>
      </c>
      <c r="H619" s="5" t="str">
        <f t="shared" si="3"/>
        <v/>
      </c>
      <c r="I619" s="5" t="str">
        <f t="shared" si="4"/>
        <v/>
      </c>
      <c r="J619" s="5" t="str">
        <f t="shared" si="5"/>
        <v/>
      </c>
      <c r="K619" s="5" t="str">
        <f>IFERROR(__xludf.DUMMYFUNCTION("IF(C619&lt;&gt;"""",HYPERLINK(""https://wa.me/507""&amp;REGEXREPLACE(C619,""[^0-9]"","""")&amp;""?text=""&amp;ENCODEURL(""Ya llegue. Codigo: ""&amp;A619&amp;"". Ubicacion: ""&amp;""https://www.google.com/maps/search/?api=1&amp;query=""&amp;SUBSTITUTE(F619,"" "","""")),""📲 Avisar al cliente"""&amp;"),"""")"),"")</f>
        <v/>
      </c>
      <c r="L619" s="5" t="str">
        <f>IFERROR(__xludf.DUMMYFUNCTION("IF(C619&lt;&gt;"""",""https://api.qrserver.com/v1/create-qr-code/?size=200x200&amp;data=""&amp;ENCODEURL(""https://wa.me/507""&amp;REGEXREPLACE(C619,""[^0-9]"","""")&amp;""?text=""&amp;ENCODEURL(""Ya llegue. Codigo: ""&amp;A619&amp;"". Ubicacion: ""&amp;""https://www.google.com/maps/search/?a"&amp;"pi=1&amp;query=""&amp;SUBSTITUTE(F619,"" "",""""))),"""")"),"")</f>
        <v/>
      </c>
      <c r="M619" s="5" t="str">
        <f t="shared" si="6"/>
        <v/>
      </c>
      <c r="N619" s="5" t="str">
        <f>IFERROR(__xludf.DUMMYFUNCTION("IF(AND(F619&lt;&gt;"""",REGEXMATCH(SUBSTITUTE(F619,"" "",""""),""^-?\d+(\.\d+)?,-?\d+(\.\d+)?$""),VALUE(REGEXEXTRACT(SUBSTITUTE(F619,"" "",""""),""^-?\d+(\.\d+)?""))&gt;=-90,VALUE(REGEXEXTRACT(SUBSTITUTE(F619,"" "",""""),""^-?\d+(\.\d+)?""))&lt;=90,VALUE(REGEXEXTRACT"&amp;"(SUBSTITUTE(F619,"" "",""""),""-?\d+(\.\d+)?$""))&gt;=-180,VALUE(REGEXEXTRACT(SUBSTITUTE(F619,"" "",""""),""-?\d+(\.\d+)?$""))&lt;=180),""OK"",""REVISAR"")"),"#N/A")</f>
        <v>#N/A</v>
      </c>
    </row>
    <row r="620" ht="15.75" customHeight="1">
      <c r="A620" s="5" t="str">
        <f t="shared" si="1"/>
        <v>AD507-0618</v>
      </c>
      <c r="C620" s="5"/>
      <c r="F620" s="5"/>
      <c r="G620" s="5" t="str">
        <f t="shared" si="2"/>
        <v/>
      </c>
      <c r="H620" s="5" t="str">
        <f t="shared" si="3"/>
        <v/>
      </c>
      <c r="I620" s="5" t="str">
        <f t="shared" si="4"/>
        <v/>
      </c>
      <c r="J620" s="5" t="str">
        <f t="shared" si="5"/>
        <v/>
      </c>
      <c r="K620" s="5" t="str">
        <f>IFERROR(__xludf.DUMMYFUNCTION("IF(C620&lt;&gt;"""",HYPERLINK(""https://wa.me/507""&amp;REGEXREPLACE(C620,""[^0-9]"","""")&amp;""?text=""&amp;ENCODEURL(""Ya llegue. Codigo: ""&amp;A620&amp;"". Ubicacion: ""&amp;""https://www.google.com/maps/search/?api=1&amp;query=""&amp;SUBSTITUTE(F620,"" "","""")),""📲 Avisar al cliente"""&amp;"),"""")"),"")</f>
        <v/>
      </c>
      <c r="L620" s="5" t="str">
        <f>IFERROR(__xludf.DUMMYFUNCTION("IF(C620&lt;&gt;"""",""https://api.qrserver.com/v1/create-qr-code/?size=200x200&amp;data=""&amp;ENCODEURL(""https://wa.me/507""&amp;REGEXREPLACE(C620,""[^0-9]"","""")&amp;""?text=""&amp;ENCODEURL(""Ya llegue. Codigo: ""&amp;A620&amp;"". Ubicacion: ""&amp;""https://www.google.com/maps/search/?a"&amp;"pi=1&amp;query=""&amp;SUBSTITUTE(F620,"" "",""""))),"""")"),"")</f>
        <v/>
      </c>
      <c r="M620" s="5" t="str">
        <f t="shared" si="6"/>
        <v/>
      </c>
      <c r="N620" s="5" t="str">
        <f>IFERROR(__xludf.DUMMYFUNCTION("IF(AND(F620&lt;&gt;"""",REGEXMATCH(SUBSTITUTE(F620,"" "",""""),""^-?\d+(\.\d+)?,-?\d+(\.\d+)?$""),VALUE(REGEXEXTRACT(SUBSTITUTE(F620,"" "",""""),""^-?\d+(\.\d+)?""))&gt;=-90,VALUE(REGEXEXTRACT(SUBSTITUTE(F620,"" "",""""),""^-?\d+(\.\d+)?""))&lt;=90,VALUE(REGEXEXTRACT"&amp;"(SUBSTITUTE(F620,"" "",""""),""-?\d+(\.\d+)?$""))&gt;=-180,VALUE(REGEXEXTRACT(SUBSTITUTE(F620,"" "",""""),""-?\d+(\.\d+)?$""))&lt;=180),""OK"",""REVISAR"")"),"#N/A")</f>
        <v>#N/A</v>
      </c>
    </row>
    <row r="621" ht="15.75" customHeight="1">
      <c r="A621" s="5" t="str">
        <f t="shared" si="1"/>
        <v>AD507-0619</v>
      </c>
      <c r="C621" s="5"/>
      <c r="F621" s="5"/>
      <c r="G621" s="5" t="str">
        <f t="shared" si="2"/>
        <v/>
      </c>
      <c r="H621" s="5" t="str">
        <f t="shared" si="3"/>
        <v/>
      </c>
      <c r="I621" s="5" t="str">
        <f t="shared" si="4"/>
        <v/>
      </c>
      <c r="J621" s="5" t="str">
        <f t="shared" si="5"/>
        <v/>
      </c>
      <c r="K621" s="5" t="str">
        <f>IFERROR(__xludf.DUMMYFUNCTION("IF(C621&lt;&gt;"""",HYPERLINK(""https://wa.me/507""&amp;REGEXREPLACE(C621,""[^0-9]"","""")&amp;""?text=""&amp;ENCODEURL(""Ya llegue. Codigo: ""&amp;A621&amp;"". Ubicacion: ""&amp;""https://www.google.com/maps/search/?api=1&amp;query=""&amp;SUBSTITUTE(F621,"" "","""")),""📲 Avisar al cliente"""&amp;"),"""")"),"")</f>
        <v/>
      </c>
      <c r="L621" s="5" t="str">
        <f>IFERROR(__xludf.DUMMYFUNCTION("IF(C621&lt;&gt;"""",""https://api.qrserver.com/v1/create-qr-code/?size=200x200&amp;data=""&amp;ENCODEURL(""https://wa.me/507""&amp;REGEXREPLACE(C621,""[^0-9]"","""")&amp;""?text=""&amp;ENCODEURL(""Ya llegue. Codigo: ""&amp;A621&amp;"". Ubicacion: ""&amp;""https://www.google.com/maps/search/?a"&amp;"pi=1&amp;query=""&amp;SUBSTITUTE(F621,"" "",""""))),"""")"),"")</f>
        <v/>
      </c>
      <c r="M621" s="5" t="str">
        <f t="shared" si="6"/>
        <v/>
      </c>
      <c r="N621" s="5" t="str">
        <f>IFERROR(__xludf.DUMMYFUNCTION("IF(AND(F621&lt;&gt;"""",REGEXMATCH(SUBSTITUTE(F621,"" "",""""),""^-?\d+(\.\d+)?,-?\d+(\.\d+)?$""),VALUE(REGEXEXTRACT(SUBSTITUTE(F621,"" "",""""),""^-?\d+(\.\d+)?""))&gt;=-90,VALUE(REGEXEXTRACT(SUBSTITUTE(F621,"" "",""""),""^-?\d+(\.\d+)?""))&lt;=90,VALUE(REGEXEXTRACT"&amp;"(SUBSTITUTE(F621,"" "",""""),""-?\d+(\.\d+)?$""))&gt;=-180,VALUE(REGEXEXTRACT(SUBSTITUTE(F621,"" "",""""),""-?\d+(\.\d+)?$""))&lt;=180),""OK"",""REVISAR"")"),"#N/A")</f>
        <v>#N/A</v>
      </c>
    </row>
    <row r="622" ht="15.75" customHeight="1">
      <c r="A622" s="5" t="str">
        <f t="shared" si="1"/>
        <v>AD507-0620</v>
      </c>
      <c r="C622" s="5"/>
      <c r="F622" s="5"/>
      <c r="G622" s="5" t="str">
        <f t="shared" si="2"/>
        <v/>
      </c>
      <c r="H622" s="5" t="str">
        <f t="shared" si="3"/>
        <v/>
      </c>
      <c r="I622" s="5" t="str">
        <f t="shared" si="4"/>
        <v/>
      </c>
      <c r="J622" s="5" t="str">
        <f t="shared" si="5"/>
        <v/>
      </c>
      <c r="K622" s="5" t="str">
        <f>IFERROR(__xludf.DUMMYFUNCTION("IF(C622&lt;&gt;"""",HYPERLINK(""https://wa.me/507""&amp;REGEXREPLACE(C622,""[^0-9]"","""")&amp;""?text=""&amp;ENCODEURL(""Ya llegue. Codigo: ""&amp;A622&amp;"". Ubicacion: ""&amp;""https://www.google.com/maps/search/?api=1&amp;query=""&amp;SUBSTITUTE(F622,"" "","""")),""📲 Avisar al cliente"""&amp;"),"""")"),"")</f>
        <v/>
      </c>
      <c r="L622" s="5" t="str">
        <f>IFERROR(__xludf.DUMMYFUNCTION("IF(C622&lt;&gt;"""",""https://api.qrserver.com/v1/create-qr-code/?size=200x200&amp;data=""&amp;ENCODEURL(""https://wa.me/507""&amp;REGEXREPLACE(C622,""[^0-9]"","""")&amp;""?text=""&amp;ENCODEURL(""Ya llegue. Codigo: ""&amp;A622&amp;"". Ubicacion: ""&amp;""https://www.google.com/maps/search/?a"&amp;"pi=1&amp;query=""&amp;SUBSTITUTE(F622,"" "",""""))),"""")"),"")</f>
        <v/>
      </c>
      <c r="M622" s="5" t="str">
        <f t="shared" si="6"/>
        <v/>
      </c>
      <c r="N622" s="5" t="str">
        <f>IFERROR(__xludf.DUMMYFUNCTION("IF(AND(F622&lt;&gt;"""",REGEXMATCH(SUBSTITUTE(F622,"" "",""""),""^-?\d+(\.\d+)?,-?\d+(\.\d+)?$""),VALUE(REGEXEXTRACT(SUBSTITUTE(F622,"" "",""""),""^-?\d+(\.\d+)?""))&gt;=-90,VALUE(REGEXEXTRACT(SUBSTITUTE(F622,"" "",""""),""^-?\d+(\.\d+)?""))&lt;=90,VALUE(REGEXEXTRACT"&amp;"(SUBSTITUTE(F622,"" "",""""),""-?\d+(\.\d+)?$""))&gt;=-180,VALUE(REGEXEXTRACT(SUBSTITUTE(F622,"" "",""""),""-?\d+(\.\d+)?$""))&lt;=180),""OK"",""REVISAR"")"),"#N/A")</f>
        <v>#N/A</v>
      </c>
    </row>
    <row r="623" ht="15.75" customHeight="1">
      <c r="A623" s="5" t="str">
        <f t="shared" si="1"/>
        <v>AD507-0621</v>
      </c>
      <c r="C623" s="5"/>
      <c r="F623" s="5"/>
      <c r="G623" s="5" t="str">
        <f t="shared" si="2"/>
        <v/>
      </c>
      <c r="H623" s="5" t="str">
        <f t="shared" si="3"/>
        <v/>
      </c>
      <c r="I623" s="5" t="str">
        <f t="shared" si="4"/>
        <v/>
      </c>
      <c r="J623" s="5" t="str">
        <f t="shared" si="5"/>
        <v/>
      </c>
      <c r="K623" s="5" t="str">
        <f>IFERROR(__xludf.DUMMYFUNCTION("IF(C623&lt;&gt;"""",HYPERLINK(""https://wa.me/507""&amp;REGEXREPLACE(C623,""[^0-9]"","""")&amp;""?text=""&amp;ENCODEURL(""Ya llegue. Codigo: ""&amp;A623&amp;"". Ubicacion: ""&amp;""https://www.google.com/maps/search/?api=1&amp;query=""&amp;SUBSTITUTE(F623,"" "","""")),""📲 Avisar al cliente"""&amp;"),"""")"),"")</f>
        <v/>
      </c>
      <c r="L623" s="5" t="str">
        <f>IFERROR(__xludf.DUMMYFUNCTION("IF(C623&lt;&gt;"""",""https://api.qrserver.com/v1/create-qr-code/?size=200x200&amp;data=""&amp;ENCODEURL(""https://wa.me/507""&amp;REGEXREPLACE(C623,""[^0-9]"","""")&amp;""?text=""&amp;ENCODEURL(""Ya llegue. Codigo: ""&amp;A623&amp;"". Ubicacion: ""&amp;""https://www.google.com/maps/search/?a"&amp;"pi=1&amp;query=""&amp;SUBSTITUTE(F623,"" "",""""))),"""")"),"")</f>
        <v/>
      </c>
      <c r="M623" s="5" t="str">
        <f t="shared" si="6"/>
        <v/>
      </c>
      <c r="N623" s="5" t="str">
        <f>IFERROR(__xludf.DUMMYFUNCTION("IF(AND(F623&lt;&gt;"""",REGEXMATCH(SUBSTITUTE(F623,"" "",""""),""^-?\d+(\.\d+)?,-?\d+(\.\d+)?$""),VALUE(REGEXEXTRACT(SUBSTITUTE(F623,"" "",""""),""^-?\d+(\.\d+)?""))&gt;=-90,VALUE(REGEXEXTRACT(SUBSTITUTE(F623,"" "",""""),""^-?\d+(\.\d+)?""))&lt;=90,VALUE(REGEXEXTRACT"&amp;"(SUBSTITUTE(F623,"" "",""""),""-?\d+(\.\d+)?$""))&gt;=-180,VALUE(REGEXEXTRACT(SUBSTITUTE(F623,"" "",""""),""-?\d+(\.\d+)?$""))&lt;=180),""OK"",""REVISAR"")"),"#N/A")</f>
        <v>#N/A</v>
      </c>
    </row>
    <row r="624" ht="15.75" customHeight="1">
      <c r="A624" s="5" t="str">
        <f t="shared" si="1"/>
        <v>AD507-0622</v>
      </c>
      <c r="C624" s="5"/>
      <c r="F624" s="5"/>
      <c r="G624" s="5" t="str">
        <f t="shared" si="2"/>
        <v/>
      </c>
      <c r="H624" s="5" t="str">
        <f t="shared" si="3"/>
        <v/>
      </c>
      <c r="I624" s="5" t="str">
        <f t="shared" si="4"/>
        <v/>
      </c>
      <c r="J624" s="5" t="str">
        <f t="shared" si="5"/>
        <v/>
      </c>
      <c r="K624" s="5" t="str">
        <f>IFERROR(__xludf.DUMMYFUNCTION("IF(C624&lt;&gt;"""",HYPERLINK(""https://wa.me/507""&amp;REGEXREPLACE(C624,""[^0-9]"","""")&amp;""?text=""&amp;ENCODEURL(""Ya llegue. Codigo: ""&amp;A624&amp;"". Ubicacion: ""&amp;""https://www.google.com/maps/search/?api=1&amp;query=""&amp;SUBSTITUTE(F624,"" "","""")),""📲 Avisar al cliente"""&amp;"),"""")"),"")</f>
        <v/>
      </c>
      <c r="L624" s="5" t="str">
        <f>IFERROR(__xludf.DUMMYFUNCTION("IF(C624&lt;&gt;"""",""https://api.qrserver.com/v1/create-qr-code/?size=200x200&amp;data=""&amp;ENCODEURL(""https://wa.me/507""&amp;REGEXREPLACE(C624,""[^0-9]"","""")&amp;""?text=""&amp;ENCODEURL(""Ya llegue. Codigo: ""&amp;A624&amp;"". Ubicacion: ""&amp;""https://www.google.com/maps/search/?a"&amp;"pi=1&amp;query=""&amp;SUBSTITUTE(F624,"" "",""""))),"""")"),"")</f>
        <v/>
      </c>
      <c r="M624" s="5" t="str">
        <f t="shared" si="6"/>
        <v/>
      </c>
      <c r="N624" s="5" t="str">
        <f>IFERROR(__xludf.DUMMYFUNCTION("IF(AND(F624&lt;&gt;"""",REGEXMATCH(SUBSTITUTE(F624,"" "",""""),""^-?\d+(\.\d+)?,-?\d+(\.\d+)?$""),VALUE(REGEXEXTRACT(SUBSTITUTE(F624,"" "",""""),""^-?\d+(\.\d+)?""))&gt;=-90,VALUE(REGEXEXTRACT(SUBSTITUTE(F624,"" "",""""),""^-?\d+(\.\d+)?""))&lt;=90,VALUE(REGEXEXTRACT"&amp;"(SUBSTITUTE(F624,"" "",""""),""-?\d+(\.\d+)?$""))&gt;=-180,VALUE(REGEXEXTRACT(SUBSTITUTE(F624,"" "",""""),""-?\d+(\.\d+)?$""))&lt;=180),""OK"",""REVISAR"")"),"#N/A")</f>
        <v>#N/A</v>
      </c>
    </row>
    <row r="625" ht="15.75" customHeight="1">
      <c r="A625" s="5" t="str">
        <f t="shared" si="1"/>
        <v>AD507-0623</v>
      </c>
      <c r="C625" s="5"/>
      <c r="F625" s="5"/>
      <c r="G625" s="5" t="str">
        <f t="shared" si="2"/>
        <v/>
      </c>
      <c r="H625" s="5" t="str">
        <f t="shared" si="3"/>
        <v/>
      </c>
      <c r="I625" s="5" t="str">
        <f t="shared" si="4"/>
        <v/>
      </c>
      <c r="J625" s="5" t="str">
        <f t="shared" si="5"/>
        <v/>
      </c>
      <c r="K625" s="5" t="str">
        <f>IFERROR(__xludf.DUMMYFUNCTION("IF(C625&lt;&gt;"""",HYPERLINK(""https://wa.me/507""&amp;REGEXREPLACE(C625,""[^0-9]"","""")&amp;""?text=""&amp;ENCODEURL(""Ya llegue. Codigo: ""&amp;A625&amp;"". Ubicacion: ""&amp;""https://www.google.com/maps/search/?api=1&amp;query=""&amp;SUBSTITUTE(F625,"" "","""")),""📲 Avisar al cliente"""&amp;"),"""")"),"")</f>
        <v/>
      </c>
      <c r="L625" s="5" t="str">
        <f>IFERROR(__xludf.DUMMYFUNCTION("IF(C625&lt;&gt;"""",""https://api.qrserver.com/v1/create-qr-code/?size=200x200&amp;data=""&amp;ENCODEURL(""https://wa.me/507""&amp;REGEXREPLACE(C625,""[^0-9]"","""")&amp;""?text=""&amp;ENCODEURL(""Ya llegue. Codigo: ""&amp;A625&amp;"". Ubicacion: ""&amp;""https://www.google.com/maps/search/?a"&amp;"pi=1&amp;query=""&amp;SUBSTITUTE(F625,"" "",""""))),"""")"),"")</f>
        <v/>
      </c>
      <c r="M625" s="5" t="str">
        <f t="shared" si="6"/>
        <v/>
      </c>
      <c r="N625" s="5" t="str">
        <f>IFERROR(__xludf.DUMMYFUNCTION("IF(AND(F625&lt;&gt;"""",REGEXMATCH(SUBSTITUTE(F625,"" "",""""),""^-?\d+(\.\d+)?,-?\d+(\.\d+)?$""),VALUE(REGEXEXTRACT(SUBSTITUTE(F625,"" "",""""),""^-?\d+(\.\d+)?""))&gt;=-90,VALUE(REGEXEXTRACT(SUBSTITUTE(F625,"" "",""""),""^-?\d+(\.\d+)?""))&lt;=90,VALUE(REGEXEXTRACT"&amp;"(SUBSTITUTE(F625,"" "",""""),""-?\d+(\.\d+)?$""))&gt;=-180,VALUE(REGEXEXTRACT(SUBSTITUTE(F625,"" "",""""),""-?\d+(\.\d+)?$""))&lt;=180),""OK"",""REVISAR"")"),"#N/A")</f>
        <v>#N/A</v>
      </c>
    </row>
    <row r="626" ht="15.75" customHeight="1">
      <c r="A626" s="5" t="str">
        <f t="shared" si="1"/>
        <v>AD507-0624</v>
      </c>
      <c r="C626" s="5"/>
      <c r="F626" s="5"/>
      <c r="G626" s="5" t="str">
        <f t="shared" si="2"/>
        <v/>
      </c>
      <c r="H626" s="5" t="str">
        <f t="shared" si="3"/>
        <v/>
      </c>
      <c r="I626" s="5" t="str">
        <f t="shared" si="4"/>
        <v/>
      </c>
      <c r="J626" s="5" t="str">
        <f t="shared" si="5"/>
        <v/>
      </c>
      <c r="K626" s="5" t="str">
        <f>IFERROR(__xludf.DUMMYFUNCTION("IF(C626&lt;&gt;"""",HYPERLINK(""https://wa.me/507""&amp;REGEXREPLACE(C626,""[^0-9]"","""")&amp;""?text=""&amp;ENCODEURL(""Ya llegue. Codigo: ""&amp;A626&amp;"". Ubicacion: ""&amp;""https://www.google.com/maps/search/?api=1&amp;query=""&amp;SUBSTITUTE(F626,"" "","""")),""📲 Avisar al cliente"""&amp;"),"""")"),"")</f>
        <v/>
      </c>
      <c r="L626" s="5" t="str">
        <f>IFERROR(__xludf.DUMMYFUNCTION("IF(C626&lt;&gt;"""",""https://api.qrserver.com/v1/create-qr-code/?size=200x200&amp;data=""&amp;ENCODEURL(""https://wa.me/507""&amp;REGEXREPLACE(C626,""[^0-9]"","""")&amp;""?text=""&amp;ENCODEURL(""Ya llegue. Codigo: ""&amp;A626&amp;"". Ubicacion: ""&amp;""https://www.google.com/maps/search/?a"&amp;"pi=1&amp;query=""&amp;SUBSTITUTE(F626,"" "",""""))),"""")"),"")</f>
        <v/>
      </c>
      <c r="M626" s="5" t="str">
        <f t="shared" si="6"/>
        <v/>
      </c>
      <c r="N626" s="5" t="str">
        <f>IFERROR(__xludf.DUMMYFUNCTION("IF(AND(F626&lt;&gt;"""",REGEXMATCH(SUBSTITUTE(F626,"" "",""""),""^-?\d+(\.\d+)?,-?\d+(\.\d+)?$""),VALUE(REGEXEXTRACT(SUBSTITUTE(F626,"" "",""""),""^-?\d+(\.\d+)?""))&gt;=-90,VALUE(REGEXEXTRACT(SUBSTITUTE(F626,"" "",""""),""^-?\d+(\.\d+)?""))&lt;=90,VALUE(REGEXEXTRACT"&amp;"(SUBSTITUTE(F626,"" "",""""),""-?\d+(\.\d+)?$""))&gt;=-180,VALUE(REGEXEXTRACT(SUBSTITUTE(F626,"" "",""""),""-?\d+(\.\d+)?$""))&lt;=180),""OK"",""REVISAR"")"),"#N/A")</f>
        <v>#N/A</v>
      </c>
    </row>
    <row r="627" ht="15.75" customHeight="1">
      <c r="A627" s="5" t="str">
        <f t="shared" si="1"/>
        <v>AD507-0625</v>
      </c>
      <c r="C627" s="5"/>
      <c r="F627" s="5"/>
      <c r="G627" s="5" t="str">
        <f t="shared" si="2"/>
        <v/>
      </c>
      <c r="H627" s="5" t="str">
        <f t="shared" si="3"/>
        <v/>
      </c>
      <c r="I627" s="5" t="str">
        <f t="shared" si="4"/>
        <v/>
      </c>
      <c r="J627" s="5" t="str">
        <f t="shared" si="5"/>
        <v/>
      </c>
      <c r="K627" s="5" t="str">
        <f>IFERROR(__xludf.DUMMYFUNCTION("IF(C627&lt;&gt;"""",HYPERLINK(""https://wa.me/507""&amp;REGEXREPLACE(C627,""[^0-9]"","""")&amp;""?text=""&amp;ENCODEURL(""Ya llegue. Codigo: ""&amp;A627&amp;"". Ubicacion: ""&amp;""https://www.google.com/maps/search/?api=1&amp;query=""&amp;SUBSTITUTE(F627,"" "","""")),""📲 Avisar al cliente"""&amp;"),"""")"),"")</f>
        <v/>
      </c>
      <c r="L627" s="5" t="str">
        <f>IFERROR(__xludf.DUMMYFUNCTION("IF(C627&lt;&gt;"""",""https://api.qrserver.com/v1/create-qr-code/?size=200x200&amp;data=""&amp;ENCODEURL(""https://wa.me/507""&amp;REGEXREPLACE(C627,""[^0-9]"","""")&amp;""?text=""&amp;ENCODEURL(""Ya llegue. Codigo: ""&amp;A627&amp;"". Ubicacion: ""&amp;""https://www.google.com/maps/search/?a"&amp;"pi=1&amp;query=""&amp;SUBSTITUTE(F627,"" "",""""))),"""")"),"")</f>
        <v/>
      </c>
      <c r="M627" s="5" t="str">
        <f t="shared" si="6"/>
        <v/>
      </c>
      <c r="N627" s="5" t="str">
        <f>IFERROR(__xludf.DUMMYFUNCTION("IF(AND(F627&lt;&gt;"""",REGEXMATCH(SUBSTITUTE(F627,"" "",""""),""^-?\d+(\.\d+)?,-?\d+(\.\d+)?$""),VALUE(REGEXEXTRACT(SUBSTITUTE(F627,"" "",""""),""^-?\d+(\.\d+)?""))&gt;=-90,VALUE(REGEXEXTRACT(SUBSTITUTE(F627,"" "",""""),""^-?\d+(\.\d+)?""))&lt;=90,VALUE(REGEXEXTRACT"&amp;"(SUBSTITUTE(F627,"" "",""""),""-?\d+(\.\d+)?$""))&gt;=-180,VALUE(REGEXEXTRACT(SUBSTITUTE(F627,"" "",""""),""-?\d+(\.\d+)?$""))&lt;=180),""OK"",""REVISAR"")"),"#N/A")</f>
        <v>#N/A</v>
      </c>
    </row>
    <row r="628" ht="15.75" customHeight="1">
      <c r="A628" s="5" t="str">
        <f t="shared" si="1"/>
        <v>AD507-0626</v>
      </c>
      <c r="C628" s="5"/>
      <c r="F628" s="5"/>
      <c r="G628" s="5" t="str">
        <f t="shared" si="2"/>
        <v/>
      </c>
      <c r="H628" s="5" t="str">
        <f t="shared" si="3"/>
        <v/>
      </c>
      <c r="I628" s="5" t="str">
        <f t="shared" si="4"/>
        <v/>
      </c>
      <c r="J628" s="5" t="str">
        <f t="shared" si="5"/>
        <v/>
      </c>
      <c r="K628" s="5" t="str">
        <f>IFERROR(__xludf.DUMMYFUNCTION("IF(C628&lt;&gt;"""",HYPERLINK(""https://wa.me/507""&amp;REGEXREPLACE(C628,""[^0-9]"","""")&amp;""?text=""&amp;ENCODEURL(""Ya llegue. Codigo: ""&amp;A628&amp;"". Ubicacion: ""&amp;""https://www.google.com/maps/search/?api=1&amp;query=""&amp;SUBSTITUTE(F628,"" "","""")),""📲 Avisar al cliente"""&amp;"),"""")"),"")</f>
        <v/>
      </c>
      <c r="L628" s="5" t="str">
        <f>IFERROR(__xludf.DUMMYFUNCTION("IF(C628&lt;&gt;"""",""https://api.qrserver.com/v1/create-qr-code/?size=200x200&amp;data=""&amp;ENCODEURL(""https://wa.me/507""&amp;REGEXREPLACE(C628,""[^0-9]"","""")&amp;""?text=""&amp;ENCODEURL(""Ya llegue. Codigo: ""&amp;A628&amp;"". Ubicacion: ""&amp;""https://www.google.com/maps/search/?a"&amp;"pi=1&amp;query=""&amp;SUBSTITUTE(F628,"" "",""""))),"""")"),"")</f>
        <v/>
      </c>
      <c r="M628" s="5" t="str">
        <f t="shared" si="6"/>
        <v/>
      </c>
      <c r="N628" s="5" t="str">
        <f>IFERROR(__xludf.DUMMYFUNCTION("IF(AND(F628&lt;&gt;"""",REGEXMATCH(SUBSTITUTE(F628,"" "",""""),""^-?\d+(\.\d+)?,-?\d+(\.\d+)?$""),VALUE(REGEXEXTRACT(SUBSTITUTE(F628,"" "",""""),""^-?\d+(\.\d+)?""))&gt;=-90,VALUE(REGEXEXTRACT(SUBSTITUTE(F628,"" "",""""),""^-?\d+(\.\d+)?""))&lt;=90,VALUE(REGEXEXTRACT"&amp;"(SUBSTITUTE(F628,"" "",""""),""-?\d+(\.\d+)?$""))&gt;=-180,VALUE(REGEXEXTRACT(SUBSTITUTE(F628,"" "",""""),""-?\d+(\.\d+)?$""))&lt;=180),""OK"",""REVISAR"")"),"#N/A")</f>
        <v>#N/A</v>
      </c>
    </row>
    <row r="629" ht="15.75" customHeight="1">
      <c r="A629" s="5" t="str">
        <f t="shared" si="1"/>
        <v>AD507-0627</v>
      </c>
      <c r="C629" s="5"/>
      <c r="F629" s="5"/>
      <c r="G629" s="5" t="str">
        <f t="shared" si="2"/>
        <v/>
      </c>
      <c r="H629" s="5" t="str">
        <f t="shared" si="3"/>
        <v/>
      </c>
      <c r="I629" s="5" t="str">
        <f t="shared" si="4"/>
        <v/>
      </c>
      <c r="J629" s="5" t="str">
        <f t="shared" si="5"/>
        <v/>
      </c>
      <c r="K629" s="5" t="str">
        <f>IFERROR(__xludf.DUMMYFUNCTION("IF(C629&lt;&gt;"""",HYPERLINK(""https://wa.me/507""&amp;REGEXREPLACE(C629,""[^0-9]"","""")&amp;""?text=""&amp;ENCODEURL(""Ya llegue. Codigo: ""&amp;A629&amp;"". Ubicacion: ""&amp;""https://www.google.com/maps/search/?api=1&amp;query=""&amp;SUBSTITUTE(F629,"" "","""")),""📲 Avisar al cliente"""&amp;"),"""")"),"")</f>
        <v/>
      </c>
      <c r="L629" s="5" t="str">
        <f>IFERROR(__xludf.DUMMYFUNCTION("IF(C629&lt;&gt;"""",""https://api.qrserver.com/v1/create-qr-code/?size=200x200&amp;data=""&amp;ENCODEURL(""https://wa.me/507""&amp;REGEXREPLACE(C629,""[^0-9]"","""")&amp;""?text=""&amp;ENCODEURL(""Ya llegue. Codigo: ""&amp;A629&amp;"". Ubicacion: ""&amp;""https://www.google.com/maps/search/?a"&amp;"pi=1&amp;query=""&amp;SUBSTITUTE(F629,"" "",""""))),"""")"),"")</f>
        <v/>
      </c>
      <c r="M629" s="5" t="str">
        <f t="shared" si="6"/>
        <v/>
      </c>
      <c r="N629" s="5" t="str">
        <f>IFERROR(__xludf.DUMMYFUNCTION("IF(AND(F629&lt;&gt;"""",REGEXMATCH(SUBSTITUTE(F629,"" "",""""),""^-?\d+(\.\d+)?,-?\d+(\.\d+)?$""),VALUE(REGEXEXTRACT(SUBSTITUTE(F629,"" "",""""),""^-?\d+(\.\d+)?""))&gt;=-90,VALUE(REGEXEXTRACT(SUBSTITUTE(F629,"" "",""""),""^-?\d+(\.\d+)?""))&lt;=90,VALUE(REGEXEXTRACT"&amp;"(SUBSTITUTE(F629,"" "",""""),""-?\d+(\.\d+)?$""))&gt;=-180,VALUE(REGEXEXTRACT(SUBSTITUTE(F629,"" "",""""),""-?\d+(\.\d+)?$""))&lt;=180),""OK"",""REVISAR"")"),"#N/A")</f>
        <v>#N/A</v>
      </c>
    </row>
    <row r="630" ht="15.75" customHeight="1">
      <c r="A630" s="5" t="str">
        <f t="shared" si="1"/>
        <v>AD507-0628</v>
      </c>
      <c r="C630" s="5"/>
      <c r="F630" s="5"/>
      <c r="G630" s="5" t="str">
        <f t="shared" si="2"/>
        <v/>
      </c>
      <c r="H630" s="5" t="str">
        <f t="shared" si="3"/>
        <v/>
      </c>
      <c r="I630" s="5" t="str">
        <f t="shared" si="4"/>
        <v/>
      </c>
      <c r="J630" s="5" t="str">
        <f t="shared" si="5"/>
        <v/>
      </c>
      <c r="K630" s="5" t="str">
        <f>IFERROR(__xludf.DUMMYFUNCTION("IF(C630&lt;&gt;"""",HYPERLINK(""https://wa.me/507""&amp;REGEXREPLACE(C630,""[^0-9]"","""")&amp;""?text=""&amp;ENCODEURL(""Ya llegue. Codigo: ""&amp;A630&amp;"". Ubicacion: ""&amp;""https://www.google.com/maps/search/?api=1&amp;query=""&amp;SUBSTITUTE(F630,"" "","""")),""📲 Avisar al cliente"""&amp;"),"""")"),"")</f>
        <v/>
      </c>
      <c r="L630" s="5" t="str">
        <f>IFERROR(__xludf.DUMMYFUNCTION("IF(C630&lt;&gt;"""",""https://api.qrserver.com/v1/create-qr-code/?size=200x200&amp;data=""&amp;ENCODEURL(""https://wa.me/507""&amp;REGEXREPLACE(C630,""[^0-9]"","""")&amp;""?text=""&amp;ENCODEURL(""Ya llegue. Codigo: ""&amp;A630&amp;"". Ubicacion: ""&amp;""https://www.google.com/maps/search/?a"&amp;"pi=1&amp;query=""&amp;SUBSTITUTE(F630,"" "",""""))),"""")"),"")</f>
        <v/>
      </c>
      <c r="M630" s="5" t="str">
        <f t="shared" si="6"/>
        <v/>
      </c>
      <c r="N630" s="5" t="str">
        <f>IFERROR(__xludf.DUMMYFUNCTION("IF(AND(F630&lt;&gt;"""",REGEXMATCH(SUBSTITUTE(F630,"" "",""""),""^-?\d+(\.\d+)?,-?\d+(\.\d+)?$""),VALUE(REGEXEXTRACT(SUBSTITUTE(F630,"" "",""""),""^-?\d+(\.\d+)?""))&gt;=-90,VALUE(REGEXEXTRACT(SUBSTITUTE(F630,"" "",""""),""^-?\d+(\.\d+)?""))&lt;=90,VALUE(REGEXEXTRACT"&amp;"(SUBSTITUTE(F630,"" "",""""),""-?\d+(\.\d+)?$""))&gt;=-180,VALUE(REGEXEXTRACT(SUBSTITUTE(F630,"" "",""""),""-?\d+(\.\d+)?$""))&lt;=180),""OK"",""REVISAR"")"),"#N/A")</f>
        <v>#N/A</v>
      </c>
    </row>
    <row r="631" ht="15.75" customHeight="1">
      <c r="A631" s="5" t="str">
        <f t="shared" si="1"/>
        <v>AD507-0629</v>
      </c>
      <c r="C631" s="5"/>
      <c r="F631" s="5"/>
      <c r="G631" s="5" t="str">
        <f t="shared" si="2"/>
        <v/>
      </c>
      <c r="H631" s="5" t="str">
        <f t="shared" si="3"/>
        <v/>
      </c>
      <c r="I631" s="5" t="str">
        <f t="shared" si="4"/>
        <v/>
      </c>
      <c r="J631" s="5" t="str">
        <f t="shared" si="5"/>
        <v/>
      </c>
      <c r="K631" s="5" t="str">
        <f>IFERROR(__xludf.DUMMYFUNCTION("IF(C631&lt;&gt;"""",HYPERLINK(""https://wa.me/507""&amp;REGEXREPLACE(C631,""[^0-9]"","""")&amp;""?text=""&amp;ENCODEURL(""Ya llegue. Codigo: ""&amp;A631&amp;"". Ubicacion: ""&amp;""https://www.google.com/maps/search/?api=1&amp;query=""&amp;SUBSTITUTE(F631,"" "","""")),""📲 Avisar al cliente"""&amp;"),"""")"),"")</f>
        <v/>
      </c>
      <c r="L631" s="5" t="str">
        <f>IFERROR(__xludf.DUMMYFUNCTION("IF(C631&lt;&gt;"""",""https://api.qrserver.com/v1/create-qr-code/?size=200x200&amp;data=""&amp;ENCODEURL(""https://wa.me/507""&amp;REGEXREPLACE(C631,""[^0-9]"","""")&amp;""?text=""&amp;ENCODEURL(""Ya llegue. Codigo: ""&amp;A631&amp;"". Ubicacion: ""&amp;""https://www.google.com/maps/search/?a"&amp;"pi=1&amp;query=""&amp;SUBSTITUTE(F631,"" "",""""))),"""")"),"")</f>
        <v/>
      </c>
      <c r="M631" s="5" t="str">
        <f t="shared" si="6"/>
        <v/>
      </c>
      <c r="N631" s="5" t="str">
        <f>IFERROR(__xludf.DUMMYFUNCTION("IF(AND(F631&lt;&gt;"""",REGEXMATCH(SUBSTITUTE(F631,"" "",""""),""^-?\d+(\.\d+)?,-?\d+(\.\d+)?$""),VALUE(REGEXEXTRACT(SUBSTITUTE(F631,"" "",""""),""^-?\d+(\.\d+)?""))&gt;=-90,VALUE(REGEXEXTRACT(SUBSTITUTE(F631,"" "",""""),""^-?\d+(\.\d+)?""))&lt;=90,VALUE(REGEXEXTRACT"&amp;"(SUBSTITUTE(F631,"" "",""""),""-?\d+(\.\d+)?$""))&gt;=-180,VALUE(REGEXEXTRACT(SUBSTITUTE(F631,"" "",""""),""-?\d+(\.\d+)?$""))&lt;=180),""OK"",""REVISAR"")"),"#N/A")</f>
        <v>#N/A</v>
      </c>
    </row>
    <row r="632" ht="15.75" customHeight="1">
      <c r="A632" s="5" t="str">
        <f t="shared" si="1"/>
        <v>AD507-0630</v>
      </c>
      <c r="C632" s="5"/>
      <c r="F632" s="5"/>
      <c r="G632" s="5" t="str">
        <f t="shared" si="2"/>
        <v/>
      </c>
      <c r="H632" s="5" t="str">
        <f t="shared" si="3"/>
        <v/>
      </c>
      <c r="I632" s="5" t="str">
        <f t="shared" si="4"/>
        <v/>
      </c>
      <c r="J632" s="5" t="str">
        <f t="shared" si="5"/>
        <v/>
      </c>
      <c r="K632" s="5" t="str">
        <f>IFERROR(__xludf.DUMMYFUNCTION("IF(C632&lt;&gt;"""",HYPERLINK(""https://wa.me/507""&amp;REGEXREPLACE(C632,""[^0-9]"","""")&amp;""?text=""&amp;ENCODEURL(""Ya llegue. Codigo: ""&amp;A632&amp;"". Ubicacion: ""&amp;""https://www.google.com/maps/search/?api=1&amp;query=""&amp;SUBSTITUTE(F632,"" "","""")),""📲 Avisar al cliente"""&amp;"),"""")"),"")</f>
        <v/>
      </c>
      <c r="L632" s="5" t="str">
        <f>IFERROR(__xludf.DUMMYFUNCTION("IF(C632&lt;&gt;"""",""https://api.qrserver.com/v1/create-qr-code/?size=200x200&amp;data=""&amp;ENCODEURL(""https://wa.me/507""&amp;REGEXREPLACE(C632,""[^0-9]"","""")&amp;""?text=""&amp;ENCODEURL(""Ya llegue. Codigo: ""&amp;A632&amp;"". Ubicacion: ""&amp;""https://www.google.com/maps/search/?a"&amp;"pi=1&amp;query=""&amp;SUBSTITUTE(F632,"" "",""""))),"""")"),"")</f>
        <v/>
      </c>
      <c r="M632" s="5" t="str">
        <f t="shared" si="6"/>
        <v/>
      </c>
      <c r="N632" s="5" t="str">
        <f>IFERROR(__xludf.DUMMYFUNCTION("IF(AND(F632&lt;&gt;"""",REGEXMATCH(SUBSTITUTE(F632,"" "",""""),""^-?\d+(\.\d+)?,-?\d+(\.\d+)?$""),VALUE(REGEXEXTRACT(SUBSTITUTE(F632,"" "",""""),""^-?\d+(\.\d+)?""))&gt;=-90,VALUE(REGEXEXTRACT(SUBSTITUTE(F632,"" "",""""),""^-?\d+(\.\d+)?""))&lt;=90,VALUE(REGEXEXTRACT"&amp;"(SUBSTITUTE(F632,"" "",""""),""-?\d+(\.\d+)?$""))&gt;=-180,VALUE(REGEXEXTRACT(SUBSTITUTE(F632,"" "",""""),""-?\d+(\.\d+)?$""))&lt;=180),""OK"",""REVISAR"")"),"#N/A")</f>
        <v>#N/A</v>
      </c>
    </row>
    <row r="633" ht="15.75" customHeight="1">
      <c r="A633" s="5" t="str">
        <f t="shared" si="1"/>
        <v>AD507-0631</v>
      </c>
      <c r="C633" s="5"/>
      <c r="F633" s="5"/>
      <c r="G633" s="5" t="str">
        <f t="shared" si="2"/>
        <v/>
      </c>
      <c r="H633" s="5" t="str">
        <f t="shared" si="3"/>
        <v/>
      </c>
      <c r="I633" s="5" t="str">
        <f t="shared" si="4"/>
        <v/>
      </c>
      <c r="J633" s="5" t="str">
        <f t="shared" si="5"/>
        <v/>
      </c>
      <c r="K633" s="5" t="str">
        <f>IFERROR(__xludf.DUMMYFUNCTION("IF(C633&lt;&gt;"""",HYPERLINK(""https://wa.me/507""&amp;REGEXREPLACE(C633,""[^0-9]"","""")&amp;""?text=""&amp;ENCODEURL(""Ya llegue. Codigo: ""&amp;A633&amp;"". Ubicacion: ""&amp;""https://www.google.com/maps/search/?api=1&amp;query=""&amp;SUBSTITUTE(F633,"" "","""")),""📲 Avisar al cliente"""&amp;"),"""")"),"")</f>
        <v/>
      </c>
      <c r="L633" s="5" t="str">
        <f>IFERROR(__xludf.DUMMYFUNCTION("IF(C633&lt;&gt;"""",""https://api.qrserver.com/v1/create-qr-code/?size=200x200&amp;data=""&amp;ENCODEURL(""https://wa.me/507""&amp;REGEXREPLACE(C633,""[^0-9]"","""")&amp;""?text=""&amp;ENCODEURL(""Ya llegue. Codigo: ""&amp;A633&amp;"". Ubicacion: ""&amp;""https://www.google.com/maps/search/?a"&amp;"pi=1&amp;query=""&amp;SUBSTITUTE(F633,"" "",""""))),"""")"),"")</f>
        <v/>
      </c>
      <c r="M633" s="5" t="str">
        <f t="shared" si="6"/>
        <v/>
      </c>
      <c r="N633" s="5" t="str">
        <f>IFERROR(__xludf.DUMMYFUNCTION("IF(AND(F633&lt;&gt;"""",REGEXMATCH(SUBSTITUTE(F633,"" "",""""),""^-?\d+(\.\d+)?,-?\d+(\.\d+)?$""),VALUE(REGEXEXTRACT(SUBSTITUTE(F633,"" "",""""),""^-?\d+(\.\d+)?""))&gt;=-90,VALUE(REGEXEXTRACT(SUBSTITUTE(F633,"" "",""""),""^-?\d+(\.\d+)?""))&lt;=90,VALUE(REGEXEXTRACT"&amp;"(SUBSTITUTE(F633,"" "",""""),""-?\d+(\.\d+)?$""))&gt;=-180,VALUE(REGEXEXTRACT(SUBSTITUTE(F633,"" "",""""),""-?\d+(\.\d+)?$""))&lt;=180),""OK"",""REVISAR"")"),"#N/A")</f>
        <v>#N/A</v>
      </c>
    </row>
    <row r="634" ht="15.75" customHeight="1">
      <c r="A634" s="5" t="str">
        <f t="shared" si="1"/>
        <v>AD507-0632</v>
      </c>
      <c r="C634" s="5"/>
      <c r="F634" s="5"/>
      <c r="G634" s="5" t="str">
        <f t="shared" si="2"/>
        <v/>
      </c>
      <c r="H634" s="5" t="str">
        <f t="shared" si="3"/>
        <v/>
      </c>
      <c r="I634" s="5" t="str">
        <f t="shared" si="4"/>
        <v/>
      </c>
      <c r="J634" s="5" t="str">
        <f t="shared" si="5"/>
        <v/>
      </c>
      <c r="K634" s="5" t="str">
        <f>IFERROR(__xludf.DUMMYFUNCTION("IF(C634&lt;&gt;"""",HYPERLINK(""https://wa.me/507""&amp;REGEXREPLACE(C634,""[^0-9]"","""")&amp;""?text=""&amp;ENCODEURL(""Ya llegue. Codigo: ""&amp;A634&amp;"". Ubicacion: ""&amp;""https://www.google.com/maps/search/?api=1&amp;query=""&amp;SUBSTITUTE(F634,"" "","""")),""📲 Avisar al cliente"""&amp;"),"""")"),"")</f>
        <v/>
      </c>
      <c r="L634" s="5" t="str">
        <f>IFERROR(__xludf.DUMMYFUNCTION("IF(C634&lt;&gt;"""",""https://api.qrserver.com/v1/create-qr-code/?size=200x200&amp;data=""&amp;ENCODEURL(""https://wa.me/507""&amp;REGEXREPLACE(C634,""[^0-9]"","""")&amp;""?text=""&amp;ENCODEURL(""Ya llegue. Codigo: ""&amp;A634&amp;"". Ubicacion: ""&amp;""https://www.google.com/maps/search/?a"&amp;"pi=1&amp;query=""&amp;SUBSTITUTE(F634,"" "",""""))),"""")"),"")</f>
        <v/>
      </c>
      <c r="M634" s="5" t="str">
        <f t="shared" si="6"/>
        <v/>
      </c>
      <c r="N634" s="5" t="str">
        <f>IFERROR(__xludf.DUMMYFUNCTION("IF(AND(F634&lt;&gt;"""",REGEXMATCH(SUBSTITUTE(F634,"" "",""""),""^-?\d+(\.\d+)?,-?\d+(\.\d+)?$""),VALUE(REGEXEXTRACT(SUBSTITUTE(F634,"" "",""""),""^-?\d+(\.\d+)?""))&gt;=-90,VALUE(REGEXEXTRACT(SUBSTITUTE(F634,"" "",""""),""^-?\d+(\.\d+)?""))&lt;=90,VALUE(REGEXEXTRACT"&amp;"(SUBSTITUTE(F634,"" "",""""),""-?\d+(\.\d+)?$""))&gt;=-180,VALUE(REGEXEXTRACT(SUBSTITUTE(F634,"" "",""""),""-?\d+(\.\d+)?$""))&lt;=180),""OK"",""REVISAR"")"),"#N/A")</f>
        <v>#N/A</v>
      </c>
    </row>
    <row r="635" ht="15.75" customHeight="1">
      <c r="A635" s="5" t="str">
        <f t="shared" si="1"/>
        <v>AD507-0633</v>
      </c>
      <c r="C635" s="5"/>
      <c r="F635" s="5"/>
      <c r="G635" s="5" t="str">
        <f t="shared" si="2"/>
        <v/>
      </c>
      <c r="H635" s="5" t="str">
        <f t="shared" si="3"/>
        <v/>
      </c>
      <c r="I635" s="5" t="str">
        <f t="shared" si="4"/>
        <v/>
      </c>
      <c r="J635" s="5" t="str">
        <f t="shared" si="5"/>
        <v/>
      </c>
      <c r="K635" s="5" t="str">
        <f>IFERROR(__xludf.DUMMYFUNCTION("IF(C635&lt;&gt;"""",HYPERLINK(""https://wa.me/507""&amp;REGEXREPLACE(C635,""[^0-9]"","""")&amp;""?text=""&amp;ENCODEURL(""Ya llegue. Codigo: ""&amp;A635&amp;"". Ubicacion: ""&amp;""https://www.google.com/maps/search/?api=1&amp;query=""&amp;SUBSTITUTE(F635,"" "","""")),""📲 Avisar al cliente"""&amp;"),"""")"),"")</f>
        <v/>
      </c>
      <c r="L635" s="5" t="str">
        <f>IFERROR(__xludf.DUMMYFUNCTION("IF(C635&lt;&gt;"""",""https://api.qrserver.com/v1/create-qr-code/?size=200x200&amp;data=""&amp;ENCODEURL(""https://wa.me/507""&amp;REGEXREPLACE(C635,""[^0-9]"","""")&amp;""?text=""&amp;ENCODEURL(""Ya llegue. Codigo: ""&amp;A635&amp;"". Ubicacion: ""&amp;""https://www.google.com/maps/search/?a"&amp;"pi=1&amp;query=""&amp;SUBSTITUTE(F635,"" "",""""))),"""")"),"")</f>
        <v/>
      </c>
      <c r="M635" s="5" t="str">
        <f t="shared" si="6"/>
        <v/>
      </c>
      <c r="N635" s="5" t="str">
        <f>IFERROR(__xludf.DUMMYFUNCTION("IF(AND(F635&lt;&gt;"""",REGEXMATCH(SUBSTITUTE(F635,"" "",""""),""^-?\d+(\.\d+)?,-?\d+(\.\d+)?$""),VALUE(REGEXEXTRACT(SUBSTITUTE(F635,"" "",""""),""^-?\d+(\.\d+)?""))&gt;=-90,VALUE(REGEXEXTRACT(SUBSTITUTE(F635,"" "",""""),""^-?\d+(\.\d+)?""))&lt;=90,VALUE(REGEXEXTRACT"&amp;"(SUBSTITUTE(F635,"" "",""""),""-?\d+(\.\d+)?$""))&gt;=-180,VALUE(REGEXEXTRACT(SUBSTITUTE(F635,"" "",""""),""-?\d+(\.\d+)?$""))&lt;=180),""OK"",""REVISAR"")"),"#N/A")</f>
        <v>#N/A</v>
      </c>
    </row>
    <row r="636" ht="15.75" customHeight="1">
      <c r="A636" s="5" t="str">
        <f t="shared" si="1"/>
        <v>AD507-0634</v>
      </c>
      <c r="C636" s="5"/>
      <c r="F636" s="5"/>
      <c r="G636" s="5" t="str">
        <f t="shared" si="2"/>
        <v/>
      </c>
      <c r="H636" s="5" t="str">
        <f t="shared" si="3"/>
        <v/>
      </c>
      <c r="I636" s="5" t="str">
        <f t="shared" si="4"/>
        <v/>
      </c>
      <c r="J636" s="5" t="str">
        <f t="shared" si="5"/>
        <v/>
      </c>
      <c r="K636" s="5" t="str">
        <f>IFERROR(__xludf.DUMMYFUNCTION("IF(C636&lt;&gt;"""",HYPERLINK(""https://wa.me/507""&amp;REGEXREPLACE(C636,""[^0-9]"","""")&amp;""?text=""&amp;ENCODEURL(""Ya llegue. Codigo: ""&amp;A636&amp;"". Ubicacion: ""&amp;""https://www.google.com/maps/search/?api=1&amp;query=""&amp;SUBSTITUTE(F636,"" "","""")),""📲 Avisar al cliente"""&amp;"),"""")"),"")</f>
        <v/>
      </c>
      <c r="L636" s="5" t="str">
        <f>IFERROR(__xludf.DUMMYFUNCTION("IF(C636&lt;&gt;"""",""https://api.qrserver.com/v1/create-qr-code/?size=200x200&amp;data=""&amp;ENCODEURL(""https://wa.me/507""&amp;REGEXREPLACE(C636,""[^0-9]"","""")&amp;""?text=""&amp;ENCODEURL(""Ya llegue. Codigo: ""&amp;A636&amp;"". Ubicacion: ""&amp;""https://www.google.com/maps/search/?a"&amp;"pi=1&amp;query=""&amp;SUBSTITUTE(F636,"" "",""""))),"""")"),"")</f>
        <v/>
      </c>
      <c r="M636" s="5" t="str">
        <f t="shared" si="6"/>
        <v/>
      </c>
      <c r="N636" s="5" t="str">
        <f>IFERROR(__xludf.DUMMYFUNCTION("IF(AND(F636&lt;&gt;"""",REGEXMATCH(SUBSTITUTE(F636,"" "",""""),""^-?\d+(\.\d+)?,-?\d+(\.\d+)?$""),VALUE(REGEXEXTRACT(SUBSTITUTE(F636,"" "",""""),""^-?\d+(\.\d+)?""))&gt;=-90,VALUE(REGEXEXTRACT(SUBSTITUTE(F636,"" "",""""),""^-?\d+(\.\d+)?""))&lt;=90,VALUE(REGEXEXTRACT"&amp;"(SUBSTITUTE(F636,"" "",""""),""-?\d+(\.\d+)?$""))&gt;=-180,VALUE(REGEXEXTRACT(SUBSTITUTE(F636,"" "",""""),""-?\d+(\.\d+)?$""))&lt;=180),""OK"",""REVISAR"")"),"#N/A")</f>
        <v>#N/A</v>
      </c>
    </row>
    <row r="637" ht="15.75" customHeight="1">
      <c r="A637" s="5" t="str">
        <f t="shared" si="1"/>
        <v>AD507-0635</v>
      </c>
      <c r="C637" s="5"/>
      <c r="F637" s="5"/>
      <c r="G637" s="5" t="str">
        <f t="shared" si="2"/>
        <v/>
      </c>
      <c r="H637" s="5" t="str">
        <f t="shared" si="3"/>
        <v/>
      </c>
      <c r="I637" s="5" t="str">
        <f t="shared" si="4"/>
        <v/>
      </c>
      <c r="J637" s="5" t="str">
        <f t="shared" si="5"/>
        <v/>
      </c>
      <c r="K637" s="5" t="str">
        <f>IFERROR(__xludf.DUMMYFUNCTION("IF(C637&lt;&gt;"""",HYPERLINK(""https://wa.me/507""&amp;REGEXREPLACE(C637,""[^0-9]"","""")&amp;""?text=""&amp;ENCODEURL(""Ya llegue. Codigo: ""&amp;A637&amp;"". Ubicacion: ""&amp;""https://www.google.com/maps/search/?api=1&amp;query=""&amp;SUBSTITUTE(F637,"" "","""")),""📲 Avisar al cliente"""&amp;"),"""")"),"")</f>
        <v/>
      </c>
      <c r="L637" s="5" t="str">
        <f>IFERROR(__xludf.DUMMYFUNCTION("IF(C637&lt;&gt;"""",""https://api.qrserver.com/v1/create-qr-code/?size=200x200&amp;data=""&amp;ENCODEURL(""https://wa.me/507""&amp;REGEXREPLACE(C637,""[^0-9]"","""")&amp;""?text=""&amp;ENCODEURL(""Ya llegue. Codigo: ""&amp;A637&amp;"". Ubicacion: ""&amp;""https://www.google.com/maps/search/?a"&amp;"pi=1&amp;query=""&amp;SUBSTITUTE(F637,"" "",""""))),"""")"),"")</f>
        <v/>
      </c>
      <c r="M637" s="5" t="str">
        <f t="shared" si="6"/>
        <v/>
      </c>
      <c r="N637" s="5" t="str">
        <f>IFERROR(__xludf.DUMMYFUNCTION("IF(AND(F637&lt;&gt;"""",REGEXMATCH(SUBSTITUTE(F637,"" "",""""),""^-?\d+(\.\d+)?,-?\d+(\.\d+)?$""),VALUE(REGEXEXTRACT(SUBSTITUTE(F637,"" "",""""),""^-?\d+(\.\d+)?""))&gt;=-90,VALUE(REGEXEXTRACT(SUBSTITUTE(F637,"" "",""""),""^-?\d+(\.\d+)?""))&lt;=90,VALUE(REGEXEXTRACT"&amp;"(SUBSTITUTE(F637,"" "",""""),""-?\d+(\.\d+)?$""))&gt;=-180,VALUE(REGEXEXTRACT(SUBSTITUTE(F637,"" "",""""),""-?\d+(\.\d+)?$""))&lt;=180),""OK"",""REVISAR"")"),"#N/A")</f>
        <v>#N/A</v>
      </c>
    </row>
    <row r="638" ht="15.75" customHeight="1">
      <c r="A638" s="5" t="str">
        <f t="shared" si="1"/>
        <v>AD507-0636</v>
      </c>
      <c r="C638" s="5"/>
      <c r="F638" s="5"/>
      <c r="G638" s="5" t="str">
        <f t="shared" si="2"/>
        <v/>
      </c>
      <c r="H638" s="5" t="str">
        <f t="shared" si="3"/>
        <v/>
      </c>
      <c r="I638" s="5" t="str">
        <f t="shared" si="4"/>
        <v/>
      </c>
      <c r="J638" s="5" t="str">
        <f t="shared" si="5"/>
        <v/>
      </c>
      <c r="K638" s="5" t="str">
        <f>IFERROR(__xludf.DUMMYFUNCTION("IF(C638&lt;&gt;"""",HYPERLINK(""https://wa.me/507""&amp;REGEXREPLACE(C638,""[^0-9]"","""")&amp;""?text=""&amp;ENCODEURL(""Ya llegue. Codigo: ""&amp;A638&amp;"". Ubicacion: ""&amp;""https://www.google.com/maps/search/?api=1&amp;query=""&amp;SUBSTITUTE(F638,"" "","""")),""📲 Avisar al cliente"""&amp;"),"""")"),"")</f>
        <v/>
      </c>
      <c r="L638" s="5" t="str">
        <f>IFERROR(__xludf.DUMMYFUNCTION("IF(C638&lt;&gt;"""",""https://api.qrserver.com/v1/create-qr-code/?size=200x200&amp;data=""&amp;ENCODEURL(""https://wa.me/507""&amp;REGEXREPLACE(C638,""[^0-9]"","""")&amp;""?text=""&amp;ENCODEURL(""Ya llegue. Codigo: ""&amp;A638&amp;"". Ubicacion: ""&amp;""https://www.google.com/maps/search/?a"&amp;"pi=1&amp;query=""&amp;SUBSTITUTE(F638,"" "",""""))),"""")"),"")</f>
        <v/>
      </c>
      <c r="M638" s="5" t="str">
        <f t="shared" si="6"/>
        <v/>
      </c>
      <c r="N638" s="5" t="str">
        <f>IFERROR(__xludf.DUMMYFUNCTION("IF(AND(F638&lt;&gt;"""",REGEXMATCH(SUBSTITUTE(F638,"" "",""""),""^-?\d+(\.\d+)?,-?\d+(\.\d+)?$""),VALUE(REGEXEXTRACT(SUBSTITUTE(F638,"" "",""""),""^-?\d+(\.\d+)?""))&gt;=-90,VALUE(REGEXEXTRACT(SUBSTITUTE(F638,"" "",""""),""^-?\d+(\.\d+)?""))&lt;=90,VALUE(REGEXEXTRACT"&amp;"(SUBSTITUTE(F638,"" "",""""),""-?\d+(\.\d+)?$""))&gt;=-180,VALUE(REGEXEXTRACT(SUBSTITUTE(F638,"" "",""""),""-?\d+(\.\d+)?$""))&lt;=180),""OK"",""REVISAR"")"),"#N/A")</f>
        <v>#N/A</v>
      </c>
    </row>
    <row r="639" ht="15.75" customHeight="1">
      <c r="A639" s="5" t="str">
        <f t="shared" si="1"/>
        <v>AD507-0637</v>
      </c>
      <c r="C639" s="5"/>
      <c r="F639" s="5"/>
      <c r="G639" s="5" t="str">
        <f t="shared" si="2"/>
        <v/>
      </c>
      <c r="H639" s="5" t="str">
        <f t="shared" si="3"/>
        <v/>
      </c>
      <c r="I639" s="5" t="str">
        <f t="shared" si="4"/>
        <v/>
      </c>
      <c r="J639" s="5" t="str">
        <f t="shared" si="5"/>
        <v/>
      </c>
      <c r="K639" s="5" t="str">
        <f>IFERROR(__xludf.DUMMYFUNCTION("IF(C639&lt;&gt;"""",HYPERLINK(""https://wa.me/507""&amp;REGEXREPLACE(C639,""[^0-9]"","""")&amp;""?text=""&amp;ENCODEURL(""Ya llegue. Codigo: ""&amp;A639&amp;"". Ubicacion: ""&amp;""https://www.google.com/maps/search/?api=1&amp;query=""&amp;SUBSTITUTE(F639,"" "","""")),""📲 Avisar al cliente"""&amp;"),"""")"),"")</f>
        <v/>
      </c>
      <c r="L639" s="5" t="str">
        <f>IFERROR(__xludf.DUMMYFUNCTION("IF(C639&lt;&gt;"""",""https://api.qrserver.com/v1/create-qr-code/?size=200x200&amp;data=""&amp;ENCODEURL(""https://wa.me/507""&amp;REGEXREPLACE(C639,""[^0-9]"","""")&amp;""?text=""&amp;ENCODEURL(""Ya llegue. Codigo: ""&amp;A639&amp;"". Ubicacion: ""&amp;""https://www.google.com/maps/search/?a"&amp;"pi=1&amp;query=""&amp;SUBSTITUTE(F639,"" "",""""))),"""")"),"")</f>
        <v/>
      </c>
      <c r="M639" s="5" t="str">
        <f t="shared" si="6"/>
        <v/>
      </c>
      <c r="N639" s="5" t="str">
        <f>IFERROR(__xludf.DUMMYFUNCTION("IF(AND(F639&lt;&gt;"""",REGEXMATCH(SUBSTITUTE(F639,"" "",""""),""^-?\d+(\.\d+)?,-?\d+(\.\d+)?$""),VALUE(REGEXEXTRACT(SUBSTITUTE(F639,"" "",""""),""^-?\d+(\.\d+)?""))&gt;=-90,VALUE(REGEXEXTRACT(SUBSTITUTE(F639,"" "",""""),""^-?\d+(\.\d+)?""))&lt;=90,VALUE(REGEXEXTRACT"&amp;"(SUBSTITUTE(F639,"" "",""""),""-?\d+(\.\d+)?$""))&gt;=-180,VALUE(REGEXEXTRACT(SUBSTITUTE(F639,"" "",""""),""-?\d+(\.\d+)?$""))&lt;=180),""OK"",""REVISAR"")"),"#N/A")</f>
        <v>#N/A</v>
      </c>
    </row>
    <row r="640" ht="15.75" customHeight="1">
      <c r="A640" s="5" t="str">
        <f t="shared" si="1"/>
        <v>AD507-0638</v>
      </c>
      <c r="C640" s="5"/>
      <c r="F640" s="5"/>
      <c r="G640" s="5" t="str">
        <f t="shared" si="2"/>
        <v/>
      </c>
      <c r="H640" s="5" t="str">
        <f t="shared" si="3"/>
        <v/>
      </c>
      <c r="I640" s="5" t="str">
        <f t="shared" si="4"/>
        <v/>
      </c>
      <c r="J640" s="5" t="str">
        <f t="shared" si="5"/>
        <v/>
      </c>
      <c r="K640" s="5" t="str">
        <f>IFERROR(__xludf.DUMMYFUNCTION("IF(C640&lt;&gt;"""",HYPERLINK(""https://wa.me/507""&amp;REGEXREPLACE(C640,""[^0-9]"","""")&amp;""?text=""&amp;ENCODEURL(""Ya llegue. Codigo: ""&amp;A640&amp;"". Ubicacion: ""&amp;""https://www.google.com/maps/search/?api=1&amp;query=""&amp;SUBSTITUTE(F640,"" "","""")),""📲 Avisar al cliente"""&amp;"),"""")"),"")</f>
        <v/>
      </c>
      <c r="L640" s="5" t="str">
        <f>IFERROR(__xludf.DUMMYFUNCTION("IF(C640&lt;&gt;"""",""https://api.qrserver.com/v1/create-qr-code/?size=200x200&amp;data=""&amp;ENCODEURL(""https://wa.me/507""&amp;REGEXREPLACE(C640,""[^0-9]"","""")&amp;""?text=""&amp;ENCODEURL(""Ya llegue. Codigo: ""&amp;A640&amp;"". Ubicacion: ""&amp;""https://www.google.com/maps/search/?a"&amp;"pi=1&amp;query=""&amp;SUBSTITUTE(F640,"" "",""""))),"""")"),"")</f>
        <v/>
      </c>
      <c r="M640" s="5" t="str">
        <f t="shared" si="6"/>
        <v/>
      </c>
      <c r="N640" s="5" t="str">
        <f>IFERROR(__xludf.DUMMYFUNCTION("IF(AND(F640&lt;&gt;"""",REGEXMATCH(SUBSTITUTE(F640,"" "",""""),""^-?\d+(\.\d+)?,-?\d+(\.\d+)?$""),VALUE(REGEXEXTRACT(SUBSTITUTE(F640,"" "",""""),""^-?\d+(\.\d+)?""))&gt;=-90,VALUE(REGEXEXTRACT(SUBSTITUTE(F640,"" "",""""),""^-?\d+(\.\d+)?""))&lt;=90,VALUE(REGEXEXTRACT"&amp;"(SUBSTITUTE(F640,"" "",""""),""-?\d+(\.\d+)?$""))&gt;=-180,VALUE(REGEXEXTRACT(SUBSTITUTE(F640,"" "",""""),""-?\d+(\.\d+)?$""))&lt;=180),""OK"",""REVISAR"")"),"#N/A")</f>
        <v>#N/A</v>
      </c>
    </row>
    <row r="641" ht="15.75" customHeight="1">
      <c r="A641" s="5" t="str">
        <f t="shared" si="1"/>
        <v>AD507-0639</v>
      </c>
      <c r="C641" s="5"/>
      <c r="F641" s="5"/>
      <c r="G641" s="5" t="str">
        <f t="shared" si="2"/>
        <v/>
      </c>
      <c r="H641" s="5" t="str">
        <f t="shared" si="3"/>
        <v/>
      </c>
      <c r="I641" s="5" t="str">
        <f t="shared" si="4"/>
        <v/>
      </c>
      <c r="J641" s="5" t="str">
        <f t="shared" si="5"/>
        <v/>
      </c>
      <c r="K641" s="5" t="str">
        <f>IFERROR(__xludf.DUMMYFUNCTION("IF(C641&lt;&gt;"""",HYPERLINK(""https://wa.me/507""&amp;REGEXREPLACE(C641,""[^0-9]"","""")&amp;""?text=""&amp;ENCODEURL(""Ya llegue. Codigo: ""&amp;A641&amp;"". Ubicacion: ""&amp;""https://www.google.com/maps/search/?api=1&amp;query=""&amp;SUBSTITUTE(F641,"" "","""")),""📲 Avisar al cliente"""&amp;"),"""")"),"")</f>
        <v/>
      </c>
      <c r="L641" s="5" t="str">
        <f>IFERROR(__xludf.DUMMYFUNCTION("IF(C641&lt;&gt;"""",""https://api.qrserver.com/v1/create-qr-code/?size=200x200&amp;data=""&amp;ENCODEURL(""https://wa.me/507""&amp;REGEXREPLACE(C641,""[^0-9]"","""")&amp;""?text=""&amp;ENCODEURL(""Ya llegue. Codigo: ""&amp;A641&amp;"". Ubicacion: ""&amp;""https://www.google.com/maps/search/?a"&amp;"pi=1&amp;query=""&amp;SUBSTITUTE(F641,"" "",""""))),"""")"),"")</f>
        <v/>
      </c>
      <c r="M641" s="5" t="str">
        <f t="shared" si="6"/>
        <v/>
      </c>
      <c r="N641" s="5" t="str">
        <f>IFERROR(__xludf.DUMMYFUNCTION("IF(AND(F641&lt;&gt;"""",REGEXMATCH(SUBSTITUTE(F641,"" "",""""),""^-?\d+(\.\d+)?,-?\d+(\.\d+)?$""),VALUE(REGEXEXTRACT(SUBSTITUTE(F641,"" "",""""),""^-?\d+(\.\d+)?""))&gt;=-90,VALUE(REGEXEXTRACT(SUBSTITUTE(F641,"" "",""""),""^-?\d+(\.\d+)?""))&lt;=90,VALUE(REGEXEXTRACT"&amp;"(SUBSTITUTE(F641,"" "",""""),""-?\d+(\.\d+)?$""))&gt;=-180,VALUE(REGEXEXTRACT(SUBSTITUTE(F641,"" "",""""),""-?\d+(\.\d+)?$""))&lt;=180),""OK"",""REVISAR"")"),"#N/A")</f>
        <v>#N/A</v>
      </c>
    </row>
    <row r="642" ht="15.75" customHeight="1">
      <c r="A642" s="5" t="str">
        <f t="shared" si="1"/>
        <v>AD507-0640</v>
      </c>
      <c r="C642" s="5"/>
      <c r="F642" s="5"/>
      <c r="G642" s="5" t="str">
        <f t="shared" si="2"/>
        <v/>
      </c>
      <c r="H642" s="5" t="str">
        <f t="shared" si="3"/>
        <v/>
      </c>
      <c r="I642" s="5" t="str">
        <f t="shared" si="4"/>
        <v/>
      </c>
      <c r="J642" s="5" t="str">
        <f t="shared" si="5"/>
        <v/>
      </c>
      <c r="K642" s="5" t="str">
        <f>IFERROR(__xludf.DUMMYFUNCTION("IF(C642&lt;&gt;"""",HYPERLINK(""https://wa.me/507""&amp;REGEXREPLACE(C642,""[^0-9]"","""")&amp;""?text=""&amp;ENCODEURL(""Ya llegue. Codigo: ""&amp;A642&amp;"". Ubicacion: ""&amp;""https://www.google.com/maps/search/?api=1&amp;query=""&amp;SUBSTITUTE(F642,"" "","""")),""📲 Avisar al cliente"""&amp;"),"""")"),"")</f>
        <v/>
      </c>
      <c r="L642" s="5" t="str">
        <f>IFERROR(__xludf.DUMMYFUNCTION("IF(C642&lt;&gt;"""",""https://api.qrserver.com/v1/create-qr-code/?size=200x200&amp;data=""&amp;ENCODEURL(""https://wa.me/507""&amp;REGEXREPLACE(C642,""[^0-9]"","""")&amp;""?text=""&amp;ENCODEURL(""Ya llegue. Codigo: ""&amp;A642&amp;"". Ubicacion: ""&amp;""https://www.google.com/maps/search/?a"&amp;"pi=1&amp;query=""&amp;SUBSTITUTE(F642,"" "",""""))),"""")"),"")</f>
        <v/>
      </c>
      <c r="M642" s="5" t="str">
        <f t="shared" si="6"/>
        <v/>
      </c>
      <c r="N642" s="5" t="str">
        <f>IFERROR(__xludf.DUMMYFUNCTION("IF(AND(F642&lt;&gt;"""",REGEXMATCH(SUBSTITUTE(F642,"" "",""""),""^-?\d+(\.\d+)?,-?\d+(\.\d+)?$""),VALUE(REGEXEXTRACT(SUBSTITUTE(F642,"" "",""""),""^-?\d+(\.\d+)?""))&gt;=-90,VALUE(REGEXEXTRACT(SUBSTITUTE(F642,"" "",""""),""^-?\d+(\.\d+)?""))&lt;=90,VALUE(REGEXEXTRACT"&amp;"(SUBSTITUTE(F642,"" "",""""),""-?\d+(\.\d+)?$""))&gt;=-180,VALUE(REGEXEXTRACT(SUBSTITUTE(F642,"" "",""""),""-?\d+(\.\d+)?$""))&lt;=180),""OK"",""REVISAR"")"),"#N/A")</f>
        <v>#N/A</v>
      </c>
    </row>
    <row r="643" ht="15.75" customHeight="1">
      <c r="A643" s="5" t="str">
        <f t="shared" si="1"/>
        <v>AD507-0641</v>
      </c>
      <c r="C643" s="5"/>
      <c r="F643" s="5"/>
      <c r="G643" s="5" t="str">
        <f t="shared" si="2"/>
        <v/>
      </c>
      <c r="H643" s="5" t="str">
        <f t="shared" si="3"/>
        <v/>
      </c>
      <c r="I643" s="5" t="str">
        <f t="shared" si="4"/>
        <v/>
      </c>
      <c r="J643" s="5" t="str">
        <f t="shared" si="5"/>
        <v/>
      </c>
      <c r="K643" s="5" t="str">
        <f>IFERROR(__xludf.DUMMYFUNCTION("IF(C643&lt;&gt;"""",HYPERLINK(""https://wa.me/507""&amp;REGEXREPLACE(C643,""[^0-9]"","""")&amp;""?text=""&amp;ENCODEURL(""Ya llegue. Codigo: ""&amp;A643&amp;"". Ubicacion: ""&amp;""https://www.google.com/maps/search/?api=1&amp;query=""&amp;SUBSTITUTE(F643,"" "","""")),""📲 Avisar al cliente"""&amp;"),"""")"),"")</f>
        <v/>
      </c>
      <c r="L643" s="5" t="str">
        <f>IFERROR(__xludf.DUMMYFUNCTION("IF(C643&lt;&gt;"""",""https://api.qrserver.com/v1/create-qr-code/?size=200x200&amp;data=""&amp;ENCODEURL(""https://wa.me/507""&amp;REGEXREPLACE(C643,""[^0-9]"","""")&amp;""?text=""&amp;ENCODEURL(""Ya llegue. Codigo: ""&amp;A643&amp;"". Ubicacion: ""&amp;""https://www.google.com/maps/search/?a"&amp;"pi=1&amp;query=""&amp;SUBSTITUTE(F643,"" "",""""))),"""")"),"")</f>
        <v/>
      </c>
      <c r="M643" s="5" t="str">
        <f t="shared" si="6"/>
        <v/>
      </c>
      <c r="N643" s="5" t="str">
        <f>IFERROR(__xludf.DUMMYFUNCTION("IF(AND(F643&lt;&gt;"""",REGEXMATCH(SUBSTITUTE(F643,"" "",""""),""^-?\d+(\.\d+)?,-?\d+(\.\d+)?$""),VALUE(REGEXEXTRACT(SUBSTITUTE(F643,"" "",""""),""^-?\d+(\.\d+)?""))&gt;=-90,VALUE(REGEXEXTRACT(SUBSTITUTE(F643,"" "",""""),""^-?\d+(\.\d+)?""))&lt;=90,VALUE(REGEXEXTRACT"&amp;"(SUBSTITUTE(F643,"" "",""""),""-?\d+(\.\d+)?$""))&gt;=-180,VALUE(REGEXEXTRACT(SUBSTITUTE(F643,"" "",""""),""-?\d+(\.\d+)?$""))&lt;=180),""OK"",""REVISAR"")"),"#N/A")</f>
        <v>#N/A</v>
      </c>
    </row>
    <row r="644" ht="15.75" customHeight="1">
      <c r="A644" s="5" t="str">
        <f t="shared" si="1"/>
        <v>AD507-0642</v>
      </c>
      <c r="C644" s="5"/>
      <c r="F644" s="5"/>
      <c r="G644" s="5" t="str">
        <f t="shared" si="2"/>
        <v/>
      </c>
      <c r="H644" s="5" t="str">
        <f t="shared" si="3"/>
        <v/>
      </c>
      <c r="I644" s="5" t="str">
        <f t="shared" si="4"/>
        <v/>
      </c>
      <c r="J644" s="5" t="str">
        <f t="shared" si="5"/>
        <v/>
      </c>
      <c r="K644" s="5" t="str">
        <f>IFERROR(__xludf.DUMMYFUNCTION("IF(C644&lt;&gt;"""",HYPERLINK(""https://wa.me/507""&amp;REGEXREPLACE(C644,""[^0-9]"","""")&amp;""?text=""&amp;ENCODEURL(""Ya llegue. Codigo: ""&amp;A644&amp;"". Ubicacion: ""&amp;""https://www.google.com/maps/search/?api=1&amp;query=""&amp;SUBSTITUTE(F644,"" "","""")),""📲 Avisar al cliente"""&amp;"),"""")"),"")</f>
        <v/>
      </c>
      <c r="L644" s="5" t="str">
        <f>IFERROR(__xludf.DUMMYFUNCTION("IF(C644&lt;&gt;"""",""https://api.qrserver.com/v1/create-qr-code/?size=200x200&amp;data=""&amp;ENCODEURL(""https://wa.me/507""&amp;REGEXREPLACE(C644,""[^0-9]"","""")&amp;""?text=""&amp;ENCODEURL(""Ya llegue. Codigo: ""&amp;A644&amp;"". Ubicacion: ""&amp;""https://www.google.com/maps/search/?a"&amp;"pi=1&amp;query=""&amp;SUBSTITUTE(F644,"" "",""""))),"""")"),"")</f>
        <v/>
      </c>
      <c r="M644" s="5" t="str">
        <f t="shared" si="6"/>
        <v/>
      </c>
      <c r="N644" s="5" t="str">
        <f>IFERROR(__xludf.DUMMYFUNCTION("IF(AND(F644&lt;&gt;"""",REGEXMATCH(SUBSTITUTE(F644,"" "",""""),""^-?\d+(\.\d+)?,-?\d+(\.\d+)?$""),VALUE(REGEXEXTRACT(SUBSTITUTE(F644,"" "",""""),""^-?\d+(\.\d+)?""))&gt;=-90,VALUE(REGEXEXTRACT(SUBSTITUTE(F644,"" "",""""),""^-?\d+(\.\d+)?""))&lt;=90,VALUE(REGEXEXTRACT"&amp;"(SUBSTITUTE(F644,"" "",""""),""-?\d+(\.\d+)?$""))&gt;=-180,VALUE(REGEXEXTRACT(SUBSTITUTE(F644,"" "",""""),""-?\d+(\.\d+)?$""))&lt;=180),""OK"",""REVISAR"")"),"#N/A")</f>
        <v>#N/A</v>
      </c>
    </row>
    <row r="645" ht="15.75" customHeight="1">
      <c r="A645" s="5" t="str">
        <f t="shared" si="1"/>
        <v>AD507-0643</v>
      </c>
      <c r="C645" s="5"/>
      <c r="F645" s="5"/>
      <c r="G645" s="5" t="str">
        <f t="shared" si="2"/>
        <v/>
      </c>
      <c r="H645" s="5" t="str">
        <f t="shared" si="3"/>
        <v/>
      </c>
      <c r="I645" s="5" t="str">
        <f t="shared" si="4"/>
        <v/>
      </c>
      <c r="J645" s="5" t="str">
        <f t="shared" si="5"/>
        <v/>
      </c>
      <c r="K645" s="5" t="str">
        <f>IFERROR(__xludf.DUMMYFUNCTION("IF(C645&lt;&gt;"""",HYPERLINK(""https://wa.me/507""&amp;REGEXREPLACE(C645,""[^0-9]"","""")&amp;""?text=""&amp;ENCODEURL(""Ya llegue. Codigo: ""&amp;A645&amp;"". Ubicacion: ""&amp;""https://www.google.com/maps/search/?api=1&amp;query=""&amp;SUBSTITUTE(F645,"" "","""")),""📲 Avisar al cliente"""&amp;"),"""")"),"")</f>
        <v/>
      </c>
      <c r="L645" s="5" t="str">
        <f>IFERROR(__xludf.DUMMYFUNCTION("IF(C645&lt;&gt;"""",""https://api.qrserver.com/v1/create-qr-code/?size=200x200&amp;data=""&amp;ENCODEURL(""https://wa.me/507""&amp;REGEXREPLACE(C645,""[^0-9]"","""")&amp;""?text=""&amp;ENCODEURL(""Ya llegue. Codigo: ""&amp;A645&amp;"". Ubicacion: ""&amp;""https://www.google.com/maps/search/?a"&amp;"pi=1&amp;query=""&amp;SUBSTITUTE(F645,"" "",""""))),"""")"),"")</f>
        <v/>
      </c>
      <c r="M645" s="5" t="str">
        <f t="shared" si="6"/>
        <v/>
      </c>
      <c r="N645" s="5" t="str">
        <f>IFERROR(__xludf.DUMMYFUNCTION("IF(AND(F645&lt;&gt;"""",REGEXMATCH(SUBSTITUTE(F645,"" "",""""),""^-?\d+(\.\d+)?,-?\d+(\.\d+)?$""),VALUE(REGEXEXTRACT(SUBSTITUTE(F645,"" "",""""),""^-?\d+(\.\d+)?""))&gt;=-90,VALUE(REGEXEXTRACT(SUBSTITUTE(F645,"" "",""""),""^-?\d+(\.\d+)?""))&lt;=90,VALUE(REGEXEXTRACT"&amp;"(SUBSTITUTE(F645,"" "",""""),""-?\d+(\.\d+)?$""))&gt;=-180,VALUE(REGEXEXTRACT(SUBSTITUTE(F645,"" "",""""),""-?\d+(\.\d+)?$""))&lt;=180),""OK"",""REVISAR"")"),"#N/A")</f>
        <v>#N/A</v>
      </c>
    </row>
    <row r="646" ht="15.75" customHeight="1">
      <c r="A646" s="5" t="str">
        <f t="shared" si="1"/>
        <v>AD507-0644</v>
      </c>
      <c r="C646" s="5"/>
      <c r="F646" s="5"/>
      <c r="G646" s="5" t="str">
        <f t="shared" si="2"/>
        <v/>
      </c>
      <c r="H646" s="5" t="str">
        <f t="shared" si="3"/>
        <v/>
      </c>
      <c r="I646" s="5" t="str">
        <f t="shared" si="4"/>
        <v/>
      </c>
      <c r="J646" s="5" t="str">
        <f t="shared" si="5"/>
        <v/>
      </c>
      <c r="K646" s="5" t="str">
        <f>IFERROR(__xludf.DUMMYFUNCTION("IF(C646&lt;&gt;"""",HYPERLINK(""https://wa.me/507""&amp;REGEXREPLACE(C646,""[^0-9]"","""")&amp;""?text=""&amp;ENCODEURL(""Ya llegue. Codigo: ""&amp;A646&amp;"". Ubicacion: ""&amp;""https://www.google.com/maps/search/?api=1&amp;query=""&amp;SUBSTITUTE(F646,"" "","""")),""📲 Avisar al cliente"""&amp;"),"""")"),"")</f>
        <v/>
      </c>
      <c r="L646" s="5" t="str">
        <f>IFERROR(__xludf.DUMMYFUNCTION("IF(C646&lt;&gt;"""",""https://api.qrserver.com/v1/create-qr-code/?size=200x200&amp;data=""&amp;ENCODEURL(""https://wa.me/507""&amp;REGEXREPLACE(C646,""[^0-9]"","""")&amp;""?text=""&amp;ENCODEURL(""Ya llegue. Codigo: ""&amp;A646&amp;"". Ubicacion: ""&amp;""https://www.google.com/maps/search/?a"&amp;"pi=1&amp;query=""&amp;SUBSTITUTE(F646,"" "",""""))),"""")"),"")</f>
        <v/>
      </c>
      <c r="M646" s="5" t="str">
        <f t="shared" si="6"/>
        <v/>
      </c>
      <c r="N646" s="5" t="str">
        <f>IFERROR(__xludf.DUMMYFUNCTION("IF(AND(F646&lt;&gt;"""",REGEXMATCH(SUBSTITUTE(F646,"" "",""""),""^-?\d+(\.\d+)?,-?\d+(\.\d+)?$""),VALUE(REGEXEXTRACT(SUBSTITUTE(F646,"" "",""""),""^-?\d+(\.\d+)?""))&gt;=-90,VALUE(REGEXEXTRACT(SUBSTITUTE(F646,"" "",""""),""^-?\d+(\.\d+)?""))&lt;=90,VALUE(REGEXEXTRACT"&amp;"(SUBSTITUTE(F646,"" "",""""),""-?\d+(\.\d+)?$""))&gt;=-180,VALUE(REGEXEXTRACT(SUBSTITUTE(F646,"" "",""""),""-?\d+(\.\d+)?$""))&lt;=180),""OK"",""REVISAR"")"),"#N/A")</f>
        <v>#N/A</v>
      </c>
    </row>
    <row r="647" ht="15.75" customHeight="1">
      <c r="A647" s="5" t="str">
        <f t="shared" si="1"/>
        <v>AD507-0645</v>
      </c>
      <c r="C647" s="5"/>
      <c r="F647" s="5"/>
      <c r="G647" s="5" t="str">
        <f t="shared" si="2"/>
        <v/>
      </c>
      <c r="H647" s="5" t="str">
        <f t="shared" si="3"/>
        <v/>
      </c>
      <c r="I647" s="5" t="str">
        <f t="shared" si="4"/>
        <v/>
      </c>
      <c r="J647" s="5" t="str">
        <f t="shared" si="5"/>
        <v/>
      </c>
      <c r="K647" s="5" t="str">
        <f>IFERROR(__xludf.DUMMYFUNCTION("IF(C647&lt;&gt;"""",HYPERLINK(""https://wa.me/507""&amp;REGEXREPLACE(C647,""[^0-9]"","""")&amp;""?text=""&amp;ENCODEURL(""Ya llegue. Codigo: ""&amp;A647&amp;"". Ubicacion: ""&amp;""https://www.google.com/maps/search/?api=1&amp;query=""&amp;SUBSTITUTE(F647,"" "","""")),""📲 Avisar al cliente"""&amp;"),"""")"),"")</f>
        <v/>
      </c>
      <c r="L647" s="5" t="str">
        <f>IFERROR(__xludf.DUMMYFUNCTION("IF(C647&lt;&gt;"""",""https://api.qrserver.com/v1/create-qr-code/?size=200x200&amp;data=""&amp;ENCODEURL(""https://wa.me/507""&amp;REGEXREPLACE(C647,""[^0-9]"","""")&amp;""?text=""&amp;ENCODEURL(""Ya llegue. Codigo: ""&amp;A647&amp;"". Ubicacion: ""&amp;""https://www.google.com/maps/search/?a"&amp;"pi=1&amp;query=""&amp;SUBSTITUTE(F647,"" "",""""))),"""")"),"")</f>
        <v/>
      </c>
      <c r="M647" s="5" t="str">
        <f t="shared" si="6"/>
        <v/>
      </c>
      <c r="N647" s="5" t="str">
        <f>IFERROR(__xludf.DUMMYFUNCTION("IF(AND(F647&lt;&gt;"""",REGEXMATCH(SUBSTITUTE(F647,"" "",""""),""^-?\d+(\.\d+)?,-?\d+(\.\d+)?$""),VALUE(REGEXEXTRACT(SUBSTITUTE(F647,"" "",""""),""^-?\d+(\.\d+)?""))&gt;=-90,VALUE(REGEXEXTRACT(SUBSTITUTE(F647,"" "",""""),""^-?\d+(\.\d+)?""))&lt;=90,VALUE(REGEXEXTRACT"&amp;"(SUBSTITUTE(F647,"" "",""""),""-?\d+(\.\d+)?$""))&gt;=-180,VALUE(REGEXEXTRACT(SUBSTITUTE(F647,"" "",""""),""-?\d+(\.\d+)?$""))&lt;=180),""OK"",""REVISAR"")"),"#N/A")</f>
        <v>#N/A</v>
      </c>
    </row>
    <row r="648" ht="15.75" customHeight="1">
      <c r="A648" s="5" t="str">
        <f t="shared" si="1"/>
        <v>AD507-0646</v>
      </c>
      <c r="C648" s="5"/>
      <c r="F648" s="5"/>
      <c r="G648" s="5" t="str">
        <f t="shared" si="2"/>
        <v/>
      </c>
      <c r="H648" s="5" t="str">
        <f t="shared" si="3"/>
        <v/>
      </c>
      <c r="I648" s="5" t="str">
        <f t="shared" si="4"/>
        <v/>
      </c>
      <c r="J648" s="5" t="str">
        <f t="shared" si="5"/>
        <v/>
      </c>
      <c r="K648" s="5" t="str">
        <f>IFERROR(__xludf.DUMMYFUNCTION("IF(C648&lt;&gt;"""",HYPERLINK(""https://wa.me/507""&amp;REGEXREPLACE(C648,""[^0-9]"","""")&amp;""?text=""&amp;ENCODEURL(""Ya llegue. Codigo: ""&amp;A648&amp;"". Ubicacion: ""&amp;""https://www.google.com/maps/search/?api=1&amp;query=""&amp;SUBSTITUTE(F648,"" "","""")),""📲 Avisar al cliente"""&amp;"),"""")"),"")</f>
        <v/>
      </c>
      <c r="L648" s="5" t="str">
        <f>IFERROR(__xludf.DUMMYFUNCTION("IF(C648&lt;&gt;"""",""https://api.qrserver.com/v1/create-qr-code/?size=200x200&amp;data=""&amp;ENCODEURL(""https://wa.me/507""&amp;REGEXREPLACE(C648,""[^0-9]"","""")&amp;""?text=""&amp;ENCODEURL(""Ya llegue. Codigo: ""&amp;A648&amp;"". Ubicacion: ""&amp;""https://www.google.com/maps/search/?a"&amp;"pi=1&amp;query=""&amp;SUBSTITUTE(F648,"" "",""""))),"""")"),"")</f>
        <v/>
      </c>
      <c r="M648" s="5" t="str">
        <f t="shared" si="6"/>
        <v/>
      </c>
      <c r="N648" s="5" t="str">
        <f>IFERROR(__xludf.DUMMYFUNCTION("IF(AND(F648&lt;&gt;"""",REGEXMATCH(SUBSTITUTE(F648,"" "",""""),""^-?\d+(\.\d+)?,-?\d+(\.\d+)?$""),VALUE(REGEXEXTRACT(SUBSTITUTE(F648,"" "",""""),""^-?\d+(\.\d+)?""))&gt;=-90,VALUE(REGEXEXTRACT(SUBSTITUTE(F648,"" "",""""),""^-?\d+(\.\d+)?""))&lt;=90,VALUE(REGEXEXTRACT"&amp;"(SUBSTITUTE(F648,"" "",""""),""-?\d+(\.\d+)?$""))&gt;=-180,VALUE(REGEXEXTRACT(SUBSTITUTE(F648,"" "",""""),""-?\d+(\.\d+)?$""))&lt;=180),""OK"",""REVISAR"")"),"#N/A")</f>
        <v>#N/A</v>
      </c>
    </row>
    <row r="649" ht="15.75" customHeight="1">
      <c r="A649" s="5" t="str">
        <f t="shared" si="1"/>
        <v>AD507-0647</v>
      </c>
      <c r="C649" s="5"/>
      <c r="F649" s="5"/>
      <c r="G649" s="5" t="str">
        <f t="shared" si="2"/>
        <v/>
      </c>
      <c r="H649" s="5" t="str">
        <f t="shared" si="3"/>
        <v/>
      </c>
      <c r="I649" s="5" t="str">
        <f t="shared" si="4"/>
        <v/>
      </c>
      <c r="J649" s="5" t="str">
        <f t="shared" si="5"/>
        <v/>
      </c>
      <c r="K649" s="5" t="str">
        <f>IFERROR(__xludf.DUMMYFUNCTION("IF(C649&lt;&gt;"""",HYPERLINK(""https://wa.me/507""&amp;REGEXREPLACE(C649,""[^0-9]"","""")&amp;""?text=""&amp;ENCODEURL(""Ya llegue. Codigo: ""&amp;A649&amp;"". Ubicacion: ""&amp;""https://www.google.com/maps/search/?api=1&amp;query=""&amp;SUBSTITUTE(F649,"" "","""")),""📲 Avisar al cliente"""&amp;"),"""")"),"")</f>
        <v/>
      </c>
      <c r="L649" s="5" t="str">
        <f>IFERROR(__xludf.DUMMYFUNCTION("IF(C649&lt;&gt;"""",""https://api.qrserver.com/v1/create-qr-code/?size=200x200&amp;data=""&amp;ENCODEURL(""https://wa.me/507""&amp;REGEXREPLACE(C649,""[^0-9]"","""")&amp;""?text=""&amp;ENCODEURL(""Ya llegue. Codigo: ""&amp;A649&amp;"". Ubicacion: ""&amp;""https://www.google.com/maps/search/?a"&amp;"pi=1&amp;query=""&amp;SUBSTITUTE(F649,"" "",""""))),"""")"),"")</f>
        <v/>
      </c>
      <c r="M649" s="5" t="str">
        <f t="shared" si="6"/>
        <v/>
      </c>
      <c r="N649" s="5" t="str">
        <f>IFERROR(__xludf.DUMMYFUNCTION("IF(AND(F649&lt;&gt;"""",REGEXMATCH(SUBSTITUTE(F649,"" "",""""),""^-?\d+(\.\d+)?,-?\d+(\.\d+)?$""),VALUE(REGEXEXTRACT(SUBSTITUTE(F649,"" "",""""),""^-?\d+(\.\d+)?""))&gt;=-90,VALUE(REGEXEXTRACT(SUBSTITUTE(F649,"" "",""""),""^-?\d+(\.\d+)?""))&lt;=90,VALUE(REGEXEXTRACT"&amp;"(SUBSTITUTE(F649,"" "",""""),""-?\d+(\.\d+)?$""))&gt;=-180,VALUE(REGEXEXTRACT(SUBSTITUTE(F649,"" "",""""),""-?\d+(\.\d+)?$""))&lt;=180),""OK"",""REVISAR"")"),"#N/A")</f>
        <v>#N/A</v>
      </c>
    </row>
    <row r="650" ht="15.75" customHeight="1">
      <c r="A650" s="5" t="str">
        <f t="shared" si="1"/>
        <v>AD507-0648</v>
      </c>
      <c r="C650" s="5"/>
      <c r="F650" s="5"/>
      <c r="G650" s="5" t="str">
        <f t="shared" si="2"/>
        <v/>
      </c>
      <c r="H650" s="5" t="str">
        <f t="shared" si="3"/>
        <v/>
      </c>
      <c r="I650" s="5" t="str">
        <f t="shared" si="4"/>
        <v/>
      </c>
      <c r="J650" s="5" t="str">
        <f t="shared" si="5"/>
        <v/>
      </c>
      <c r="K650" s="5" t="str">
        <f>IFERROR(__xludf.DUMMYFUNCTION("IF(C650&lt;&gt;"""",HYPERLINK(""https://wa.me/507""&amp;REGEXREPLACE(C650,""[^0-9]"","""")&amp;""?text=""&amp;ENCODEURL(""Ya llegue. Codigo: ""&amp;A650&amp;"". Ubicacion: ""&amp;""https://www.google.com/maps/search/?api=1&amp;query=""&amp;SUBSTITUTE(F650,"" "","""")),""📲 Avisar al cliente"""&amp;"),"""")"),"")</f>
        <v/>
      </c>
      <c r="L650" s="5" t="str">
        <f>IFERROR(__xludf.DUMMYFUNCTION("IF(C650&lt;&gt;"""",""https://api.qrserver.com/v1/create-qr-code/?size=200x200&amp;data=""&amp;ENCODEURL(""https://wa.me/507""&amp;REGEXREPLACE(C650,""[^0-9]"","""")&amp;""?text=""&amp;ENCODEURL(""Ya llegue. Codigo: ""&amp;A650&amp;"". Ubicacion: ""&amp;""https://www.google.com/maps/search/?a"&amp;"pi=1&amp;query=""&amp;SUBSTITUTE(F650,"" "",""""))),"""")"),"")</f>
        <v/>
      </c>
      <c r="M650" s="5" t="str">
        <f t="shared" si="6"/>
        <v/>
      </c>
      <c r="N650" s="5" t="str">
        <f>IFERROR(__xludf.DUMMYFUNCTION("IF(AND(F650&lt;&gt;"""",REGEXMATCH(SUBSTITUTE(F650,"" "",""""),""^-?\d+(\.\d+)?,-?\d+(\.\d+)?$""),VALUE(REGEXEXTRACT(SUBSTITUTE(F650,"" "",""""),""^-?\d+(\.\d+)?""))&gt;=-90,VALUE(REGEXEXTRACT(SUBSTITUTE(F650,"" "",""""),""^-?\d+(\.\d+)?""))&lt;=90,VALUE(REGEXEXTRACT"&amp;"(SUBSTITUTE(F650,"" "",""""),""-?\d+(\.\d+)?$""))&gt;=-180,VALUE(REGEXEXTRACT(SUBSTITUTE(F650,"" "",""""),""-?\d+(\.\d+)?$""))&lt;=180),""OK"",""REVISAR"")"),"#N/A")</f>
        <v>#N/A</v>
      </c>
    </row>
    <row r="651" ht="15.75" customHeight="1">
      <c r="A651" s="5" t="str">
        <f t="shared" si="1"/>
        <v>AD507-0649</v>
      </c>
      <c r="C651" s="5"/>
      <c r="F651" s="5"/>
      <c r="G651" s="5" t="str">
        <f t="shared" si="2"/>
        <v/>
      </c>
      <c r="H651" s="5" t="str">
        <f t="shared" si="3"/>
        <v/>
      </c>
      <c r="I651" s="5" t="str">
        <f t="shared" si="4"/>
        <v/>
      </c>
      <c r="J651" s="5" t="str">
        <f t="shared" si="5"/>
        <v/>
      </c>
      <c r="K651" s="5" t="str">
        <f>IFERROR(__xludf.DUMMYFUNCTION("IF(C651&lt;&gt;"""",HYPERLINK(""https://wa.me/507""&amp;REGEXREPLACE(C651,""[^0-9]"","""")&amp;""?text=""&amp;ENCODEURL(""Ya llegue. Codigo: ""&amp;A651&amp;"". Ubicacion: ""&amp;""https://www.google.com/maps/search/?api=1&amp;query=""&amp;SUBSTITUTE(F651,"" "","""")),""📲 Avisar al cliente"""&amp;"),"""")"),"")</f>
        <v/>
      </c>
      <c r="L651" s="5" t="str">
        <f>IFERROR(__xludf.DUMMYFUNCTION("IF(C651&lt;&gt;"""",""https://api.qrserver.com/v1/create-qr-code/?size=200x200&amp;data=""&amp;ENCODEURL(""https://wa.me/507""&amp;REGEXREPLACE(C651,""[^0-9]"","""")&amp;""?text=""&amp;ENCODEURL(""Ya llegue. Codigo: ""&amp;A651&amp;"". Ubicacion: ""&amp;""https://www.google.com/maps/search/?a"&amp;"pi=1&amp;query=""&amp;SUBSTITUTE(F651,"" "",""""))),"""")"),"")</f>
        <v/>
      </c>
      <c r="M651" s="5" t="str">
        <f t="shared" si="6"/>
        <v/>
      </c>
      <c r="N651" s="5" t="str">
        <f>IFERROR(__xludf.DUMMYFUNCTION("IF(AND(F651&lt;&gt;"""",REGEXMATCH(SUBSTITUTE(F651,"" "",""""),""^-?\d+(\.\d+)?,-?\d+(\.\d+)?$""),VALUE(REGEXEXTRACT(SUBSTITUTE(F651,"" "",""""),""^-?\d+(\.\d+)?""))&gt;=-90,VALUE(REGEXEXTRACT(SUBSTITUTE(F651,"" "",""""),""^-?\d+(\.\d+)?""))&lt;=90,VALUE(REGEXEXTRACT"&amp;"(SUBSTITUTE(F651,"" "",""""),""-?\d+(\.\d+)?$""))&gt;=-180,VALUE(REGEXEXTRACT(SUBSTITUTE(F651,"" "",""""),""-?\d+(\.\d+)?$""))&lt;=180),""OK"",""REVISAR"")"),"#N/A")</f>
        <v>#N/A</v>
      </c>
    </row>
    <row r="652" ht="15.75" customHeight="1">
      <c r="A652" s="5" t="str">
        <f t="shared" si="1"/>
        <v>AD507-0650</v>
      </c>
      <c r="C652" s="5"/>
      <c r="F652" s="5"/>
      <c r="G652" s="5" t="str">
        <f t="shared" si="2"/>
        <v/>
      </c>
      <c r="H652" s="5" t="str">
        <f t="shared" si="3"/>
        <v/>
      </c>
      <c r="I652" s="5" t="str">
        <f t="shared" si="4"/>
        <v/>
      </c>
      <c r="J652" s="5" t="str">
        <f t="shared" si="5"/>
        <v/>
      </c>
      <c r="K652" s="5" t="str">
        <f>IFERROR(__xludf.DUMMYFUNCTION("IF(C652&lt;&gt;"""",HYPERLINK(""https://wa.me/507""&amp;REGEXREPLACE(C652,""[^0-9]"","""")&amp;""?text=""&amp;ENCODEURL(""Ya llegue. Codigo: ""&amp;A652&amp;"". Ubicacion: ""&amp;""https://www.google.com/maps/search/?api=1&amp;query=""&amp;SUBSTITUTE(F652,"" "","""")),""📲 Avisar al cliente"""&amp;"),"""")"),"")</f>
        <v/>
      </c>
      <c r="L652" s="5" t="str">
        <f>IFERROR(__xludf.DUMMYFUNCTION("IF(C652&lt;&gt;"""",""https://api.qrserver.com/v1/create-qr-code/?size=200x200&amp;data=""&amp;ENCODEURL(""https://wa.me/507""&amp;REGEXREPLACE(C652,""[^0-9]"","""")&amp;""?text=""&amp;ENCODEURL(""Ya llegue. Codigo: ""&amp;A652&amp;"". Ubicacion: ""&amp;""https://www.google.com/maps/search/?a"&amp;"pi=1&amp;query=""&amp;SUBSTITUTE(F652,"" "",""""))),"""")"),"")</f>
        <v/>
      </c>
      <c r="M652" s="5" t="str">
        <f t="shared" si="6"/>
        <v/>
      </c>
      <c r="N652" s="5" t="str">
        <f>IFERROR(__xludf.DUMMYFUNCTION("IF(AND(F652&lt;&gt;"""",REGEXMATCH(SUBSTITUTE(F652,"" "",""""),""^-?\d+(\.\d+)?,-?\d+(\.\d+)?$""),VALUE(REGEXEXTRACT(SUBSTITUTE(F652,"" "",""""),""^-?\d+(\.\d+)?""))&gt;=-90,VALUE(REGEXEXTRACT(SUBSTITUTE(F652,"" "",""""),""^-?\d+(\.\d+)?""))&lt;=90,VALUE(REGEXEXTRACT"&amp;"(SUBSTITUTE(F652,"" "",""""),""-?\d+(\.\d+)?$""))&gt;=-180,VALUE(REGEXEXTRACT(SUBSTITUTE(F652,"" "",""""),""-?\d+(\.\d+)?$""))&lt;=180),""OK"",""REVISAR"")"),"#N/A")</f>
        <v>#N/A</v>
      </c>
    </row>
    <row r="653" ht="15.75" customHeight="1">
      <c r="A653" s="5" t="str">
        <f t="shared" si="1"/>
        <v>AD507-0651</v>
      </c>
      <c r="C653" s="5"/>
      <c r="F653" s="5"/>
      <c r="G653" s="5" t="str">
        <f t="shared" si="2"/>
        <v/>
      </c>
      <c r="H653" s="5" t="str">
        <f t="shared" si="3"/>
        <v/>
      </c>
      <c r="I653" s="5" t="str">
        <f t="shared" si="4"/>
        <v/>
      </c>
      <c r="J653" s="5" t="str">
        <f t="shared" si="5"/>
        <v/>
      </c>
      <c r="K653" s="5" t="str">
        <f>IFERROR(__xludf.DUMMYFUNCTION("IF(C653&lt;&gt;"""",HYPERLINK(""https://wa.me/507""&amp;REGEXREPLACE(C653,""[^0-9]"","""")&amp;""?text=""&amp;ENCODEURL(""Ya llegue. Codigo: ""&amp;A653&amp;"". Ubicacion: ""&amp;""https://www.google.com/maps/search/?api=1&amp;query=""&amp;SUBSTITUTE(F653,"" "","""")),""📲 Avisar al cliente"""&amp;"),"""")"),"")</f>
        <v/>
      </c>
      <c r="L653" s="5" t="str">
        <f>IFERROR(__xludf.DUMMYFUNCTION("IF(C653&lt;&gt;"""",""https://api.qrserver.com/v1/create-qr-code/?size=200x200&amp;data=""&amp;ENCODEURL(""https://wa.me/507""&amp;REGEXREPLACE(C653,""[^0-9]"","""")&amp;""?text=""&amp;ENCODEURL(""Ya llegue. Codigo: ""&amp;A653&amp;"". Ubicacion: ""&amp;""https://www.google.com/maps/search/?a"&amp;"pi=1&amp;query=""&amp;SUBSTITUTE(F653,"" "",""""))),"""")"),"")</f>
        <v/>
      </c>
      <c r="M653" s="5" t="str">
        <f t="shared" si="6"/>
        <v/>
      </c>
      <c r="N653" s="5" t="str">
        <f>IFERROR(__xludf.DUMMYFUNCTION("IF(AND(F653&lt;&gt;"""",REGEXMATCH(SUBSTITUTE(F653,"" "",""""),""^-?\d+(\.\d+)?,-?\d+(\.\d+)?$""),VALUE(REGEXEXTRACT(SUBSTITUTE(F653,"" "",""""),""^-?\d+(\.\d+)?""))&gt;=-90,VALUE(REGEXEXTRACT(SUBSTITUTE(F653,"" "",""""),""^-?\d+(\.\d+)?""))&lt;=90,VALUE(REGEXEXTRACT"&amp;"(SUBSTITUTE(F653,"" "",""""),""-?\d+(\.\d+)?$""))&gt;=-180,VALUE(REGEXEXTRACT(SUBSTITUTE(F653,"" "",""""),""-?\d+(\.\d+)?$""))&lt;=180),""OK"",""REVISAR"")"),"#N/A")</f>
        <v>#N/A</v>
      </c>
    </row>
    <row r="654" ht="15.75" customHeight="1">
      <c r="A654" s="5" t="str">
        <f t="shared" si="1"/>
        <v>AD507-0652</v>
      </c>
      <c r="C654" s="5"/>
      <c r="F654" s="5"/>
      <c r="G654" s="5" t="str">
        <f t="shared" si="2"/>
        <v/>
      </c>
      <c r="H654" s="5" t="str">
        <f t="shared" si="3"/>
        <v/>
      </c>
      <c r="I654" s="5" t="str">
        <f t="shared" si="4"/>
        <v/>
      </c>
      <c r="J654" s="5" t="str">
        <f t="shared" si="5"/>
        <v/>
      </c>
      <c r="K654" s="5" t="str">
        <f>IFERROR(__xludf.DUMMYFUNCTION("IF(C654&lt;&gt;"""",HYPERLINK(""https://wa.me/507""&amp;REGEXREPLACE(C654,""[^0-9]"","""")&amp;""?text=""&amp;ENCODEURL(""Ya llegue. Codigo: ""&amp;A654&amp;"". Ubicacion: ""&amp;""https://www.google.com/maps/search/?api=1&amp;query=""&amp;SUBSTITUTE(F654,"" "","""")),""📲 Avisar al cliente"""&amp;"),"""")"),"")</f>
        <v/>
      </c>
      <c r="L654" s="5" t="str">
        <f>IFERROR(__xludf.DUMMYFUNCTION("IF(C654&lt;&gt;"""",""https://api.qrserver.com/v1/create-qr-code/?size=200x200&amp;data=""&amp;ENCODEURL(""https://wa.me/507""&amp;REGEXREPLACE(C654,""[^0-9]"","""")&amp;""?text=""&amp;ENCODEURL(""Ya llegue. Codigo: ""&amp;A654&amp;"". Ubicacion: ""&amp;""https://www.google.com/maps/search/?a"&amp;"pi=1&amp;query=""&amp;SUBSTITUTE(F654,"" "",""""))),"""")"),"")</f>
        <v/>
      </c>
      <c r="M654" s="5" t="str">
        <f t="shared" si="6"/>
        <v/>
      </c>
      <c r="N654" s="5" t="str">
        <f>IFERROR(__xludf.DUMMYFUNCTION("IF(AND(F654&lt;&gt;"""",REGEXMATCH(SUBSTITUTE(F654,"" "",""""),""^-?\d+(\.\d+)?,-?\d+(\.\d+)?$""),VALUE(REGEXEXTRACT(SUBSTITUTE(F654,"" "",""""),""^-?\d+(\.\d+)?""))&gt;=-90,VALUE(REGEXEXTRACT(SUBSTITUTE(F654,"" "",""""),""^-?\d+(\.\d+)?""))&lt;=90,VALUE(REGEXEXTRACT"&amp;"(SUBSTITUTE(F654,"" "",""""),""-?\d+(\.\d+)?$""))&gt;=-180,VALUE(REGEXEXTRACT(SUBSTITUTE(F654,"" "",""""),""-?\d+(\.\d+)?$""))&lt;=180),""OK"",""REVISAR"")"),"#N/A")</f>
        <v>#N/A</v>
      </c>
    </row>
    <row r="655" ht="15.75" customHeight="1">
      <c r="A655" s="5" t="str">
        <f t="shared" si="1"/>
        <v>AD507-0653</v>
      </c>
      <c r="C655" s="5"/>
      <c r="F655" s="5"/>
      <c r="G655" s="5" t="str">
        <f t="shared" si="2"/>
        <v/>
      </c>
      <c r="H655" s="5" t="str">
        <f t="shared" si="3"/>
        <v/>
      </c>
      <c r="I655" s="5" t="str">
        <f t="shared" si="4"/>
        <v/>
      </c>
      <c r="J655" s="5" t="str">
        <f t="shared" si="5"/>
        <v/>
      </c>
      <c r="K655" s="5" t="str">
        <f>IFERROR(__xludf.DUMMYFUNCTION("IF(C655&lt;&gt;"""",HYPERLINK(""https://wa.me/507""&amp;REGEXREPLACE(C655,""[^0-9]"","""")&amp;""?text=""&amp;ENCODEURL(""Ya llegue. Codigo: ""&amp;A655&amp;"". Ubicacion: ""&amp;""https://www.google.com/maps/search/?api=1&amp;query=""&amp;SUBSTITUTE(F655,"" "","""")),""📲 Avisar al cliente"""&amp;"),"""")"),"")</f>
        <v/>
      </c>
      <c r="L655" s="5" t="str">
        <f>IFERROR(__xludf.DUMMYFUNCTION("IF(C655&lt;&gt;"""",""https://api.qrserver.com/v1/create-qr-code/?size=200x200&amp;data=""&amp;ENCODEURL(""https://wa.me/507""&amp;REGEXREPLACE(C655,""[^0-9]"","""")&amp;""?text=""&amp;ENCODEURL(""Ya llegue. Codigo: ""&amp;A655&amp;"". Ubicacion: ""&amp;""https://www.google.com/maps/search/?a"&amp;"pi=1&amp;query=""&amp;SUBSTITUTE(F655,"" "",""""))),"""")"),"")</f>
        <v/>
      </c>
      <c r="M655" s="5" t="str">
        <f t="shared" si="6"/>
        <v/>
      </c>
      <c r="N655" s="5" t="str">
        <f>IFERROR(__xludf.DUMMYFUNCTION("IF(AND(F655&lt;&gt;"""",REGEXMATCH(SUBSTITUTE(F655,"" "",""""),""^-?\d+(\.\d+)?,-?\d+(\.\d+)?$""),VALUE(REGEXEXTRACT(SUBSTITUTE(F655,"" "",""""),""^-?\d+(\.\d+)?""))&gt;=-90,VALUE(REGEXEXTRACT(SUBSTITUTE(F655,"" "",""""),""^-?\d+(\.\d+)?""))&lt;=90,VALUE(REGEXEXTRACT"&amp;"(SUBSTITUTE(F655,"" "",""""),""-?\d+(\.\d+)?$""))&gt;=-180,VALUE(REGEXEXTRACT(SUBSTITUTE(F655,"" "",""""),""-?\d+(\.\d+)?$""))&lt;=180),""OK"",""REVISAR"")"),"#N/A")</f>
        <v>#N/A</v>
      </c>
    </row>
    <row r="656" ht="15.75" customHeight="1">
      <c r="A656" s="5" t="str">
        <f t="shared" si="1"/>
        <v>AD507-0654</v>
      </c>
      <c r="C656" s="5"/>
      <c r="F656" s="5"/>
      <c r="G656" s="5" t="str">
        <f t="shared" si="2"/>
        <v/>
      </c>
      <c r="H656" s="5" t="str">
        <f t="shared" si="3"/>
        <v/>
      </c>
      <c r="I656" s="5" t="str">
        <f t="shared" si="4"/>
        <v/>
      </c>
      <c r="J656" s="5" t="str">
        <f t="shared" si="5"/>
        <v/>
      </c>
      <c r="K656" s="5" t="str">
        <f>IFERROR(__xludf.DUMMYFUNCTION("IF(C656&lt;&gt;"""",HYPERLINK(""https://wa.me/507""&amp;REGEXREPLACE(C656,""[^0-9]"","""")&amp;""?text=""&amp;ENCODEURL(""Ya llegue. Codigo: ""&amp;A656&amp;"". Ubicacion: ""&amp;""https://www.google.com/maps/search/?api=1&amp;query=""&amp;SUBSTITUTE(F656,"" "","""")),""📲 Avisar al cliente"""&amp;"),"""")"),"")</f>
        <v/>
      </c>
      <c r="L656" s="5" t="str">
        <f>IFERROR(__xludf.DUMMYFUNCTION("IF(C656&lt;&gt;"""",""https://api.qrserver.com/v1/create-qr-code/?size=200x200&amp;data=""&amp;ENCODEURL(""https://wa.me/507""&amp;REGEXREPLACE(C656,""[^0-9]"","""")&amp;""?text=""&amp;ENCODEURL(""Ya llegue. Codigo: ""&amp;A656&amp;"". Ubicacion: ""&amp;""https://www.google.com/maps/search/?a"&amp;"pi=1&amp;query=""&amp;SUBSTITUTE(F656,"" "",""""))),"""")"),"")</f>
        <v/>
      </c>
      <c r="M656" s="5" t="str">
        <f t="shared" si="6"/>
        <v/>
      </c>
      <c r="N656" s="5" t="str">
        <f>IFERROR(__xludf.DUMMYFUNCTION("IF(AND(F656&lt;&gt;"""",REGEXMATCH(SUBSTITUTE(F656,"" "",""""),""^-?\d+(\.\d+)?,-?\d+(\.\d+)?$""),VALUE(REGEXEXTRACT(SUBSTITUTE(F656,"" "",""""),""^-?\d+(\.\d+)?""))&gt;=-90,VALUE(REGEXEXTRACT(SUBSTITUTE(F656,"" "",""""),""^-?\d+(\.\d+)?""))&lt;=90,VALUE(REGEXEXTRACT"&amp;"(SUBSTITUTE(F656,"" "",""""),""-?\d+(\.\d+)?$""))&gt;=-180,VALUE(REGEXEXTRACT(SUBSTITUTE(F656,"" "",""""),""-?\d+(\.\d+)?$""))&lt;=180),""OK"",""REVISAR"")"),"#N/A")</f>
        <v>#N/A</v>
      </c>
    </row>
    <row r="657" ht="15.75" customHeight="1">
      <c r="A657" s="5" t="str">
        <f t="shared" si="1"/>
        <v>AD507-0655</v>
      </c>
      <c r="C657" s="5"/>
      <c r="F657" s="5"/>
      <c r="G657" s="5" t="str">
        <f t="shared" si="2"/>
        <v/>
      </c>
      <c r="H657" s="5" t="str">
        <f t="shared" si="3"/>
        <v/>
      </c>
      <c r="I657" s="5" t="str">
        <f t="shared" si="4"/>
        <v/>
      </c>
      <c r="J657" s="5" t="str">
        <f t="shared" si="5"/>
        <v/>
      </c>
      <c r="K657" s="5" t="str">
        <f>IFERROR(__xludf.DUMMYFUNCTION("IF(C657&lt;&gt;"""",HYPERLINK(""https://wa.me/507""&amp;REGEXREPLACE(C657,""[^0-9]"","""")&amp;""?text=""&amp;ENCODEURL(""Ya llegue. Codigo: ""&amp;A657&amp;"". Ubicacion: ""&amp;""https://www.google.com/maps/search/?api=1&amp;query=""&amp;SUBSTITUTE(F657,"" "","""")),""📲 Avisar al cliente"""&amp;"),"""")"),"")</f>
        <v/>
      </c>
      <c r="L657" s="5" t="str">
        <f>IFERROR(__xludf.DUMMYFUNCTION("IF(C657&lt;&gt;"""",""https://api.qrserver.com/v1/create-qr-code/?size=200x200&amp;data=""&amp;ENCODEURL(""https://wa.me/507""&amp;REGEXREPLACE(C657,""[^0-9]"","""")&amp;""?text=""&amp;ENCODEURL(""Ya llegue. Codigo: ""&amp;A657&amp;"". Ubicacion: ""&amp;""https://www.google.com/maps/search/?a"&amp;"pi=1&amp;query=""&amp;SUBSTITUTE(F657,"" "",""""))),"""")"),"")</f>
        <v/>
      </c>
      <c r="M657" s="5" t="str">
        <f t="shared" si="6"/>
        <v/>
      </c>
      <c r="N657" s="5" t="str">
        <f>IFERROR(__xludf.DUMMYFUNCTION("IF(AND(F657&lt;&gt;"""",REGEXMATCH(SUBSTITUTE(F657,"" "",""""),""^-?\d+(\.\d+)?,-?\d+(\.\d+)?$""),VALUE(REGEXEXTRACT(SUBSTITUTE(F657,"" "",""""),""^-?\d+(\.\d+)?""))&gt;=-90,VALUE(REGEXEXTRACT(SUBSTITUTE(F657,"" "",""""),""^-?\d+(\.\d+)?""))&lt;=90,VALUE(REGEXEXTRACT"&amp;"(SUBSTITUTE(F657,"" "",""""),""-?\d+(\.\d+)?$""))&gt;=-180,VALUE(REGEXEXTRACT(SUBSTITUTE(F657,"" "",""""),""-?\d+(\.\d+)?$""))&lt;=180),""OK"",""REVISAR"")"),"#N/A")</f>
        <v>#N/A</v>
      </c>
    </row>
    <row r="658" ht="15.75" customHeight="1">
      <c r="A658" s="5" t="str">
        <f t="shared" si="1"/>
        <v>AD507-0656</v>
      </c>
      <c r="C658" s="5"/>
      <c r="F658" s="5"/>
      <c r="G658" s="5" t="str">
        <f t="shared" si="2"/>
        <v/>
      </c>
      <c r="H658" s="5" t="str">
        <f t="shared" si="3"/>
        <v/>
      </c>
      <c r="I658" s="5" t="str">
        <f t="shared" si="4"/>
        <v/>
      </c>
      <c r="J658" s="5" t="str">
        <f t="shared" si="5"/>
        <v/>
      </c>
      <c r="K658" s="5" t="str">
        <f>IFERROR(__xludf.DUMMYFUNCTION("IF(C658&lt;&gt;"""",HYPERLINK(""https://wa.me/507""&amp;REGEXREPLACE(C658,""[^0-9]"","""")&amp;""?text=""&amp;ENCODEURL(""Ya llegue. Codigo: ""&amp;A658&amp;"". Ubicacion: ""&amp;""https://www.google.com/maps/search/?api=1&amp;query=""&amp;SUBSTITUTE(F658,"" "","""")),""📲 Avisar al cliente"""&amp;"),"""")"),"")</f>
        <v/>
      </c>
      <c r="L658" s="5" t="str">
        <f>IFERROR(__xludf.DUMMYFUNCTION("IF(C658&lt;&gt;"""",""https://api.qrserver.com/v1/create-qr-code/?size=200x200&amp;data=""&amp;ENCODEURL(""https://wa.me/507""&amp;REGEXREPLACE(C658,""[^0-9]"","""")&amp;""?text=""&amp;ENCODEURL(""Ya llegue. Codigo: ""&amp;A658&amp;"". Ubicacion: ""&amp;""https://www.google.com/maps/search/?a"&amp;"pi=1&amp;query=""&amp;SUBSTITUTE(F658,"" "",""""))),"""")"),"")</f>
        <v/>
      </c>
      <c r="M658" s="5" t="str">
        <f t="shared" si="6"/>
        <v/>
      </c>
      <c r="N658" s="5" t="str">
        <f>IFERROR(__xludf.DUMMYFUNCTION("IF(AND(F658&lt;&gt;"""",REGEXMATCH(SUBSTITUTE(F658,"" "",""""),""^-?\d+(\.\d+)?,-?\d+(\.\d+)?$""),VALUE(REGEXEXTRACT(SUBSTITUTE(F658,"" "",""""),""^-?\d+(\.\d+)?""))&gt;=-90,VALUE(REGEXEXTRACT(SUBSTITUTE(F658,"" "",""""),""^-?\d+(\.\d+)?""))&lt;=90,VALUE(REGEXEXTRACT"&amp;"(SUBSTITUTE(F658,"" "",""""),""-?\d+(\.\d+)?$""))&gt;=-180,VALUE(REGEXEXTRACT(SUBSTITUTE(F658,"" "",""""),""-?\d+(\.\d+)?$""))&lt;=180),""OK"",""REVISAR"")"),"#N/A")</f>
        <v>#N/A</v>
      </c>
    </row>
    <row r="659" ht="15.75" customHeight="1">
      <c r="A659" s="5" t="str">
        <f t="shared" si="1"/>
        <v>AD507-0657</v>
      </c>
      <c r="C659" s="5"/>
      <c r="F659" s="5"/>
      <c r="G659" s="5" t="str">
        <f t="shared" si="2"/>
        <v/>
      </c>
      <c r="H659" s="5" t="str">
        <f t="shared" si="3"/>
        <v/>
      </c>
      <c r="I659" s="5" t="str">
        <f t="shared" si="4"/>
        <v/>
      </c>
      <c r="J659" s="5" t="str">
        <f t="shared" si="5"/>
        <v/>
      </c>
      <c r="K659" s="5" t="str">
        <f>IFERROR(__xludf.DUMMYFUNCTION("IF(C659&lt;&gt;"""",HYPERLINK(""https://wa.me/507""&amp;REGEXREPLACE(C659,""[^0-9]"","""")&amp;""?text=""&amp;ENCODEURL(""Ya llegue. Codigo: ""&amp;A659&amp;"". Ubicacion: ""&amp;""https://www.google.com/maps/search/?api=1&amp;query=""&amp;SUBSTITUTE(F659,"" "","""")),""📲 Avisar al cliente"""&amp;"),"""")"),"")</f>
        <v/>
      </c>
      <c r="L659" s="5" t="str">
        <f>IFERROR(__xludf.DUMMYFUNCTION("IF(C659&lt;&gt;"""",""https://api.qrserver.com/v1/create-qr-code/?size=200x200&amp;data=""&amp;ENCODEURL(""https://wa.me/507""&amp;REGEXREPLACE(C659,""[^0-9]"","""")&amp;""?text=""&amp;ENCODEURL(""Ya llegue. Codigo: ""&amp;A659&amp;"". Ubicacion: ""&amp;""https://www.google.com/maps/search/?a"&amp;"pi=1&amp;query=""&amp;SUBSTITUTE(F659,"" "",""""))),"""")"),"")</f>
        <v/>
      </c>
      <c r="M659" s="5" t="str">
        <f t="shared" si="6"/>
        <v/>
      </c>
      <c r="N659" s="5" t="str">
        <f>IFERROR(__xludf.DUMMYFUNCTION("IF(AND(F659&lt;&gt;"""",REGEXMATCH(SUBSTITUTE(F659,"" "",""""),""^-?\d+(\.\d+)?,-?\d+(\.\d+)?$""),VALUE(REGEXEXTRACT(SUBSTITUTE(F659,"" "",""""),""^-?\d+(\.\d+)?""))&gt;=-90,VALUE(REGEXEXTRACT(SUBSTITUTE(F659,"" "",""""),""^-?\d+(\.\d+)?""))&lt;=90,VALUE(REGEXEXTRACT"&amp;"(SUBSTITUTE(F659,"" "",""""),""-?\d+(\.\d+)?$""))&gt;=-180,VALUE(REGEXEXTRACT(SUBSTITUTE(F659,"" "",""""),""-?\d+(\.\d+)?$""))&lt;=180),""OK"",""REVISAR"")"),"#N/A")</f>
        <v>#N/A</v>
      </c>
    </row>
    <row r="660" ht="15.75" customHeight="1">
      <c r="A660" s="5" t="str">
        <f t="shared" si="1"/>
        <v>AD507-0658</v>
      </c>
      <c r="C660" s="5"/>
      <c r="F660" s="5"/>
      <c r="G660" s="5" t="str">
        <f t="shared" si="2"/>
        <v/>
      </c>
      <c r="H660" s="5" t="str">
        <f t="shared" si="3"/>
        <v/>
      </c>
      <c r="I660" s="5" t="str">
        <f t="shared" si="4"/>
        <v/>
      </c>
      <c r="J660" s="5" t="str">
        <f t="shared" si="5"/>
        <v/>
      </c>
      <c r="K660" s="5" t="str">
        <f>IFERROR(__xludf.DUMMYFUNCTION("IF(C660&lt;&gt;"""",HYPERLINK(""https://wa.me/507""&amp;REGEXREPLACE(C660,""[^0-9]"","""")&amp;""?text=""&amp;ENCODEURL(""Ya llegue. Codigo: ""&amp;A660&amp;"". Ubicacion: ""&amp;""https://www.google.com/maps/search/?api=1&amp;query=""&amp;SUBSTITUTE(F660,"" "","""")),""📲 Avisar al cliente"""&amp;"),"""")"),"")</f>
        <v/>
      </c>
      <c r="L660" s="5" t="str">
        <f>IFERROR(__xludf.DUMMYFUNCTION("IF(C660&lt;&gt;"""",""https://api.qrserver.com/v1/create-qr-code/?size=200x200&amp;data=""&amp;ENCODEURL(""https://wa.me/507""&amp;REGEXREPLACE(C660,""[^0-9]"","""")&amp;""?text=""&amp;ENCODEURL(""Ya llegue. Codigo: ""&amp;A660&amp;"". Ubicacion: ""&amp;""https://www.google.com/maps/search/?a"&amp;"pi=1&amp;query=""&amp;SUBSTITUTE(F660,"" "",""""))),"""")"),"")</f>
        <v/>
      </c>
      <c r="M660" s="5" t="str">
        <f t="shared" si="6"/>
        <v/>
      </c>
      <c r="N660" s="5" t="str">
        <f>IFERROR(__xludf.DUMMYFUNCTION("IF(AND(F660&lt;&gt;"""",REGEXMATCH(SUBSTITUTE(F660,"" "",""""),""^-?\d+(\.\d+)?,-?\d+(\.\d+)?$""),VALUE(REGEXEXTRACT(SUBSTITUTE(F660,"" "",""""),""^-?\d+(\.\d+)?""))&gt;=-90,VALUE(REGEXEXTRACT(SUBSTITUTE(F660,"" "",""""),""^-?\d+(\.\d+)?""))&lt;=90,VALUE(REGEXEXTRACT"&amp;"(SUBSTITUTE(F660,"" "",""""),""-?\d+(\.\d+)?$""))&gt;=-180,VALUE(REGEXEXTRACT(SUBSTITUTE(F660,"" "",""""),""-?\d+(\.\d+)?$""))&lt;=180),""OK"",""REVISAR"")"),"#N/A")</f>
        <v>#N/A</v>
      </c>
    </row>
    <row r="661" ht="15.75" customHeight="1">
      <c r="A661" s="5" t="str">
        <f t="shared" si="1"/>
        <v>AD507-0659</v>
      </c>
      <c r="C661" s="5"/>
      <c r="F661" s="5"/>
      <c r="G661" s="5" t="str">
        <f t="shared" si="2"/>
        <v/>
      </c>
      <c r="H661" s="5" t="str">
        <f t="shared" si="3"/>
        <v/>
      </c>
      <c r="I661" s="5" t="str">
        <f t="shared" si="4"/>
        <v/>
      </c>
      <c r="J661" s="5" t="str">
        <f t="shared" si="5"/>
        <v/>
      </c>
      <c r="K661" s="5" t="str">
        <f>IFERROR(__xludf.DUMMYFUNCTION("IF(C661&lt;&gt;"""",HYPERLINK(""https://wa.me/507""&amp;REGEXREPLACE(C661,""[^0-9]"","""")&amp;""?text=""&amp;ENCODEURL(""Ya llegue. Codigo: ""&amp;A661&amp;"". Ubicacion: ""&amp;""https://www.google.com/maps/search/?api=1&amp;query=""&amp;SUBSTITUTE(F661,"" "","""")),""📲 Avisar al cliente"""&amp;"),"""")"),"")</f>
        <v/>
      </c>
      <c r="L661" s="5" t="str">
        <f>IFERROR(__xludf.DUMMYFUNCTION("IF(C661&lt;&gt;"""",""https://api.qrserver.com/v1/create-qr-code/?size=200x200&amp;data=""&amp;ENCODEURL(""https://wa.me/507""&amp;REGEXREPLACE(C661,""[^0-9]"","""")&amp;""?text=""&amp;ENCODEURL(""Ya llegue. Codigo: ""&amp;A661&amp;"". Ubicacion: ""&amp;""https://www.google.com/maps/search/?a"&amp;"pi=1&amp;query=""&amp;SUBSTITUTE(F661,"" "",""""))),"""")"),"")</f>
        <v/>
      </c>
      <c r="M661" s="5" t="str">
        <f t="shared" si="6"/>
        <v/>
      </c>
      <c r="N661" s="5" t="str">
        <f>IFERROR(__xludf.DUMMYFUNCTION("IF(AND(F661&lt;&gt;"""",REGEXMATCH(SUBSTITUTE(F661,"" "",""""),""^-?\d+(\.\d+)?,-?\d+(\.\d+)?$""),VALUE(REGEXEXTRACT(SUBSTITUTE(F661,"" "",""""),""^-?\d+(\.\d+)?""))&gt;=-90,VALUE(REGEXEXTRACT(SUBSTITUTE(F661,"" "",""""),""^-?\d+(\.\d+)?""))&lt;=90,VALUE(REGEXEXTRACT"&amp;"(SUBSTITUTE(F661,"" "",""""),""-?\d+(\.\d+)?$""))&gt;=-180,VALUE(REGEXEXTRACT(SUBSTITUTE(F661,"" "",""""),""-?\d+(\.\d+)?$""))&lt;=180),""OK"",""REVISAR"")"),"#N/A")</f>
        <v>#N/A</v>
      </c>
    </row>
    <row r="662" ht="15.75" customHeight="1">
      <c r="A662" s="5" t="str">
        <f t="shared" si="1"/>
        <v>AD507-0660</v>
      </c>
      <c r="C662" s="5"/>
      <c r="F662" s="5"/>
      <c r="G662" s="5" t="str">
        <f t="shared" si="2"/>
        <v/>
      </c>
      <c r="H662" s="5" t="str">
        <f t="shared" si="3"/>
        <v/>
      </c>
      <c r="I662" s="5" t="str">
        <f t="shared" si="4"/>
        <v/>
      </c>
      <c r="J662" s="5" t="str">
        <f t="shared" si="5"/>
        <v/>
      </c>
      <c r="K662" s="5" t="str">
        <f>IFERROR(__xludf.DUMMYFUNCTION("IF(C662&lt;&gt;"""",HYPERLINK(""https://wa.me/507""&amp;REGEXREPLACE(C662,""[^0-9]"","""")&amp;""?text=""&amp;ENCODEURL(""Ya llegue. Codigo: ""&amp;A662&amp;"". Ubicacion: ""&amp;""https://www.google.com/maps/search/?api=1&amp;query=""&amp;SUBSTITUTE(F662,"" "","""")),""📲 Avisar al cliente"""&amp;"),"""")"),"")</f>
        <v/>
      </c>
      <c r="L662" s="5" t="str">
        <f>IFERROR(__xludf.DUMMYFUNCTION("IF(C662&lt;&gt;"""",""https://api.qrserver.com/v1/create-qr-code/?size=200x200&amp;data=""&amp;ENCODEURL(""https://wa.me/507""&amp;REGEXREPLACE(C662,""[^0-9]"","""")&amp;""?text=""&amp;ENCODEURL(""Ya llegue. Codigo: ""&amp;A662&amp;"". Ubicacion: ""&amp;""https://www.google.com/maps/search/?a"&amp;"pi=1&amp;query=""&amp;SUBSTITUTE(F662,"" "",""""))),"""")"),"")</f>
        <v/>
      </c>
      <c r="M662" s="5" t="str">
        <f t="shared" si="6"/>
        <v/>
      </c>
      <c r="N662" s="5" t="str">
        <f>IFERROR(__xludf.DUMMYFUNCTION("IF(AND(F662&lt;&gt;"""",REGEXMATCH(SUBSTITUTE(F662,"" "",""""),""^-?\d+(\.\d+)?,-?\d+(\.\d+)?$""),VALUE(REGEXEXTRACT(SUBSTITUTE(F662,"" "",""""),""^-?\d+(\.\d+)?""))&gt;=-90,VALUE(REGEXEXTRACT(SUBSTITUTE(F662,"" "",""""),""^-?\d+(\.\d+)?""))&lt;=90,VALUE(REGEXEXTRACT"&amp;"(SUBSTITUTE(F662,"" "",""""),""-?\d+(\.\d+)?$""))&gt;=-180,VALUE(REGEXEXTRACT(SUBSTITUTE(F662,"" "",""""),""-?\d+(\.\d+)?$""))&lt;=180),""OK"",""REVISAR"")"),"#N/A")</f>
        <v>#N/A</v>
      </c>
    </row>
    <row r="663" ht="15.75" customHeight="1">
      <c r="A663" s="5" t="str">
        <f t="shared" si="1"/>
        <v>AD507-0661</v>
      </c>
      <c r="C663" s="5"/>
      <c r="F663" s="5"/>
      <c r="G663" s="5" t="str">
        <f t="shared" si="2"/>
        <v/>
      </c>
      <c r="H663" s="5" t="str">
        <f t="shared" si="3"/>
        <v/>
      </c>
      <c r="I663" s="5" t="str">
        <f t="shared" si="4"/>
        <v/>
      </c>
      <c r="J663" s="5" t="str">
        <f t="shared" si="5"/>
        <v/>
      </c>
      <c r="K663" s="5" t="str">
        <f>IFERROR(__xludf.DUMMYFUNCTION("IF(C663&lt;&gt;"""",HYPERLINK(""https://wa.me/507""&amp;REGEXREPLACE(C663,""[^0-9]"","""")&amp;""?text=""&amp;ENCODEURL(""Ya llegue. Codigo: ""&amp;A663&amp;"". Ubicacion: ""&amp;""https://www.google.com/maps/search/?api=1&amp;query=""&amp;SUBSTITUTE(F663,"" "","""")),""📲 Avisar al cliente"""&amp;"),"""")"),"")</f>
        <v/>
      </c>
      <c r="L663" s="5" t="str">
        <f>IFERROR(__xludf.DUMMYFUNCTION("IF(C663&lt;&gt;"""",""https://api.qrserver.com/v1/create-qr-code/?size=200x200&amp;data=""&amp;ENCODEURL(""https://wa.me/507""&amp;REGEXREPLACE(C663,""[^0-9]"","""")&amp;""?text=""&amp;ENCODEURL(""Ya llegue. Codigo: ""&amp;A663&amp;"". Ubicacion: ""&amp;""https://www.google.com/maps/search/?a"&amp;"pi=1&amp;query=""&amp;SUBSTITUTE(F663,"" "",""""))),"""")"),"")</f>
        <v/>
      </c>
      <c r="M663" s="5" t="str">
        <f t="shared" si="6"/>
        <v/>
      </c>
      <c r="N663" s="5" t="str">
        <f>IFERROR(__xludf.DUMMYFUNCTION("IF(AND(F663&lt;&gt;"""",REGEXMATCH(SUBSTITUTE(F663,"" "",""""),""^-?\d+(\.\d+)?,-?\d+(\.\d+)?$""),VALUE(REGEXEXTRACT(SUBSTITUTE(F663,"" "",""""),""^-?\d+(\.\d+)?""))&gt;=-90,VALUE(REGEXEXTRACT(SUBSTITUTE(F663,"" "",""""),""^-?\d+(\.\d+)?""))&lt;=90,VALUE(REGEXEXTRACT"&amp;"(SUBSTITUTE(F663,"" "",""""),""-?\d+(\.\d+)?$""))&gt;=-180,VALUE(REGEXEXTRACT(SUBSTITUTE(F663,"" "",""""),""-?\d+(\.\d+)?$""))&lt;=180),""OK"",""REVISAR"")"),"#N/A")</f>
        <v>#N/A</v>
      </c>
    </row>
    <row r="664" ht="15.75" customHeight="1">
      <c r="A664" s="5" t="str">
        <f t="shared" si="1"/>
        <v>AD507-0662</v>
      </c>
      <c r="C664" s="5"/>
      <c r="F664" s="5"/>
      <c r="G664" s="5" t="str">
        <f t="shared" si="2"/>
        <v/>
      </c>
      <c r="H664" s="5" t="str">
        <f t="shared" si="3"/>
        <v/>
      </c>
      <c r="I664" s="5" t="str">
        <f t="shared" si="4"/>
        <v/>
      </c>
      <c r="J664" s="5" t="str">
        <f t="shared" si="5"/>
        <v/>
      </c>
      <c r="K664" s="5" t="str">
        <f>IFERROR(__xludf.DUMMYFUNCTION("IF(C664&lt;&gt;"""",HYPERLINK(""https://wa.me/507""&amp;REGEXREPLACE(C664,""[^0-9]"","""")&amp;""?text=""&amp;ENCODEURL(""Ya llegue. Codigo: ""&amp;A664&amp;"". Ubicacion: ""&amp;""https://www.google.com/maps/search/?api=1&amp;query=""&amp;SUBSTITUTE(F664,"" "","""")),""📲 Avisar al cliente"""&amp;"),"""")"),"")</f>
        <v/>
      </c>
      <c r="L664" s="5" t="str">
        <f>IFERROR(__xludf.DUMMYFUNCTION("IF(C664&lt;&gt;"""",""https://api.qrserver.com/v1/create-qr-code/?size=200x200&amp;data=""&amp;ENCODEURL(""https://wa.me/507""&amp;REGEXREPLACE(C664,""[^0-9]"","""")&amp;""?text=""&amp;ENCODEURL(""Ya llegue. Codigo: ""&amp;A664&amp;"". Ubicacion: ""&amp;""https://www.google.com/maps/search/?a"&amp;"pi=1&amp;query=""&amp;SUBSTITUTE(F664,"" "",""""))),"""")"),"")</f>
        <v/>
      </c>
      <c r="M664" s="5" t="str">
        <f t="shared" si="6"/>
        <v/>
      </c>
      <c r="N664" s="5" t="str">
        <f>IFERROR(__xludf.DUMMYFUNCTION("IF(AND(F664&lt;&gt;"""",REGEXMATCH(SUBSTITUTE(F664,"" "",""""),""^-?\d+(\.\d+)?,-?\d+(\.\d+)?$""),VALUE(REGEXEXTRACT(SUBSTITUTE(F664,"" "",""""),""^-?\d+(\.\d+)?""))&gt;=-90,VALUE(REGEXEXTRACT(SUBSTITUTE(F664,"" "",""""),""^-?\d+(\.\d+)?""))&lt;=90,VALUE(REGEXEXTRACT"&amp;"(SUBSTITUTE(F664,"" "",""""),""-?\d+(\.\d+)?$""))&gt;=-180,VALUE(REGEXEXTRACT(SUBSTITUTE(F664,"" "",""""),""-?\d+(\.\d+)?$""))&lt;=180),""OK"",""REVISAR"")"),"#N/A")</f>
        <v>#N/A</v>
      </c>
    </row>
    <row r="665" ht="15.75" customHeight="1">
      <c r="A665" s="5" t="str">
        <f t="shared" si="1"/>
        <v>AD507-0663</v>
      </c>
      <c r="C665" s="5"/>
      <c r="F665" s="5"/>
      <c r="G665" s="5" t="str">
        <f t="shared" si="2"/>
        <v/>
      </c>
      <c r="H665" s="5" t="str">
        <f t="shared" si="3"/>
        <v/>
      </c>
      <c r="I665" s="5" t="str">
        <f t="shared" si="4"/>
        <v/>
      </c>
      <c r="J665" s="5" t="str">
        <f t="shared" si="5"/>
        <v/>
      </c>
      <c r="K665" s="5" t="str">
        <f>IFERROR(__xludf.DUMMYFUNCTION("IF(C665&lt;&gt;"""",HYPERLINK(""https://wa.me/507""&amp;REGEXREPLACE(C665,""[^0-9]"","""")&amp;""?text=""&amp;ENCODEURL(""Ya llegue. Codigo: ""&amp;A665&amp;"". Ubicacion: ""&amp;""https://www.google.com/maps/search/?api=1&amp;query=""&amp;SUBSTITUTE(F665,"" "","""")),""📲 Avisar al cliente"""&amp;"),"""")"),"")</f>
        <v/>
      </c>
      <c r="L665" s="5" t="str">
        <f>IFERROR(__xludf.DUMMYFUNCTION("IF(C665&lt;&gt;"""",""https://api.qrserver.com/v1/create-qr-code/?size=200x200&amp;data=""&amp;ENCODEURL(""https://wa.me/507""&amp;REGEXREPLACE(C665,""[^0-9]"","""")&amp;""?text=""&amp;ENCODEURL(""Ya llegue. Codigo: ""&amp;A665&amp;"". Ubicacion: ""&amp;""https://www.google.com/maps/search/?a"&amp;"pi=1&amp;query=""&amp;SUBSTITUTE(F665,"" "",""""))),"""")"),"")</f>
        <v/>
      </c>
      <c r="M665" s="5" t="str">
        <f t="shared" si="6"/>
        <v/>
      </c>
      <c r="N665" s="5" t="str">
        <f>IFERROR(__xludf.DUMMYFUNCTION("IF(AND(F665&lt;&gt;"""",REGEXMATCH(SUBSTITUTE(F665,"" "",""""),""^-?\d+(\.\d+)?,-?\d+(\.\d+)?$""),VALUE(REGEXEXTRACT(SUBSTITUTE(F665,"" "",""""),""^-?\d+(\.\d+)?""))&gt;=-90,VALUE(REGEXEXTRACT(SUBSTITUTE(F665,"" "",""""),""^-?\d+(\.\d+)?""))&lt;=90,VALUE(REGEXEXTRACT"&amp;"(SUBSTITUTE(F665,"" "",""""),""-?\d+(\.\d+)?$""))&gt;=-180,VALUE(REGEXEXTRACT(SUBSTITUTE(F665,"" "",""""),""-?\d+(\.\d+)?$""))&lt;=180),""OK"",""REVISAR"")"),"#N/A")</f>
        <v>#N/A</v>
      </c>
    </row>
    <row r="666" ht="15.75" customHeight="1">
      <c r="A666" s="5" t="str">
        <f t="shared" si="1"/>
        <v>AD507-0664</v>
      </c>
      <c r="C666" s="5"/>
      <c r="F666" s="5"/>
      <c r="G666" s="5" t="str">
        <f t="shared" si="2"/>
        <v/>
      </c>
      <c r="H666" s="5" t="str">
        <f t="shared" si="3"/>
        <v/>
      </c>
      <c r="I666" s="5" t="str">
        <f t="shared" si="4"/>
        <v/>
      </c>
      <c r="J666" s="5" t="str">
        <f t="shared" si="5"/>
        <v/>
      </c>
      <c r="K666" s="5" t="str">
        <f>IFERROR(__xludf.DUMMYFUNCTION("IF(C666&lt;&gt;"""",HYPERLINK(""https://wa.me/507""&amp;REGEXREPLACE(C666,""[^0-9]"","""")&amp;""?text=""&amp;ENCODEURL(""Ya llegue. Codigo: ""&amp;A666&amp;"". Ubicacion: ""&amp;""https://www.google.com/maps/search/?api=1&amp;query=""&amp;SUBSTITUTE(F666,"" "","""")),""📲 Avisar al cliente"""&amp;"),"""")"),"")</f>
        <v/>
      </c>
      <c r="L666" s="5" t="str">
        <f>IFERROR(__xludf.DUMMYFUNCTION("IF(C666&lt;&gt;"""",""https://api.qrserver.com/v1/create-qr-code/?size=200x200&amp;data=""&amp;ENCODEURL(""https://wa.me/507""&amp;REGEXREPLACE(C666,""[^0-9]"","""")&amp;""?text=""&amp;ENCODEURL(""Ya llegue. Codigo: ""&amp;A666&amp;"". Ubicacion: ""&amp;""https://www.google.com/maps/search/?a"&amp;"pi=1&amp;query=""&amp;SUBSTITUTE(F666,"" "",""""))),"""")"),"")</f>
        <v/>
      </c>
      <c r="M666" s="5" t="str">
        <f t="shared" si="6"/>
        <v/>
      </c>
      <c r="N666" s="5" t="str">
        <f>IFERROR(__xludf.DUMMYFUNCTION("IF(AND(F666&lt;&gt;"""",REGEXMATCH(SUBSTITUTE(F666,"" "",""""),""^-?\d+(\.\d+)?,-?\d+(\.\d+)?$""),VALUE(REGEXEXTRACT(SUBSTITUTE(F666,"" "",""""),""^-?\d+(\.\d+)?""))&gt;=-90,VALUE(REGEXEXTRACT(SUBSTITUTE(F666,"" "",""""),""^-?\d+(\.\d+)?""))&lt;=90,VALUE(REGEXEXTRACT"&amp;"(SUBSTITUTE(F666,"" "",""""),""-?\d+(\.\d+)?$""))&gt;=-180,VALUE(REGEXEXTRACT(SUBSTITUTE(F666,"" "",""""),""-?\d+(\.\d+)?$""))&lt;=180),""OK"",""REVISAR"")"),"#N/A")</f>
        <v>#N/A</v>
      </c>
    </row>
    <row r="667" ht="15.75" customHeight="1">
      <c r="A667" s="5" t="str">
        <f t="shared" si="1"/>
        <v>AD507-0665</v>
      </c>
      <c r="C667" s="5"/>
      <c r="F667" s="5"/>
      <c r="G667" s="5" t="str">
        <f t="shared" si="2"/>
        <v/>
      </c>
      <c r="H667" s="5" t="str">
        <f t="shared" si="3"/>
        <v/>
      </c>
      <c r="I667" s="5" t="str">
        <f t="shared" si="4"/>
        <v/>
      </c>
      <c r="J667" s="5" t="str">
        <f t="shared" si="5"/>
        <v/>
      </c>
      <c r="K667" s="5" t="str">
        <f>IFERROR(__xludf.DUMMYFUNCTION("IF(C667&lt;&gt;"""",HYPERLINK(""https://wa.me/507""&amp;REGEXREPLACE(C667,""[^0-9]"","""")&amp;""?text=""&amp;ENCODEURL(""Ya llegue. Codigo: ""&amp;A667&amp;"". Ubicacion: ""&amp;""https://www.google.com/maps/search/?api=1&amp;query=""&amp;SUBSTITUTE(F667,"" "","""")),""📲 Avisar al cliente"""&amp;"),"""")"),"")</f>
        <v/>
      </c>
      <c r="L667" s="5" t="str">
        <f>IFERROR(__xludf.DUMMYFUNCTION("IF(C667&lt;&gt;"""",""https://api.qrserver.com/v1/create-qr-code/?size=200x200&amp;data=""&amp;ENCODEURL(""https://wa.me/507""&amp;REGEXREPLACE(C667,""[^0-9]"","""")&amp;""?text=""&amp;ENCODEURL(""Ya llegue. Codigo: ""&amp;A667&amp;"". Ubicacion: ""&amp;""https://www.google.com/maps/search/?a"&amp;"pi=1&amp;query=""&amp;SUBSTITUTE(F667,"" "",""""))),"""")"),"")</f>
        <v/>
      </c>
      <c r="M667" s="5" t="str">
        <f t="shared" si="6"/>
        <v/>
      </c>
      <c r="N667" s="5" t="str">
        <f>IFERROR(__xludf.DUMMYFUNCTION("IF(AND(F667&lt;&gt;"""",REGEXMATCH(SUBSTITUTE(F667,"" "",""""),""^-?\d+(\.\d+)?,-?\d+(\.\d+)?$""),VALUE(REGEXEXTRACT(SUBSTITUTE(F667,"" "",""""),""^-?\d+(\.\d+)?""))&gt;=-90,VALUE(REGEXEXTRACT(SUBSTITUTE(F667,"" "",""""),""^-?\d+(\.\d+)?""))&lt;=90,VALUE(REGEXEXTRACT"&amp;"(SUBSTITUTE(F667,"" "",""""),""-?\d+(\.\d+)?$""))&gt;=-180,VALUE(REGEXEXTRACT(SUBSTITUTE(F667,"" "",""""),""-?\d+(\.\d+)?$""))&lt;=180),""OK"",""REVISAR"")"),"#N/A")</f>
        <v>#N/A</v>
      </c>
    </row>
    <row r="668" ht="15.75" customHeight="1">
      <c r="A668" s="5" t="str">
        <f t="shared" si="1"/>
        <v>AD507-0666</v>
      </c>
      <c r="C668" s="5"/>
      <c r="F668" s="5"/>
      <c r="G668" s="5" t="str">
        <f t="shared" si="2"/>
        <v/>
      </c>
      <c r="H668" s="5" t="str">
        <f t="shared" si="3"/>
        <v/>
      </c>
      <c r="I668" s="5" t="str">
        <f t="shared" si="4"/>
        <v/>
      </c>
      <c r="J668" s="5" t="str">
        <f t="shared" si="5"/>
        <v/>
      </c>
      <c r="K668" s="5" t="str">
        <f>IFERROR(__xludf.DUMMYFUNCTION("IF(C668&lt;&gt;"""",HYPERLINK(""https://wa.me/507""&amp;REGEXREPLACE(C668,""[^0-9]"","""")&amp;""?text=""&amp;ENCODEURL(""Ya llegue. Codigo: ""&amp;A668&amp;"". Ubicacion: ""&amp;""https://www.google.com/maps/search/?api=1&amp;query=""&amp;SUBSTITUTE(F668,"" "","""")),""📲 Avisar al cliente"""&amp;"),"""")"),"")</f>
        <v/>
      </c>
      <c r="L668" s="5" t="str">
        <f>IFERROR(__xludf.DUMMYFUNCTION("IF(C668&lt;&gt;"""",""https://api.qrserver.com/v1/create-qr-code/?size=200x200&amp;data=""&amp;ENCODEURL(""https://wa.me/507""&amp;REGEXREPLACE(C668,""[^0-9]"","""")&amp;""?text=""&amp;ENCODEURL(""Ya llegue. Codigo: ""&amp;A668&amp;"". Ubicacion: ""&amp;""https://www.google.com/maps/search/?a"&amp;"pi=1&amp;query=""&amp;SUBSTITUTE(F668,"" "",""""))),"""")"),"")</f>
        <v/>
      </c>
      <c r="M668" s="5" t="str">
        <f t="shared" si="6"/>
        <v/>
      </c>
      <c r="N668" s="5" t="str">
        <f>IFERROR(__xludf.DUMMYFUNCTION("IF(AND(F668&lt;&gt;"""",REGEXMATCH(SUBSTITUTE(F668,"" "",""""),""^-?\d+(\.\d+)?,-?\d+(\.\d+)?$""),VALUE(REGEXEXTRACT(SUBSTITUTE(F668,"" "",""""),""^-?\d+(\.\d+)?""))&gt;=-90,VALUE(REGEXEXTRACT(SUBSTITUTE(F668,"" "",""""),""^-?\d+(\.\d+)?""))&lt;=90,VALUE(REGEXEXTRACT"&amp;"(SUBSTITUTE(F668,"" "",""""),""-?\d+(\.\d+)?$""))&gt;=-180,VALUE(REGEXEXTRACT(SUBSTITUTE(F668,"" "",""""),""-?\d+(\.\d+)?$""))&lt;=180),""OK"",""REVISAR"")"),"#N/A")</f>
        <v>#N/A</v>
      </c>
    </row>
    <row r="669" ht="15.75" customHeight="1">
      <c r="A669" s="5" t="str">
        <f t="shared" si="1"/>
        <v>AD507-0667</v>
      </c>
      <c r="C669" s="5"/>
      <c r="F669" s="5"/>
      <c r="G669" s="5" t="str">
        <f t="shared" si="2"/>
        <v/>
      </c>
      <c r="H669" s="5" t="str">
        <f t="shared" si="3"/>
        <v/>
      </c>
      <c r="I669" s="5" t="str">
        <f t="shared" si="4"/>
        <v/>
      </c>
      <c r="J669" s="5" t="str">
        <f t="shared" si="5"/>
        <v/>
      </c>
      <c r="K669" s="5" t="str">
        <f>IFERROR(__xludf.DUMMYFUNCTION("IF(C669&lt;&gt;"""",HYPERLINK(""https://wa.me/507""&amp;REGEXREPLACE(C669,""[^0-9]"","""")&amp;""?text=""&amp;ENCODEURL(""Ya llegue. Codigo: ""&amp;A669&amp;"". Ubicacion: ""&amp;""https://www.google.com/maps/search/?api=1&amp;query=""&amp;SUBSTITUTE(F669,"" "","""")),""📲 Avisar al cliente"""&amp;"),"""")"),"")</f>
        <v/>
      </c>
      <c r="L669" s="5" t="str">
        <f>IFERROR(__xludf.DUMMYFUNCTION("IF(C669&lt;&gt;"""",""https://api.qrserver.com/v1/create-qr-code/?size=200x200&amp;data=""&amp;ENCODEURL(""https://wa.me/507""&amp;REGEXREPLACE(C669,""[^0-9]"","""")&amp;""?text=""&amp;ENCODEURL(""Ya llegue. Codigo: ""&amp;A669&amp;"". Ubicacion: ""&amp;""https://www.google.com/maps/search/?a"&amp;"pi=1&amp;query=""&amp;SUBSTITUTE(F669,"" "",""""))),"""")"),"")</f>
        <v/>
      </c>
      <c r="M669" s="5" t="str">
        <f t="shared" si="6"/>
        <v/>
      </c>
      <c r="N669" s="5" t="str">
        <f>IFERROR(__xludf.DUMMYFUNCTION("IF(AND(F669&lt;&gt;"""",REGEXMATCH(SUBSTITUTE(F669,"" "",""""),""^-?\d+(\.\d+)?,-?\d+(\.\d+)?$""),VALUE(REGEXEXTRACT(SUBSTITUTE(F669,"" "",""""),""^-?\d+(\.\d+)?""))&gt;=-90,VALUE(REGEXEXTRACT(SUBSTITUTE(F669,"" "",""""),""^-?\d+(\.\d+)?""))&lt;=90,VALUE(REGEXEXTRACT"&amp;"(SUBSTITUTE(F669,"" "",""""),""-?\d+(\.\d+)?$""))&gt;=-180,VALUE(REGEXEXTRACT(SUBSTITUTE(F669,"" "",""""),""-?\d+(\.\d+)?$""))&lt;=180),""OK"",""REVISAR"")"),"#N/A")</f>
        <v>#N/A</v>
      </c>
    </row>
    <row r="670" ht="15.75" customHeight="1">
      <c r="A670" s="5" t="str">
        <f t="shared" si="1"/>
        <v>AD507-0668</v>
      </c>
      <c r="C670" s="5"/>
      <c r="F670" s="5"/>
      <c r="G670" s="5" t="str">
        <f t="shared" si="2"/>
        <v/>
      </c>
      <c r="H670" s="5" t="str">
        <f t="shared" si="3"/>
        <v/>
      </c>
      <c r="I670" s="5" t="str">
        <f t="shared" si="4"/>
        <v/>
      </c>
      <c r="J670" s="5" t="str">
        <f t="shared" si="5"/>
        <v/>
      </c>
      <c r="K670" s="5" t="str">
        <f>IFERROR(__xludf.DUMMYFUNCTION("IF(C670&lt;&gt;"""",HYPERLINK(""https://wa.me/507""&amp;REGEXREPLACE(C670,""[^0-9]"","""")&amp;""?text=""&amp;ENCODEURL(""Ya llegue. Codigo: ""&amp;A670&amp;"". Ubicacion: ""&amp;""https://www.google.com/maps/search/?api=1&amp;query=""&amp;SUBSTITUTE(F670,"" "","""")),""📲 Avisar al cliente"""&amp;"),"""")"),"")</f>
        <v/>
      </c>
      <c r="L670" s="5" t="str">
        <f>IFERROR(__xludf.DUMMYFUNCTION("IF(C670&lt;&gt;"""",""https://api.qrserver.com/v1/create-qr-code/?size=200x200&amp;data=""&amp;ENCODEURL(""https://wa.me/507""&amp;REGEXREPLACE(C670,""[^0-9]"","""")&amp;""?text=""&amp;ENCODEURL(""Ya llegue. Codigo: ""&amp;A670&amp;"". Ubicacion: ""&amp;""https://www.google.com/maps/search/?a"&amp;"pi=1&amp;query=""&amp;SUBSTITUTE(F670,"" "",""""))),"""")"),"")</f>
        <v/>
      </c>
      <c r="M670" s="5" t="str">
        <f t="shared" si="6"/>
        <v/>
      </c>
      <c r="N670" s="5" t="str">
        <f>IFERROR(__xludf.DUMMYFUNCTION("IF(AND(F670&lt;&gt;"""",REGEXMATCH(SUBSTITUTE(F670,"" "",""""),""^-?\d+(\.\d+)?,-?\d+(\.\d+)?$""),VALUE(REGEXEXTRACT(SUBSTITUTE(F670,"" "",""""),""^-?\d+(\.\d+)?""))&gt;=-90,VALUE(REGEXEXTRACT(SUBSTITUTE(F670,"" "",""""),""^-?\d+(\.\d+)?""))&lt;=90,VALUE(REGEXEXTRACT"&amp;"(SUBSTITUTE(F670,"" "",""""),""-?\d+(\.\d+)?$""))&gt;=-180,VALUE(REGEXEXTRACT(SUBSTITUTE(F670,"" "",""""),""-?\d+(\.\d+)?$""))&lt;=180),""OK"",""REVISAR"")"),"#N/A")</f>
        <v>#N/A</v>
      </c>
    </row>
    <row r="671" ht="15.75" customHeight="1">
      <c r="A671" s="5" t="str">
        <f t="shared" si="1"/>
        <v>AD507-0669</v>
      </c>
      <c r="C671" s="5"/>
      <c r="F671" s="5"/>
      <c r="G671" s="5" t="str">
        <f t="shared" si="2"/>
        <v/>
      </c>
      <c r="H671" s="5" t="str">
        <f t="shared" si="3"/>
        <v/>
      </c>
      <c r="I671" s="5" t="str">
        <f t="shared" si="4"/>
        <v/>
      </c>
      <c r="J671" s="5" t="str">
        <f t="shared" si="5"/>
        <v/>
      </c>
      <c r="K671" s="5" t="str">
        <f>IFERROR(__xludf.DUMMYFUNCTION("IF(C671&lt;&gt;"""",HYPERLINK(""https://wa.me/507""&amp;REGEXREPLACE(C671,""[^0-9]"","""")&amp;""?text=""&amp;ENCODEURL(""Ya llegue. Codigo: ""&amp;A671&amp;"". Ubicacion: ""&amp;""https://www.google.com/maps/search/?api=1&amp;query=""&amp;SUBSTITUTE(F671,"" "","""")),""📲 Avisar al cliente"""&amp;"),"""")"),"")</f>
        <v/>
      </c>
      <c r="L671" s="5" t="str">
        <f>IFERROR(__xludf.DUMMYFUNCTION("IF(C671&lt;&gt;"""",""https://api.qrserver.com/v1/create-qr-code/?size=200x200&amp;data=""&amp;ENCODEURL(""https://wa.me/507""&amp;REGEXREPLACE(C671,""[^0-9]"","""")&amp;""?text=""&amp;ENCODEURL(""Ya llegue. Codigo: ""&amp;A671&amp;"". Ubicacion: ""&amp;""https://www.google.com/maps/search/?a"&amp;"pi=1&amp;query=""&amp;SUBSTITUTE(F671,"" "",""""))),"""")"),"")</f>
        <v/>
      </c>
      <c r="M671" s="5" t="str">
        <f t="shared" si="6"/>
        <v/>
      </c>
      <c r="N671" s="5" t="str">
        <f>IFERROR(__xludf.DUMMYFUNCTION("IF(AND(F671&lt;&gt;"""",REGEXMATCH(SUBSTITUTE(F671,"" "",""""),""^-?\d+(\.\d+)?,-?\d+(\.\d+)?$""),VALUE(REGEXEXTRACT(SUBSTITUTE(F671,"" "",""""),""^-?\d+(\.\d+)?""))&gt;=-90,VALUE(REGEXEXTRACT(SUBSTITUTE(F671,"" "",""""),""^-?\d+(\.\d+)?""))&lt;=90,VALUE(REGEXEXTRACT"&amp;"(SUBSTITUTE(F671,"" "",""""),""-?\d+(\.\d+)?$""))&gt;=-180,VALUE(REGEXEXTRACT(SUBSTITUTE(F671,"" "",""""),""-?\d+(\.\d+)?$""))&lt;=180),""OK"",""REVISAR"")"),"#N/A")</f>
        <v>#N/A</v>
      </c>
    </row>
    <row r="672" ht="15.75" customHeight="1">
      <c r="A672" s="5" t="str">
        <f t="shared" si="1"/>
        <v>AD507-0670</v>
      </c>
      <c r="C672" s="5"/>
      <c r="F672" s="5"/>
      <c r="G672" s="5" t="str">
        <f t="shared" si="2"/>
        <v/>
      </c>
      <c r="H672" s="5" t="str">
        <f t="shared" si="3"/>
        <v/>
      </c>
      <c r="I672" s="5" t="str">
        <f t="shared" si="4"/>
        <v/>
      </c>
      <c r="J672" s="5" t="str">
        <f t="shared" si="5"/>
        <v/>
      </c>
      <c r="K672" s="5" t="str">
        <f>IFERROR(__xludf.DUMMYFUNCTION("IF(C672&lt;&gt;"""",HYPERLINK(""https://wa.me/507""&amp;REGEXREPLACE(C672,""[^0-9]"","""")&amp;""?text=""&amp;ENCODEURL(""Ya llegue. Codigo: ""&amp;A672&amp;"". Ubicacion: ""&amp;""https://www.google.com/maps/search/?api=1&amp;query=""&amp;SUBSTITUTE(F672,"" "","""")),""📲 Avisar al cliente"""&amp;"),"""")"),"")</f>
        <v/>
      </c>
      <c r="L672" s="5" t="str">
        <f>IFERROR(__xludf.DUMMYFUNCTION("IF(C672&lt;&gt;"""",""https://api.qrserver.com/v1/create-qr-code/?size=200x200&amp;data=""&amp;ENCODEURL(""https://wa.me/507""&amp;REGEXREPLACE(C672,""[^0-9]"","""")&amp;""?text=""&amp;ENCODEURL(""Ya llegue. Codigo: ""&amp;A672&amp;"". Ubicacion: ""&amp;""https://www.google.com/maps/search/?a"&amp;"pi=1&amp;query=""&amp;SUBSTITUTE(F672,"" "",""""))),"""")"),"")</f>
        <v/>
      </c>
      <c r="M672" s="5" t="str">
        <f t="shared" si="6"/>
        <v/>
      </c>
      <c r="N672" s="5" t="str">
        <f>IFERROR(__xludf.DUMMYFUNCTION("IF(AND(F672&lt;&gt;"""",REGEXMATCH(SUBSTITUTE(F672,"" "",""""),""^-?\d+(\.\d+)?,-?\d+(\.\d+)?$""),VALUE(REGEXEXTRACT(SUBSTITUTE(F672,"" "",""""),""^-?\d+(\.\d+)?""))&gt;=-90,VALUE(REGEXEXTRACT(SUBSTITUTE(F672,"" "",""""),""^-?\d+(\.\d+)?""))&lt;=90,VALUE(REGEXEXTRACT"&amp;"(SUBSTITUTE(F672,"" "",""""),""-?\d+(\.\d+)?$""))&gt;=-180,VALUE(REGEXEXTRACT(SUBSTITUTE(F672,"" "",""""),""-?\d+(\.\d+)?$""))&lt;=180),""OK"",""REVISAR"")"),"#N/A")</f>
        <v>#N/A</v>
      </c>
    </row>
    <row r="673" ht="15.75" customHeight="1">
      <c r="A673" s="5" t="str">
        <f t="shared" si="1"/>
        <v>AD507-0671</v>
      </c>
      <c r="C673" s="5"/>
      <c r="F673" s="5"/>
      <c r="G673" s="5" t="str">
        <f t="shared" si="2"/>
        <v/>
      </c>
      <c r="H673" s="5" t="str">
        <f t="shared" si="3"/>
        <v/>
      </c>
      <c r="I673" s="5" t="str">
        <f t="shared" si="4"/>
        <v/>
      </c>
      <c r="J673" s="5" t="str">
        <f t="shared" si="5"/>
        <v/>
      </c>
      <c r="K673" s="5" t="str">
        <f>IFERROR(__xludf.DUMMYFUNCTION("IF(C673&lt;&gt;"""",HYPERLINK(""https://wa.me/507""&amp;REGEXREPLACE(C673,""[^0-9]"","""")&amp;""?text=""&amp;ENCODEURL(""Ya llegue. Codigo: ""&amp;A673&amp;"". Ubicacion: ""&amp;""https://www.google.com/maps/search/?api=1&amp;query=""&amp;SUBSTITUTE(F673,"" "","""")),""📲 Avisar al cliente"""&amp;"),"""")"),"")</f>
        <v/>
      </c>
      <c r="L673" s="5" t="str">
        <f>IFERROR(__xludf.DUMMYFUNCTION("IF(C673&lt;&gt;"""",""https://api.qrserver.com/v1/create-qr-code/?size=200x200&amp;data=""&amp;ENCODEURL(""https://wa.me/507""&amp;REGEXREPLACE(C673,""[^0-9]"","""")&amp;""?text=""&amp;ENCODEURL(""Ya llegue. Codigo: ""&amp;A673&amp;"". Ubicacion: ""&amp;""https://www.google.com/maps/search/?a"&amp;"pi=1&amp;query=""&amp;SUBSTITUTE(F673,"" "",""""))),"""")"),"")</f>
        <v/>
      </c>
      <c r="M673" s="5" t="str">
        <f t="shared" si="6"/>
        <v/>
      </c>
      <c r="N673" s="5" t="str">
        <f>IFERROR(__xludf.DUMMYFUNCTION("IF(AND(F673&lt;&gt;"""",REGEXMATCH(SUBSTITUTE(F673,"" "",""""),""^-?\d+(\.\d+)?,-?\d+(\.\d+)?$""),VALUE(REGEXEXTRACT(SUBSTITUTE(F673,"" "",""""),""^-?\d+(\.\d+)?""))&gt;=-90,VALUE(REGEXEXTRACT(SUBSTITUTE(F673,"" "",""""),""^-?\d+(\.\d+)?""))&lt;=90,VALUE(REGEXEXTRACT"&amp;"(SUBSTITUTE(F673,"" "",""""),""-?\d+(\.\d+)?$""))&gt;=-180,VALUE(REGEXEXTRACT(SUBSTITUTE(F673,"" "",""""),""-?\d+(\.\d+)?$""))&lt;=180),""OK"",""REVISAR"")"),"#N/A")</f>
        <v>#N/A</v>
      </c>
    </row>
    <row r="674" ht="15.75" customHeight="1">
      <c r="A674" s="5" t="str">
        <f t="shared" si="1"/>
        <v>AD507-0672</v>
      </c>
      <c r="C674" s="5"/>
      <c r="F674" s="5"/>
      <c r="G674" s="5" t="str">
        <f t="shared" si="2"/>
        <v/>
      </c>
      <c r="H674" s="5" t="str">
        <f t="shared" si="3"/>
        <v/>
      </c>
      <c r="I674" s="5" t="str">
        <f t="shared" si="4"/>
        <v/>
      </c>
      <c r="J674" s="5" t="str">
        <f t="shared" si="5"/>
        <v/>
      </c>
      <c r="K674" s="5" t="str">
        <f>IFERROR(__xludf.DUMMYFUNCTION("IF(C674&lt;&gt;"""",HYPERLINK(""https://wa.me/507""&amp;REGEXREPLACE(C674,""[^0-9]"","""")&amp;""?text=""&amp;ENCODEURL(""Ya llegue. Codigo: ""&amp;A674&amp;"". Ubicacion: ""&amp;""https://www.google.com/maps/search/?api=1&amp;query=""&amp;SUBSTITUTE(F674,"" "","""")),""📲 Avisar al cliente"""&amp;"),"""")"),"")</f>
        <v/>
      </c>
      <c r="L674" s="5" t="str">
        <f>IFERROR(__xludf.DUMMYFUNCTION("IF(C674&lt;&gt;"""",""https://api.qrserver.com/v1/create-qr-code/?size=200x200&amp;data=""&amp;ENCODEURL(""https://wa.me/507""&amp;REGEXREPLACE(C674,""[^0-9]"","""")&amp;""?text=""&amp;ENCODEURL(""Ya llegue. Codigo: ""&amp;A674&amp;"". Ubicacion: ""&amp;""https://www.google.com/maps/search/?a"&amp;"pi=1&amp;query=""&amp;SUBSTITUTE(F674,"" "",""""))),"""")"),"")</f>
        <v/>
      </c>
      <c r="M674" s="5" t="str">
        <f t="shared" si="6"/>
        <v/>
      </c>
      <c r="N674" s="5" t="str">
        <f>IFERROR(__xludf.DUMMYFUNCTION("IF(AND(F674&lt;&gt;"""",REGEXMATCH(SUBSTITUTE(F674,"" "",""""),""^-?\d+(\.\d+)?,-?\d+(\.\d+)?$""),VALUE(REGEXEXTRACT(SUBSTITUTE(F674,"" "",""""),""^-?\d+(\.\d+)?""))&gt;=-90,VALUE(REGEXEXTRACT(SUBSTITUTE(F674,"" "",""""),""^-?\d+(\.\d+)?""))&lt;=90,VALUE(REGEXEXTRACT"&amp;"(SUBSTITUTE(F674,"" "",""""),""-?\d+(\.\d+)?$""))&gt;=-180,VALUE(REGEXEXTRACT(SUBSTITUTE(F674,"" "",""""),""-?\d+(\.\d+)?$""))&lt;=180),""OK"",""REVISAR"")"),"#N/A")</f>
        <v>#N/A</v>
      </c>
    </row>
    <row r="675" ht="15.75" customHeight="1">
      <c r="A675" s="5" t="str">
        <f t="shared" si="1"/>
        <v>AD507-0673</v>
      </c>
      <c r="C675" s="5"/>
      <c r="F675" s="5"/>
      <c r="G675" s="5" t="str">
        <f t="shared" si="2"/>
        <v/>
      </c>
      <c r="H675" s="5" t="str">
        <f t="shared" si="3"/>
        <v/>
      </c>
      <c r="I675" s="5" t="str">
        <f t="shared" si="4"/>
        <v/>
      </c>
      <c r="J675" s="5" t="str">
        <f t="shared" si="5"/>
        <v/>
      </c>
      <c r="K675" s="5" t="str">
        <f>IFERROR(__xludf.DUMMYFUNCTION("IF(C675&lt;&gt;"""",HYPERLINK(""https://wa.me/507""&amp;REGEXREPLACE(C675,""[^0-9]"","""")&amp;""?text=""&amp;ENCODEURL(""Ya llegue. Codigo: ""&amp;A675&amp;"". Ubicacion: ""&amp;""https://www.google.com/maps/search/?api=1&amp;query=""&amp;SUBSTITUTE(F675,"" "","""")),""📲 Avisar al cliente"""&amp;"),"""")"),"")</f>
        <v/>
      </c>
      <c r="L675" s="5" t="str">
        <f>IFERROR(__xludf.DUMMYFUNCTION("IF(C675&lt;&gt;"""",""https://api.qrserver.com/v1/create-qr-code/?size=200x200&amp;data=""&amp;ENCODEURL(""https://wa.me/507""&amp;REGEXREPLACE(C675,""[^0-9]"","""")&amp;""?text=""&amp;ENCODEURL(""Ya llegue. Codigo: ""&amp;A675&amp;"". Ubicacion: ""&amp;""https://www.google.com/maps/search/?a"&amp;"pi=1&amp;query=""&amp;SUBSTITUTE(F675,"" "",""""))),"""")"),"")</f>
        <v/>
      </c>
      <c r="M675" s="5" t="str">
        <f t="shared" si="6"/>
        <v/>
      </c>
      <c r="N675" s="5" t="str">
        <f>IFERROR(__xludf.DUMMYFUNCTION("IF(AND(F675&lt;&gt;"""",REGEXMATCH(SUBSTITUTE(F675,"" "",""""),""^-?\d+(\.\d+)?,-?\d+(\.\d+)?$""),VALUE(REGEXEXTRACT(SUBSTITUTE(F675,"" "",""""),""^-?\d+(\.\d+)?""))&gt;=-90,VALUE(REGEXEXTRACT(SUBSTITUTE(F675,"" "",""""),""^-?\d+(\.\d+)?""))&lt;=90,VALUE(REGEXEXTRACT"&amp;"(SUBSTITUTE(F675,"" "",""""),""-?\d+(\.\d+)?$""))&gt;=-180,VALUE(REGEXEXTRACT(SUBSTITUTE(F675,"" "",""""),""-?\d+(\.\d+)?$""))&lt;=180),""OK"",""REVISAR"")"),"#N/A")</f>
        <v>#N/A</v>
      </c>
    </row>
    <row r="676" ht="15.75" customHeight="1">
      <c r="A676" s="5" t="str">
        <f t="shared" si="1"/>
        <v>AD507-0674</v>
      </c>
      <c r="C676" s="5"/>
      <c r="F676" s="5"/>
      <c r="G676" s="5" t="str">
        <f t="shared" si="2"/>
        <v/>
      </c>
      <c r="H676" s="5" t="str">
        <f t="shared" si="3"/>
        <v/>
      </c>
      <c r="I676" s="5" t="str">
        <f t="shared" si="4"/>
        <v/>
      </c>
      <c r="J676" s="5" t="str">
        <f t="shared" si="5"/>
        <v/>
      </c>
      <c r="K676" s="5" t="str">
        <f>IFERROR(__xludf.DUMMYFUNCTION("IF(C676&lt;&gt;"""",HYPERLINK(""https://wa.me/507""&amp;REGEXREPLACE(C676,""[^0-9]"","""")&amp;""?text=""&amp;ENCODEURL(""Ya llegue. Codigo: ""&amp;A676&amp;"". Ubicacion: ""&amp;""https://www.google.com/maps/search/?api=1&amp;query=""&amp;SUBSTITUTE(F676,"" "","""")),""📲 Avisar al cliente"""&amp;"),"""")"),"")</f>
        <v/>
      </c>
      <c r="L676" s="5" t="str">
        <f>IFERROR(__xludf.DUMMYFUNCTION("IF(C676&lt;&gt;"""",""https://api.qrserver.com/v1/create-qr-code/?size=200x200&amp;data=""&amp;ENCODEURL(""https://wa.me/507""&amp;REGEXREPLACE(C676,""[^0-9]"","""")&amp;""?text=""&amp;ENCODEURL(""Ya llegue. Codigo: ""&amp;A676&amp;"". Ubicacion: ""&amp;""https://www.google.com/maps/search/?a"&amp;"pi=1&amp;query=""&amp;SUBSTITUTE(F676,"" "",""""))),"""")"),"")</f>
        <v/>
      </c>
      <c r="M676" s="5" t="str">
        <f t="shared" si="6"/>
        <v/>
      </c>
      <c r="N676" s="5" t="str">
        <f>IFERROR(__xludf.DUMMYFUNCTION("IF(AND(F676&lt;&gt;"""",REGEXMATCH(SUBSTITUTE(F676,"" "",""""),""^-?\d+(\.\d+)?,-?\d+(\.\d+)?$""),VALUE(REGEXEXTRACT(SUBSTITUTE(F676,"" "",""""),""^-?\d+(\.\d+)?""))&gt;=-90,VALUE(REGEXEXTRACT(SUBSTITUTE(F676,"" "",""""),""^-?\d+(\.\d+)?""))&lt;=90,VALUE(REGEXEXTRACT"&amp;"(SUBSTITUTE(F676,"" "",""""),""-?\d+(\.\d+)?$""))&gt;=-180,VALUE(REGEXEXTRACT(SUBSTITUTE(F676,"" "",""""),""-?\d+(\.\d+)?$""))&lt;=180),""OK"",""REVISAR"")"),"#N/A")</f>
        <v>#N/A</v>
      </c>
    </row>
    <row r="677" ht="15.75" customHeight="1">
      <c r="A677" s="5" t="str">
        <f t="shared" si="1"/>
        <v>AD507-0675</v>
      </c>
      <c r="C677" s="5"/>
      <c r="F677" s="5"/>
      <c r="G677" s="5" t="str">
        <f t="shared" si="2"/>
        <v/>
      </c>
      <c r="H677" s="5" t="str">
        <f t="shared" si="3"/>
        <v/>
      </c>
      <c r="I677" s="5" t="str">
        <f t="shared" si="4"/>
        <v/>
      </c>
      <c r="J677" s="5" t="str">
        <f t="shared" si="5"/>
        <v/>
      </c>
      <c r="K677" s="5" t="str">
        <f>IFERROR(__xludf.DUMMYFUNCTION("IF(C677&lt;&gt;"""",HYPERLINK(""https://wa.me/507""&amp;REGEXREPLACE(C677,""[^0-9]"","""")&amp;""?text=""&amp;ENCODEURL(""Ya llegue. Codigo: ""&amp;A677&amp;"". Ubicacion: ""&amp;""https://www.google.com/maps/search/?api=1&amp;query=""&amp;SUBSTITUTE(F677,"" "","""")),""📲 Avisar al cliente"""&amp;"),"""")"),"")</f>
        <v/>
      </c>
      <c r="L677" s="5" t="str">
        <f>IFERROR(__xludf.DUMMYFUNCTION("IF(C677&lt;&gt;"""",""https://api.qrserver.com/v1/create-qr-code/?size=200x200&amp;data=""&amp;ENCODEURL(""https://wa.me/507""&amp;REGEXREPLACE(C677,""[^0-9]"","""")&amp;""?text=""&amp;ENCODEURL(""Ya llegue. Codigo: ""&amp;A677&amp;"". Ubicacion: ""&amp;""https://www.google.com/maps/search/?a"&amp;"pi=1&amp;query=""&amp;SUBSTITUTE(F677,"" "",""""))),"""")"),"")</f>
        <v/>
      </c>
      <c r="M677" s="5" t="str">
        <f t="shared" si="6"/>
        <v/>
      </c>
      <c r="N677" s="5" t="str">
        <f>IFERROR(__xludf.DUMMYFUNCTION("IF(AND(F677&lt;&gt;"""",REGEXMATCH(SUBSTITUTE(F677,"" "",""""),""^-?\d+(\.\d+)?,-?\d+(\.\d+)?$""),VALUE(REGEXEXTRACT(SUBSTITUTE(F677,"" "",""""),""^-?\d+(\.\d+)?""))&gt;=-90,VALUE(REGEXEXTRACT(SUBSTITUTE(F677,"" "",""""),""^-?\d+(\.\d+)?""))&lt;=90,VALUE(REGEXEXTRACT"&amp;"(SUBSTITUTE(F677,"" "",""""),""-?\d+(\.\d+)?$""))&gt;=-180,VALUE(REGEXEXTRACT(SUBSTITUTE(F677,"" "",""""),""-?\d+(\.\d+)?$""))&lt;=180),""OK"",""REVISAR"")"),"#N/A")</f>
        <v>#N/A</v>
      </c>
    </row>
    <row r="678" ht="15.75" customHeight="1">
      <c r="A678" s="5" t="str">
        <f t="shared" si="1"/>
        <v>AD507-0676</v>
      </c>
      <c r="C678" s="5"/>
      <c r="F678" s="5"/>
      <c r="G678" s="5" t="str">
        <f t="shared" si="2"/>
        <v/>
      </c>
      <c r="H678" s="5" t="str">
        <f t="shared" si="3"/>
        <v/>
      </c>
      <c r="I678" s="5" t="str">
        <f t="shared" si="4"/>
        <v/>
      </c>
      <c r="J678" s="5" t="str">
        <f t="shared" si="5"/>
        <v/>
      </c>
      <c r="K678" s="5" t="str">
        <f>IFERROR(__xludf.DUMMYFUNCTION("IF(C678&lt;&gt;"""",HYPERLINK(""https://wa.me/507""&amp;REGEXREPLACE(C678,""[^0-9]"","""")&amp;""?text=""&amp;ENCODEURL(""Ya llegue. Codigo: ""&amp;A678&amp;"". Ubicacion: ""&amp;""https://www.google.com/maps/search/?api=1&amp;query=""&amp;SUBSTITUTE(F678,"" "","""")),""📲 Avisar al cliente"""&amp;"),"""")"),"")</f>
        <v/>
      </c>
      <c r="L678" s="5" t="str">
        <f>IFERROR(__xludf.DUMMYFUNCTION("IF(C678&lt;&gt;"""",""https://api.qrserver.com/v1/create-qr-code/?size=200x200&amp;data=""&amp;ENCODEURL(""https://wa.me/507""&amp;REGEXREPLACE(C678,""[^0-9]"","""")&amp;""?text=""&amp;ENCODEURL(""Ya llegue. Codigo: ""&amp;A678&amp;"". Ubicacion: ""&amp;""https://www.google.com/maps/search/?a"&amp;"pi=1&amp;query=""&amp;SUBSTITUTE(F678,"" "",""""))),"""")"),"")</f>
        <v/>
      </c>
      <c r="M678" s="5" t="str">
        <f t="shared" si="6"/>
        <v/>
      </c>
      <c r="N678" s="5" t="str">
        <f>IFERROR(__xludf.DUMMYFUNCTION("IF(AND(F678&lt;&gt;"""",REGEXMATCH(SUBSTITUTE(F678,"" "",""""),""^-?\d+(\.\d+)?,-?\d+(\.\d+)?$""),VALUE(REGEXEXTRACT(SUBSTITUTE(F678,"" "",""""),""^-?\d+(\.\d+)?""))&gt;=-90,VALUE(REGEXEXTRACT(SUBSTITUTE(F678,"" "",""""),""^-?\d+(\.\d+)?""))&lt;=90,VALUE(REGEXEXTRACT"&amp;"(SUBSTITUTE(F678,"" "",""""),""-?\d+(\.\d+)?$""))&gt;=-180,VALUE(REGEXEXTRACT(SUBSTITUTE(F678,"" "",""""),""-?\d+(\.\d+)?$""))&lt;=180),""OK"",""REVISAR"")"),"#N/A")</f>
        <v>#N/A</v>
      </c>
    </row>
    <row r="679" ht="15.75" customHeight="1">
      <c r="A679" s="5" t="str">
        <f t="shared" si="1"/>
        <v>AD507-0677</v>
      </c>
      <c r="C679" s="5"/>
      <c r="F679" s="5"/>
      <c r="G679" s="5" t="str">
        <f t="shared" si="2"/>
        <v/>
      </c>
      <c r="H679" s="5" t="str">
        <f t="shared" si="3"/>
        <v/>
      </c>
      <c r="I679" s="5" t="str">
        <f t="shared" si="4"/>
        <v/>
      </c>
      <c r="J679" s="5" t="str">
        <f t="shared" si="5"/>
        <v/>
      </c>
      <c r="K679" s="5" t="str">
        <f>IFERROR(__xludf.DUMMYFUNCTION("IF(C679&lt;&gt;"""",HYPERLINK(""https://wa.me/507""&amp;REGEXREPLACE(C679,""[^0-9]"","""")&amp;""?text=""&amp;ENCODEURL(""Ya llegue. Codigo: ""&amp;A679&amp;"". Ubicacion: ""&amp;""https://www.google.com/maps/search/?api=1&amp;query=""&amp;SUBSTITUTE(F679,"" "","""")),""📲 Avisar al cliente"""&amp;"),"""")"),"")</f>
        <v/>
      </c>
      <c r="L679" s="5" t="str">
        <f>IFERROR(__xludf.DUMMYFUNCTION("IF(C679&lt;&gt;"""",""https://api.qrserver.com/v1/create-qr-code/?size=200x200&amp;data=""&amp;ENCODEURL(""https://wa.me/507""&amp;REGEXREPLACE(C679,""[^0-9]"","""")&amp;""?text=""&amp;ENCODEURL(""Ya llegue. Codigo: ""&amp;A679&amp;"". Ubicacion: ""&amp;""https://www.google.com/maps/search/?a"&amp;"pi=1&amp;query=""&amp;SUBSTITUTE(F679,"" "",""""))),"""")"),"")</f>
        <v/>
      </c>
      <c r="M679" s="5" t="str">
        <f t="shared" si="6"/>
        <v/>
      </c>
      <c r="N679" s="5" t="str">
        <f>IFERROR(__xludf.DUMMYFUNCTION("IF(AND(F679&lt;&gt;"""",REGEXMATCH(SUBSTITUTE(F679,"" "",""""),""^-?\d+(\.\d+)?,-?\d+(\.\d+)?$""),VALUE(REGEXEXTRACT(SUBSTITUTE(F679,"" "",""""),""^-?\d+(\.\d+)?""))&gt;=-90,VALUE(REGEXEXTRACT(SUBSTITUTE(F679,"" "",""""),""^-?\d+(\.\d+)?""))&lt;=90,VALUE(REGEXEXTRACT"&amp;"(SUBSTITUTE(F679,"" "",""""),""-?\d+(\.\d+)?$""))&gt;=-180,VALUE(REGEXEXTRACT(SUBSTITUTE(F679,"" "",""""),""-?\d+(\.\d+)?$""))&lt;=180),""OK"",""REVISAR"")"),"#N/A")</f>
        <v>#N/A</v>
      </c>
    </row>
    <row r="680" ht="15.75" customHeight="1">
      <c r="A680" s="5" t="str">
        <f t="shared" si="1"/>
        <v>AD507-0678</v>
      </c>
      <c r="C680" s="5"/>
      <c r="F680" s="5"/>
      <c r="G680" s="5" t="str">
        <f t="shared" si="2"/>
        <v/>
      </c>
      <c r="H680" s="5" t="str">
        <f t="shared" si="3"/>
        <v/>
      </c>
      <c r="I680" s="5" t="str">
        <f t="shared" si="4"/>
        <v/>
      </c>
      <c r="J680" s="5" t="str">
        <f t="shared" si="5"/>
        <v/>
      </c>
      <c r="K680" s="5" t="str">
        <f>IFERROR(__xludf.DUMMYFUNCTION("IF(C680&lt;&gt;"""",HYPERLINK(""https://wa.me/507""&amp;REGEXREPLACE(C680,""[^0-9]"","""")&amp;""?text=""&amp;ENCODEURL(""Ya llegue. Codigo: ""&amp;A680&amp;"". Ubicacion: ""&amp;""https://www.google.com/maps/search/?api=1&amp;query=""&amp;SUBSTITUTE(F680,"" "","""")),""📲 Avisar al cliente"""&amp;"),"""")"),"")</f>
        <v/>
      </c>
      <c r="L680" s="5" t="str">
        <f>IFERROR(__xludf.DUMMYFUNCTION("IF(C680&lt;&gt;"""",""https://api.qrserver.com/v1/create-qr-code/?size=200x200&amp;data=""&amp;ENCODEURL(""https://wa.me/507""&amp;REGEXREPLACE(C680,""[^0-9]"","""")&amp;""?text=""&amp;ENCODEURL(""Ya llegue. Codigo: ""&amp;A680&amp;"". Ubicacion: ""&amp;""https://www.google.com/maps/search/?a"&amp;"pi=1&amp;query=""&amp;SUBSTITUTE(F680,"" "",""""))),"""")"),"")</f>
        <v/>
      </c>
      <c r="M680" s="5" t="str">
        <f t="shared" si="6"/>
        <v/>
      </c>
      <c r="N680" s="5" t="str">
        <f>IFERROR(__xludf.DUMMYFUNCTION("IF(AND(F680&lt;&gt;"""",REGEXMATCH(SUBSTITUTE(F680,"" "",""""),""^-?\d+(\.\d+)?,-?\d+(\.\d+)?$""),VALUE(REGEXEXTRACT(SUBSTITUTE(F680,"" "",""""),""^-?\d+(\.\d+)?""))&gt;=-90,VALUE(REGEXEXTRACT(SUBSTITUTE(F680,"" "",""""),""^-?\d+(\.\d+)?""))&lt;=90,VALUE(REGEXEXTRACT"&amp;"(SUBSTITUTE(F680,"" "",""""),""-?\d+(\.\d+)?$""))&gt;=-180,VALUE(REGEXEXTRACT(SUBSTITUTE(F680,"" "",""""),""-?\d+(\.\d+)?$""))&lt;=180),""OK"",""REVISAR"")"),"#N/A")</f>
        <v>#N/A</v>
      </c>
    </row>
    <row r="681" ht="15.75" customHeight="1">
      <c r="A681" s="5" t="str">
        <f t="shared" si="1"/>
        <v>AD507-0679</v>
      </c>
      <c r="C681" s="5"/>
      <c r="F681" s="5"/>
      <c r="G681" s="5" t="str">
        <f t="shared" si="2"/>
        <v/>
      </c>
      <c r="H681" s="5" t="str">
        <f t="shared" si="3"/>
        <v/>
      </c>
      <c r="I681" s="5" t="str">
        <f t="shared" si="4"/>
        <v/>
      </c>
      <c r="J681" s="5" t="str">
        <f t="shared" si="5"/>
        <v/>
      </c>
      <c r="K681" s="5" t="str">
        <f>IFERROR(__xludf.DUMMYFUNCTION("IF(C681&lt;&gt;"""",HYPERLINK(""https://wa.me/507""&amp;REGEXREPLACE(C681,""[^0-9]"","""")&amp;""?text=""&amp;ENCODEURL(""Ya llegue. Codigo: ""&amp;A681&amp;"". Ubicacion: ""&amp;""https://www.google.com/maps/search/?api=1&amp;query=""&amp;SUBSTITUTE(F681,"" "","""")),""📲 Avisar al cliente"""&amp;"),"""")"),"")</f>
        <v/>
      </c>
      <c r="L681" s="5" t="str">
        <f>IFERROR(__xludf.DUMMYFUNCTION("IF(C681&lt;&gt;"""",""https://api.qrserver.com/v1/create-qr-code/?size=200x200&amp;data=""&amp;ENCODEURL(""https://wa.me/507""&amp;REGEXREPLACE(C681,""[^0-9]"","""")&amp;""?text=""&amp;ENCODEURL(""Ya llegue. Codigo: ""&amp;A681&amp;"". Ubicacion: ""&amp;""https://www.google.com/maps/search/?a"&amp;"pi=1&amp;query=""&amp;SUBSTITUTE(F681,"" "",""""))),"""")"),"")</f>
        <v/>
      </c>
      <c r="M681" s="5" t="str">
        <f t="shared" si="6"/>
        <v/>
      </c>
      <c r="N681" s="5" t="str">
        <f>IFERROR(__xludf.DUMMYFUNCTION("IF(AND(F681&lt;&gt;"""",REGEXMATCH(SUBSTITUTE(F681,"" "",""""),""^-?\d+(\.\d+)?,-?\d+(\.\d+)?$""),VALUE(REGEXEXTRACT(SUBSTITUTE(F681,"" "",""""),""^-?\d+(\.\d+)?""))&gt;=-90,VALUE(REGEXEXTRACT(SUBSTITUTE(F681,"" "",""""),""^-?\d+(\.\d+)?""))&lt;=90,VALUE(REGEXEXTRACT"&amp;"(SUBSTITUTE(F681,"" "",""""),""-?\d+(\.\d+)?$""))&gt;=-180,VALUE(REGEXEXTRACT(SUBSTITUTE(F681,"" "",""""),""-?\d+(\.\d+)?$""))&lt;=180),""OK"",""REVISAR"")"),"#N/A")</f>
        <v>#N/A</v>
      </c>
    </row>
    <row r="682" ht="15.75" customHeight="1">
      <c r="A682" s="5" t="str">
        <f t="shared" si="1"/>
        <v>AD507-0680</v>
      </c>
      <c r="C682" s="5"/>
      <c r="F682" s="5"/>
      <c r="G682" s="5" t="str">
        <f t="shared" si="2"/>
        <v/>
      </c>
      <c r="H682" s="5" t="str">
        <f t="shared" si="3"/>
        <v/>
      </c>
      <c r="I682" s="5" t="str">
        <f t="shared" si="4"/>
        <v/>
      </c>
      <c r="J682" s="5" t="str">
        <f t="shared" si="5"/>
        <v/>
      </c>
      <c r="K682" s="5" t="str">
        <f>IFERROR(__xludf.DUMMYFUNCTION("IF(C682&lt;&gt;"""",HYPERLINK(""https://wa.me/507""&amp;REGEXREPLACE(C682,""[^0-9]"","""")&amp;""?text=""&amp;ENCODEURL(""Ya llegue. Codigo: ""&amp;A682&amp;"". Ubicacion: ""&amp;""https://www.google.com/maps/search/?api=1&amp;query=""&amp;SUBSTITUTE(F682,"" "","""")),""📲 Avisar al cliente"""&amp;"),"""")"),"")</f>
        <v/>
      </c>
      <c r="L682" s="5" t="str">
        <f>IFERROR(__xludf.DUMMYFUNCTION("IF(C682&lt;&gt;"""",""https://api.qrserver.com/v1/create-qr-code/?size=200x200&amp;data=""&amp;ENCODEURL(""https://wa.me/507""&amp;REGEXREPLACE(C682,""[^0-9]"","""")&amp;""?text=""&amp;ENCODEURL(""Ya llegue. Codigo: ""&amp;A682&amp;"". Ubicacion: ""&amp;""https://www.google.com/maps/search/?a"&amp;"pi=1&amp;query=""&amp;SUBSTITUTE(F682,"" "",""""))),"""")"),"")</f>
        <v/>
      </c>
      <c r="M682" s="5" t="str">
        <f t="shared" si="6"/>
        <v/>
      </c>
      <c r="N682" s="5" t="str">
        <f>IFERROR(__xludf.DUMMYFUNCTION("IF(AND(F682&lt;&gt;"""",REGEXMATCH(SUBSTITUTE(F682,"" "",""""),""^-?\d+(\.\d+)?,-?\d+(\.\d+)?$""),VALUE(REGEXEXTRACT(SUBSTITUTE(F682,"" "",""""),""^-?\d+(\.\d+)?""))&gt;=-90,VALUE(REGEXEXTRACT(SUBSTITUTE(F682,"" "",""""),""^-?\d+(\.\d+)?""))&lt;=90,VALUE(REGEXEXTRACT"&amp;"(SUBSTITUTE(F682,"" "",""""),""-?\d+(\.\d+)?$""))&gt;=-180,VALUE(REGEXEXTRACT(SUBSTITUTE(F682,"" "",""""),""-?\d+(\.\d+)?$""))&lt;=180),""OK"",""REVISAR"")"),"#N/A")</f>
        <v>#N/A</v>
      </c>
    </row>
    <row r="683" ht="15.75" customHeight="1">
      <c r="A683" s="5" t="str">
        <f t="shared" si="1"/>
        <v>AD507-0681</v>
      </c>
      <c r="C683" s="5"/>
      <c r="F683" s="5"/>
      <c r="G683" s="5" t="str">
        <f t="shared" si="2"/>
        <v/>
      </c>
      <c r="H683" s="5" t="str">
        <f t="shared" si="3"/>
        <v/>
      </c>
      <c r="I683" s="5" t="str">
        <f t="shared" si="4"/>
        <v/>
      </c>
      <c r="J683" s="5" t="str">
        <f t="shared" si="5"/>
        <v/>
      </c>
      <c r="K683" s="5" t="str">
        <f>IFERROR(__xludf.DUMMYFUNCTION("IF(C683&lt;&gt;"""",HYPERLINK(""https://wa.me/507""&amp;REGEXREPLACE(C683,""[^0-9]"","""")&amp;""?text=""&amp;ENCODEURL(""Ya llegue. Codigo: ""&amp;A683&amp;"". Ubicacion: ""&amp;""https://www.google.com/maps/search/?api=1&amp;query=""&amp;SUBSTITUTE(F683,"" "","""")),""📲 Avisar al cliente"""&amp;"),"""")"),"")</f>
        <v/>
      </c>
      <c r="L683" s="5" t="str">
        <f>IFERROR(__xludf.DUMMYFUNCTION("IF(C683&lt;&gt;"""",""https://api.qrserver.com/v1/create-qr-code/?size=200x200&amp;data=""&amp;ENCODEURL(""https://wa.me/507""&amp;REGEXREPLACE(C683,""[^0-9]"","""")&amp;""?text=""&amp;ENCODEURL(""Ya llegue. Codigo: ""&amp;A683&amp;"". Ubicacion: ""&amp;""https://www.google.com/maps/search/?a"&amp;"pi=1&amp;query=""&amp;SUBSTITUTE(F683,"" "",""""))),"""")"),"")</f>
        <v/>
      </c>
      <c r="M683" s="5" t="str">
        <f t="shared" si="6"/>
        <v/>
      </c>
      <c r="N683" s="5" t="str">
        <f>IFERROR(__xludf.DUMMYFUNCTION("IF(AND(F683&lt;&gt;"""",REGEXMATCH(SUBSTITUTE(F683,"" "",""""),""^-?\d+(\.\d+)?,-?\d+(\.\d+)?$""),VALUE(REGEXEXTRACT(SUBSTITUTE(F683,"" "",""""),""^-?\d+(\.\d+)?""))&gt;=-90,VALUE(REGEXEXTRACT(SUBSTITUTE(F683,"" "",""""),""^-?\d+(\.\d+)?""))&lt;=90,VALUE(REGEXEXTRACT"&amp;"(SUBSTITUTE(F683,"" "",""""),""-?\d+(\.\d+)?$""))&gt;=-180,VALUE(REGEXEXTRACT(SUBSTITUTE(F683,"" "",""""),""-?\d+(\.\d+)?$""))&lt;=180),""OK"",""REVISAR"")"),"#N/A")</f>
        <v>#N/A</v>
      </c>
    </row>
    <row r="684" ht="15.75" customHeight="1">
      <c r="A684" s="5" t="str">
        <f t="shared" si="1"/>
        <v>AD507-0682</v>
      </c>
      <c r="C684" s="5"/>
      <c r="F684" s="5"/>
      <c r="G684" s="5" t="str">
        <f t="shared" si="2"/>
        <v/>
      </c>
      <c r="H684" s="5" t="str">
        <f t="shared" si="3"/>
        <v/>
      </c>
      <c r="I684" s="5" t="str">
        <f t="shared" si="4"/>
        <v/>
      </c>
      <c r="J684" s="5" t="str">
        <f t="shared" si="5"/>
        <v/>
      </c>
      <c r="K684" s="5" t="str">
        <f>IFERROR(__xludf.DUMMYFUNCTION("IF(C684&lt;&gt;"""",HYPERLINK(""https://wa.me/507""&amp;REGEXREPLACE(C684,""[^0-9]"","""")&amp;""?text=""&amp;ENCODEURL(""Ya llegue. Codigo: ""&amp;A684&amp;"". Ubicacion: ""&amp;""https://www.google.com/maps/search/?api=1&amp;query=""&amp;SUBSTITUTE(F684,"" "","""")),""📲 Avisar al cliente"""&amp;"),"""")"),"")</f>
        <v/>
      </c>
      <c r="L684" s="5" t="str">
        <f>IFERROR(__xludf.DUMMYFUNCTION("IF(C684&lt;&gt;"""",""https://api.qrserver.com/v1/create-qr-code/?size=200x200&amp;data=""&amp;ENCODEURL(""https://wa.me/507""&amp;REGEXREPLACE(C684,""[^0-9]"","""")&amp;""?text=""&amp;ENCODEURL(""Ya llegue. Codigo: ""&amp;A684&amp;"". Ubicacion: ""&amp;""https://www.google.com/maps/search/?a"&amp;"pi=1&amp;query=""&amp;SUBSTITUTE(F684,"" "",""""))),"""")"),"")</f>
        <v/>
      </c>
      <c r="M684" s="5" t="str">
        <f t="shared" si="6"/>
        <v/>
      </c>
      <c r="N684" s="5" t="str">
        <f>IFERROR(__xludf.DUMMYFUNCTION("IF(AND(F684&lt;&gt;"""",REGEXMATCH(SUBSTITUTE(F684,"" "",""""),""^-?\d+(\.\d+)?,-?\d+(\.\d+)?$""),VALUE(REGEXEXTRACT(SUBSTITUTE(F684,"" "",""""),""^-?\d+(\.\d+)?""))&gt;=-90,VALUE(REGEXEXTRACT(SUBSTITUTE(F684,"" "",""""),""^-?\d+(\.\d+)?""))&lt;=90,VALUE(REGEXEXTRACT"&amp;"(SUBSTITUTE(F684,"" "",""""),""-?\d+(\.\d+)?$""))&gt;=-180,VALUE(REGEXEXTRACT(SUBSTITUTE(F684,"" "",""""),""-?\d+(\.\d+)?$""))&lt;=180),""OK"",""REVISAR"")"),"#N/A")</f>
        <v>#N/A</v>
      </c>
    </row>
    <row r="685" ht="15.75" customHeight="1">
      <c r="A685" s="5" t="str">
        <f t="shared" si="1"/>
        <v>AD507-0683</v>
      </c>
      <c r="C685" s="5"/>
      <c r="F685" s="5"/>
      <c r="G685" s="5" t="str">
        <f t="shared" si="2"/>
        <v/>
      </c>
      <c r="H685" s="5" t="str">
        <f t="shared" si="3"/>
        <v/>
      </c>
      <c r="I685" s="5" t="str">
        <f t="shared" si="4"/>
        <v/>
      </c>
      <c r="J685" s="5" t="str">
        <f t="shared" si="5"/>
        <v/>
      </c>
      <c r="K685" s="5" t="str">
        <f>IFERROR(__xludf.DUMMYFUNCTION("IF(C685&lt;&gt;"""",HYPERLINK(""https://wa.me/507""&amp;REGEXREPLACE(C685,""[^0-9]"","""")&amp;""?text=""&amp;ENCODEURL(""Ya llegue. Codigo: ""&amp;A685&amp;"". Ubicacion: ""&amp;""https://www.google.com/maps/search/?api=1&amp;query=""&amp;SUBSTITUTE(F685,"" "","""")),""📲 Avisar al cliente"""&amp;"),"""")"),"")</f>
        <v/>
      </c>
      <c r="L685" s="5" t="str">
        <f>IFERROR(__xludf.DUMMYFUNCTION("IF(C685&lt;&gt;"""",""https://api.qrserver.com/v1/create-qr-code/?size=200x200&amp;data=""&amp;ENCODEURL(""https://wa.me/507""&amp;REGEXREPLACE(C685,""[^0-9]"","""")&amp;""?text=""&amp;ENCODEURL(""Ya llegue. Codigo: ""&amp;A685&amp;"". Ubicacion: ""&amp;""https://www.google.com/maps/search/?a"&amp;"pi=1&amp;query=""&amp;SUBSTITUTE(F685,"" "",""""))),"""")"),"")</f>
        <v/>
      </c>
      <c r="M685" s="5" t="str">
        <f t="shared" si="6"/>
        <v/>
      </c>
      <c r="N685" s="5" t="str">
        <f>IFERROR(__xludf.DUMMYFUNCTION("IF(AND(F685&lt;&gt;"""",REGEXMATCH(SUBSTITUTE(F685,"" "",""""),""^-?\d+(\.\d+)?,-?\d+(\.\d+)?$""),VALUE(REGEXEXTRACT(SUBSTITUTE(F685,"" "",""""),""^-?\d+(\.\d+)?""))&gt;=-90,VALUE(REGEXEXTRACT(SUBSTITUTE(F685,"" "",""""),""^-?\d+(\.\d+)?""))&lt;=90,VALUE(REGEXEXTRACT"&amp;"(SUBSTITUTE(F685,"" "",""""),""-?\d+(\.\d+)?$""))&gt;=-180,VALUE(REGEXEXTRACT(SUBSTITUTE(F685,"" "",""""),""-?\d+(\.\d+)?$""))&lt;=180),""OK"",""REVISAR"")"),"#N/A")</f>
        <v>#N/A</v>
      </c>
    </row>
    <row r="686" ht="15.75" customHeight="1">
      <c r="A686" s="5" t="str">
        <f t="shared" si="1"/>
        <v>AD507-0684</v>
      </c>
      <c r="C686" s="5"/>
      <c r="F686" s="5"/>
      <c r="G686" s="5" t="str">
        <f t="shared" si="2"/>
        <v/>
      </c>
      <c r="H686" s="5" t="str">
        <f t="shared" si="3"/>
        <v/>
      </c>
      <c r="I686" s="5" t="str">
        <f t="shared" si="4"/>
        <v/>
      </c>
      <c r="J686" s="5" t="str">
        <f t="shared" si="5"/>
        <v/>
      </c>
      <c r="K686" s="5" t="str">
        <f>IFERROR(__xludf.DUMMYFUNCTION("IF(C686&lt;&gt;"""",HYPERLINK(""https://wa.me/507""&amp;REGEXREPLACE(C686,""[^0-9]"","""")&amp;""?text=""&amp;ENCODEURL(""Ya llegue. Codigo: ""&amp;A686&amp;"". Ubicacion: ""&amp;""https://www.google.com/maps/search/?api=1&amp;query=""&amp;SUBSTITUTE(F686,"" "","""")),""📲 Avisar al cliente"""&amp;"),"""")"),"")</f>
        <v/>
      </c>
      <c r="L686" s="5" t="str">
        <f>IFERROR(__xludf.DUMMYFUNCTION("IF(C686&lt;&gt;"""",""https://api.qrserver.com/v1/create-qr-code/?size=200x200&amp;data=""&amp;ENCODEURL(""https://wa.me/507""&amp;REGEXREPLACE(C686,""[^0-9]"","""")&amp;""?text=""&amp;ENCODEURL(""Ya llegue. Codigo: ""&amp;A686&amp;"". Ubicacion: ""&amp;""https://www.google.com/maps/search/?a"&amp;"pi=1&amp;query=""&amp;SUBSTITUTE(F686,"" "",""""))),"""")"),"")</f>
        <v/>
      </c>
      <c r="M686" s="5" t="str">
        <f t="shared" si="6"/>
        <v/>
      </c>
      <c r="N686" s="5" t="str">
        <f>IFERROR(__xludf.DUMMYFUNCTION("IF(AND(F686&lt;&gt;"""",REGEXMATCH(SUBSTITUTE(F686,"" "",""""),""^-?\d+(\.\d+)?,-?\d+(\.\d+)?$""),VALUE(REGEXEXTRACT(SUBSTITUTE(F686,"" "",""""),""^-?\d+(\.\d+)?""))&gt;=-90,VALUE(REGEXEXTRACT(SUBSTITUTE(F686,"" "",""""),""^-?\d+(\.\d+)?""))&lt;=90,VALUE(REGEXEXTRACT"&amp;"(SUBSTITUTE(F686,"" "",""""),""-?\d+(\.\d+)?$""))&gt;=-180,VALUE(REGEXEXTRACT(SUBSTITUTE(F686,"" "",""""),""-?\d+(\.\d+)?$""))&lt;=180),""OK"",""REVISAR"")"),"#N/A")</f>
        <v>#N/A</v>
      </c>
    </row>
    <row r="687" ht="15.75" customHeight="1">
      <c r="A687" s="5" t="str">
        <f t="shared" si="1"/>
        <v>AD507-0685</v>
      </c>
      <c r="C687" s="5"/>
      <c r="F687" s="5"/>
      <c r="G687" s="5" t="str">
        <f t="shared" si="2"/>
        <v/>
      </c>
      <c r="H687" s="5" t="str">
        <f t="shared" si="3"/>
        <v/>
      </c>
      <c r="I687" s="5" t="str">
        <f t="shared" si="4"/>
        <v/>
      </c>
      <c r="J687" s="5" t="str">
        <f t="shared" si="5"/>
        <v/>
      </c>
      <c r="K687" s="5" t="str">
        <f>IFERROR(__xludf.DUMMYFUNCTION("IF(C687&lt;&gt;"""",HYPERLINK(""https://wa.me/507""&amp;REGEXREPLACE(C687,""[^0-9]"","""")&amp;""?text=""&amp;ENCODEURL(""Ya llegue. Codigo: ""&amp;A687&amp;"". Ubicacion: ""&amp;""https://www.google.com/maps/search/?api=1&amp;query=""&amp;SUBSTITUTE(F687,"" "","""")),""📲 Avisar al cliente"""&amp;"),"""")"),"")</f>
        <v/>
      </c>
      <c r="L687" s="5" t="str">
        <f>IFERROR(__xludf.DUMMYFUNCTION("IF(C687&lt;&gt;"""",""https://api.qrserver.com/v1/create-qr-code/?size=200x200&amp;data=""&amp;ENCODEURL(""https://wa.me/507""&amp;REGEXREPLACE(C687,""[^0-9]"","""")&amp;""?text=""&amp;ENCODEURL(""Ya llegue. Codigo: ""&amp;A687&amp;"". Ubicacion: ""&amp;""https://www.google.com/maps/search/?a"&amp;"pi=1&amp;query=""&amp;SUBSTITUTE(F687,"" "",""""))),"""")"),"")</f>
        <v/>
      </c>
      <c r="M687" s="5" t="str">
        <f t="shared" si="6"/>
        <v/>
      </c>
      <c r="N687" s="5" t="str">
        <f>IFERROR(__xludf.DUMMYFUNCTION("IF(AND(F687&lt;&gt;"""",REGEXMATCH(SUBSTITUTE(F687,"" "",""""),""^-?\d+(\.\d+)?,-?\d+(\.\d+)?$""),VALUE(REGEXEXTRACT(SUBSTITUTE(F687,"" "",""""),""^-?\d+(\.\d+)?""))&gt;=-90,VALUE(REGEXEXTRACT(SUBSTITUTE(F687,"" "",""""),""^-?\d+(\.\d+)?""))&lt;=90,VALUE(REGEXEXTRACT"&amp;"(SUBSTITUTE(F687,"" "",""""),""-?\d+(\.\d+)?$""))&gt;=-180,VALUE(REGEXEXTRACT(SUBSTITUTE(F687,"" "",""""),""-?\d+(\.\d+)?$""))&lt;=180),""OK"",""REVISAR"")"),"#N/A")</f>
        <v>#N/A</v>
      </c>
    </row>
    <row r="688" ht="15.75" customHeight="1">
      <c r="A688" s="5" t="str">
        <f t="shared" si="1"/>
        <v>AD507-0686</v>
      </c>
      <c r="C688" s="5"/>
      <c r="F688" s="5"/>
      <c r="G688" s="5" t="str">
        <f t="shared" si="2"/>
        <v/>
      </c>
      <c r="H688" s="5" t="str">
        <f t="shared" si="3"/>
        <v/>
      </c>
      <c r="I688" s="5" t="str">
        <f t="shared" si="4"/>
        <v/>
      </c>
      <c r="J688" s="5" t="str">
        <f t="shared" si="5"/>
        <v/>
      </c>
      <c r="K688" s="5" t="str">
        <f>IFERROR(__xludf.DUMMYFUNCTION("IF(C688&lt;&gt;"""",HYPERLINK(""https://wa.me/507""&amp;REGEXREPLACE(C688,""[^0-9]"","""")&amp;""?text=""&amp;ENCODEURL(""Ya llegue. Codigo: ""&amp;A688&amp;"". Ubicacion: ""&amp;""https://www.google.com/maps/search/?api=1&amp;query=""&amp;SUBSTITUTE(F688,"" "","""")),""📲 Avisar al cliente"""&amp;"),"""")"),"")</f>
        <v/>
      </c>
      <c r="L688" s="5" t="str">
        <f>IFERROR(__xludf.DUMMYFUNCTION("IF(C688&lt;&gt;"""",""https://api.qrserver.com/v1/create-qr-code/?size=200x200&amp;data=""&amp;ENCODEURL(""https://wa.me/507""&amp;REGEXREPLACE(C688,""[^0-9]"","""")&amp;""?text=""&amp;ENCODEURL(""Ya llegue. Codigo: ""&amp;A688&amp;"". Ubicacion: ""&amp;""https://www.google.com/maps/search/?a"&amp;"pi=1&amp;query=""&amp;SUBSTITUTE(F688,"" "",""""))),"""")"),"")</f>
        <v/>
      </c>
      <c r="M688" s="5" t="str">
        <f t="shared" si="6"/>
        <v/>
      </c>
      <c r="N688" s="5" t="str">
        <f>IFERROR(__xludf.DUMMYFUNCTION("IF(AND(F688&lt;&gt;"""",REGEXMATCH(SUBSTITUTE(F688,"" "",""""),""^-?\d+(\.\d+)?,-?\d+(\.\d+)?$""),VALUE(REGEXEXTRACT(SUBSTITUTE(F688,"" "",""""),""^-?\d+(\.\d+)?""))&gt;=-90,VALUE(REGEXEXTRACT(SUBSTITUTE(F688,"" "",""""),""^-?\d+(\.\d+)?""))&lt;=90,VALUE(REGEXEXTRACT"&amp;"(SUBSTITUTE(F688,"" "",""""),""-?\d+(\.\d+)?$""))&gt;=-180,VALUE(REGEXEXTRACT(SUBSTITUTE(F688,"" "",""""),""-?\d+(\.\d+)?$""))&lt;=180),""OK"",""REVISAR"")"),"#N/A")</f>
        <v>#N/A</v>
      </c>
    </row>
    <row r="689" ht="15.75" customHeight="1">
      <c r="A689" s="5" t="str">
        <f t="shared" si="1"/>
        <v>AD507-0687</v>
      </c>
      <c r="C689" s="5"/>
      <c r="F689" s="5"/>
      <c r="G689" s="5" t="str">
        <f t="shared" si="2"/>
        <v/>
      </c>
      <c r="H689" s="5" t="str">
        <f t="shared" si="3"/>
        <v/>
      </c>
      <c r="I689" s="5" t="str">
        <f t="shared" si="4"/>
        <v/>
      </c>
      <c r="J689" s="5" t="str">
        <f t="shared" si="5"/>
        <v/>
      </c>
      <c r="K689" s="5" t="str">
        <f>IFERROR(__xludf.DUMMYFUNCTION("IF(C689&lt;&gt;"""",HYPERLINK(""https://wa.me/507""&amp;REGEXREPLACE(C689,""[^0-9]"","""")&amp;""?text=""&amp;ENCODEURL(""Ya llegue. Codigo: ""&amp;A689&amp;"". Ubicacion: ""&amp;""https://www.google.com/maps/search/?api=1&amp;query=""&amp;SUBSTITUTE(F689,"" "","""")),""📲 Avisar al cliente"""&amp;"),"""")"),"")</f>
        <v/>
      </c>
      <c r="L689" s="5" t="str">
        <f>IFERROR(__xludf.DUMMYFUNCTION("IF(C689&lt;&gt;"""",""https://api.qrserver.com/v1/create-qr-code/?size=200x200&amp;data=""&amp;ENCODEURL(""https://wa.me/507""&amp;REGEXREPLACE(C689,""[^0-9]"","""")&amp;""?text=""&amp;ENCODEURL(""Ya llegue. Codigo: ""&amp;A689&amp;"". Ubicacion: ""&amp;""https://www.google.com/maps/search/?a"&amp;"pi=1&amp;query=""&amp;SUBSTITUTE(F689,"" "",""""))),"""")"),"")</f>
        <v/>
      </c>
      <c r="M689" s="5" t="str">
        <f t="shared" si="6"/>
        <v/>
      </c>
      <c r="N689" s="5" t="str">
        <f>IFERROR(__xludf.DUMMYFUNCTION("IF(AND(F689&lt;&gt;"""",REGEXMATCH(SUBSTITUTE(F689,"" "",""""),""^-?\d+(\.\d+)?,-?\d+(\.\d+)?$""),VALUE(REGEXEXTRACT(SUBSTITUTE(F689,"" "",""""),""^-?\d+(\.\d+)?""))&gt;=-90,VALUE(REGEXEXTRACT(SUBSTITUTE(F689,"" "",""""),""^-?\d+(\.\d+)?""))&lt;=90,VALUE(REGEXEXTRACT"&amp;"(SUBSTITUTE(F689,"" "",""""),""-?\d+(\.\d+)?$""))&gt;=-180,VALUE(REGEXEXTRACT(SUBSTITUTE(F689,"" "",""""),""-?\d+(\.\d+)?$""))&lt;=180),""OK"",""REVISAR"")"),"#N/A")</f>
        <v>#N/A</v>
      </c>
    </row>
    <row r="690" ht="15.75" customHeight="1">
      <c r="A690" s="5" t="str">
        <f t="shared" si="1"/>
        <v>AD507-0688</v>
      </c>
      <c r="C690" s="5"/>
      <c r="F690" s="5"/>
      <c r="G690" s="5" t="str">
        <f t="shared" si="2"/>
        <v/>
      </c>
      <c r="H690" s="5" t="str">
        <f t="shared" si="3"/>
        <v/>
      </c>
      <c r="I690" s="5" t="str">
        <f t="shared" si="4"/>
        <v/>
      </c>
      <c r="J690" s="5" t="str">
        <f t="shared" si="5"/>
        <v/>
      </c>
      <c r="K690" s="5" t="str">
        <f>IFERROR(__xludf.DUMMYFUNCTION("IF(C690&lt;&gt;"""",HYPERLINK(""https://wa.me/507""&amp;REGEXREPLACE(C690,""[^0-9]"","""")&amp;""?text=""&amp;ENCODEURL(""Ya llegue. Codigo: ""&amp;A690&amp;"". Ubicacion: ""&amp;""https://www.google.com/maps/search/?api=1&amp;query=""&amp;SUBSTITUTE(F690,"" "","""")),""📲 Avisar al cliente"""&amp;"),"""")"),"")</f>
        <v/>
      </c>
      <c r="L690" s="5" t="str">
        <f>IFERROR(__xludf.DUMMYFUNCTION("IF(C690&lt;&gt;"""",""https://api.qrserver.com/v1/create-qr-code/?size=200x200&amp;data=""&amp;ENCODEURL(""https://wa.me/507""&amp;REGEXREPLACE(C690,""[^0-9]"","""")&amp;""?text=""&amp;ENCODEURL(""Ya llegue. Codigo: ""&amp;A690&amp;"". Ubicacion: ""&amp;""https://www.google.com/maps/search/?a"&amp;"pi=1&amp;query=""&amp;SUBSTITUTE(F690,"" "",""""))),"""")"),"")</f>
        <v/>
      </c>
      <c r="M690" s="5" t="str">
        <f t="shared" si="6"/>
        <v/>
      </c>
      <c r="N690" s="5" t="str">
        <f>IFERROR(__xludf.DUMMYFUNCTION("IF(AND(F690&lt;&gt;"""",REGEXMATCH(SUBSTITUTE(F690,"" "",""""),""^-?\d+(\.\d+)?,-?\d+(\.\d+)?$""),VALUE(REGEXEXTRACT(SUBSTITUTE(F690,"" "",""""),""^-?\d+(\.\d+)?""))&gt;=-90,VALUE(REGEXEXTRACT(SUBSTITUTE(F690,"" "",""""),""^-?\d+(\.\d+)?""))&lt;=90,VALUE(REGEXEXTRACT"&amp;"(SUBSTITUTE(F690,"" "",""""),""-?\d+(\.\d+)?$""))&gt;=-180,VALUE(REGEXEXTRACT(SUBSTITUTE(F690,"" "",""""),""-?\d+(\.\d+)?$""))&lt;=180),""OK"",""REVISAR"")"),"#N/A")</f>
        <v>#N/A</v>
      </c>
    </row>
    <row r="691" ht="15.75" customHeight="1">
      <c r="A691" s="5" t="str">
        <f t="shared" si="1"/>
        <v>AD507-0689</v>
      </c>
      <c r="C691" s="5"/>
      <c r="F691" s="5"/>
      <c r="G691" s="5" t="str">
        <f t="shared" si="2"/>
        <v/>
      </c>
      <c r="H691" s="5" t="str">
        <f t="shared" si="3"/>
        <v/>
      </c>
      <c r="I691" s="5" t="str">
        <f t="shared" si="4"/>
        <v/>
      </c>
      <c r="J691" s="5" t="str">
        <f t="shared" si="5"/>
        <v/>
      </c>
      <c r="K691" s="5" t="str">
        <f>IFERROR(__xludf.DUMMYFUNCTION("IF(C691&lt;&gt;"""",HYPERLINK(""https://wa.me/507""&amp;REGEXREPLACE(C691,""[^0-9]"","""")&amp;""?text=""&amp;ENCODEURL(""Ya llegue. Codigo: ""&amp;A691&amp;"". Ubicacion: ""&amp;""https://www.google.com/maps/search/?api=1&amp;query=""&amp;SUBSTITUTE(F691,"" "","""")),""📲 Avisar al cliente"""&amp;"),"""")"),"")</f>
        <v/>
      </c>
      <c r="L691" s="5" t="str">
        <f>IFERROR(__xludf.DUMMYFUNCTION("IF(C691&lt;&gt;"""",""https://api.qrserver.com/v1/create-qr-code/?size=200x200&amp;data=""&amp;ENCODEURL(""https://wa.me/507""&amp;REGEXREPLACE(C691,""[^0-9]"","""")&amp;""?text=""&amp;ENCODEURL(""Ya llegue. Codigo: ""&amp;A691&amp;"". Ubicacion: ""&amp;""https://www.google.com/maps/search/?a"&amp;"pi=1&amp;query=""&amp;SUBSTITUTE(F691,"" "",""""))),"""")"),"")</f>
        <v/>
      </c>
      <c r="M691" s="5" t="str">
        <f t="shared" si="6"/>
        <v/>
      </c>
      <c r="N691" s="5" t="str">
        <f>IFERROR(__xludf.DUMMYFUNCTION("IF(AND(F691&lt;&gt;"""",REGEXMATCH(SUBSTITUTE(F691,"" "",""""),""^-?\d+(\.\d+)?,-?\d+(\.\d+)?$""),VALUE(REGEXEXTRACT(SUBSTITUTE(F691,"" "",""""),""^-?\d+(\.\d+)?""))&gt;=-90,VALUE(REGEXEXTRACT(SUBSTITUTE(F691,"" "",""""),""^-?\d+(\.\d+)?""))&lt;=90,VALUE(REGEXEXTRACT"&amp;"(SUBSTITUTE(F691,"" "",""""),""-?\d+(\.\d+)?$""))&gt;=-180,VALUE(REGEXEXTRACT(SUBSTITUTE(F691,"" "",""""),""-?\d+(\.\d+)?$""))&lt;=180),""OK"",""REVISAR"")"),"#N/A")</f>
        <v>#N/A</v>
      </c>
    </row>
    <row r="692" ht="15.75" customHeight="1">
      <c r="A692" s="5" t="str">
        <f t="shared" si="1"/>
        <v>AD507-0690</v>
      </c>
      <c r="C692" s="5"/>
      <c r="F692" s="5"/>
      <c r="G692" s="5" t="str">
        <f t="shared" si="2"/>
        <v/>
      </c>
      <c r="H692" s="5" t="str">
        <f t="shared" si="3"/>
        <v/>
      </c>
      <c r="I692" s="5" t="str">
        <f t="shared" si="4"/>
        <v/>
      </c>
      <c r="J692" s="5" t="str">
        <f t="shared" si="5"/>
        <v/>
      </c>
      <c r="K692" s="5" t="str">
        <f>IFERROR(__xludf.DUMMYFUNCTION("IF(C692&lt;&gt;"""",HYPERLINK(""https://wa.me/507""&amp;REGEXREPLACE(C692,""[^0-9]"","""")&amp;""?text=""&amp;ENCODEURL(""Ya llegue. Codigo: ""&amp;A692&amp;"". Ubicacion: ""&amp;""https://www.google.com/maps/search/?api=1&amp;query=""&amp;SUBSTITUTE(F692,"" "","""")),""📲 Avisar al cliente"""&amp;"),"""")"),"")</f>
        <v/>
      </c>
      <c r="L692" s="5" t="str">
        <f>IFERROR(__xludf.DUMMYFUNCTION("IF(C692&lt;&gt;"""",""https://api.qrserver.com/v1/create-qr-code/?size=200x200&amp;data=""&amp;ENCODEURL(""https://wa.me/507""&amp;REGEXREPLACE(C692,""[^0-9]"","""")&amp;""?text=""&amp;ENCODEURL(""Ya llegue. Codigo: ""&amp;A692&amp;"". Ubicacion: ""&amp;""https://www.google.com/maps/search/?a"&amp;"pi=1&amp;query=""&amp;SUBSTITUTE(F692,"" "",""""))),"""")"),"")</f>
        <v/>
      </c>
      <c r="M692" s="5" t="str">
        <f t="shared" si="6"/>
        <v/>
      </c>
      <c r="N692" s="5" t="str">
        <f>IFERROR(__xludf.DUMMYFUNCTION("IF(AND(F692&lt;&gt;"""",REGEXMATCH(SUBSTITUTE(F692,"" "",""""),""^-?\d+(\.\d+)?,-?\d+(\.\d+)?$""),VALUE(REGEXEXTRACT(SUBSTITUTE(F692,"" "",""""),""^-?\d+(\.\d+)?""))&gt;=-90,VALUE(REGEXEXTRACT(SUBSTITUTE(F692,"" "",""""),""^-?\d+(\.\d+)?""))&lt;=90,VALUE(REGEXEXTRACT"&amp;"(SUBSTITUTE(F692,"" "",""""),""-?\d+(\.\d+)?$""))&gt;=-180,VALUE(REGEXEXTRACT(SUBSTITUTE(F692,"" "",""""),""-?\d+(\.\d+)?$""))&lt;=180),""OK"",""REVISAR"")"),"#N/A")</f>
        <v>#N/A</v>
      </c>
    </row>
    <row r="693" ht="15.75" customHeight="1">
      <c r="A693" s="5" t="str">
        <f t="shared" si="1"/>
        <v>AD507-0691</v>
      </c>
      <c r="C693" s="5"/>
      <c r="F693" s="5"/>
      <c r="G693" s="5" t="str">
        <f t="shared" si="2"/>
        <v/>
      </c>
      <c r="H693" s="5" t="str">
        <f t="shared" si="3"/>
        <v/>
      </c>
      <c r="I693" s="5" t="str">
        <f t="shared" si="4"/>
        <v/>
      </c>
      <c r="J693" s="5" t="str">
        <f t="shared" si="5"/>
        <v/>
      </c>
      <c r="K693" s="5" t="str">
        <f>IFERROR(__xludf.DUMMYFUNCTION("IF(C693&lt;&gt;"""",HYPERLINK(""https://wa.me/507""&amp;REGEXREPLACE(C693,""[^0-9]"","""")&amp;""?text=""&amp;ENCODEURL(""Ya llegue. Codigo: ""&amp;A693&amp;"". Ubicacion: ""&amp;""https://www.google.com/maps/search/?api=1&amp;query=""&amp;SUBSTITUTE(F693,"" "","""")),""📲 Avisar al cliente"""&amp;"),"""")"),"")</f>
        <v/>
      </c>
      <c r="L693" s="5" t="str">
        <f>IFERROR(__xludf.DUMMYFUNCTION("IF(C693&lt;&gt;"""",""https://api.qrserver.com/v1/create-qr-code/?size=200x200&amp;data=""&amp;ENCODEURL(""https://wa.me/507""&amp;REGEXREPLACE(C693,""[^0-9]"","""")&amp;""?text=""&amp;ENCODEURL(""Ya llegue. Codigo: ""&amp;A693&amp;"". Ubicacion: ""&amp;""https://www.google.com/maps/search/?a"&amp;"pi=1&amp;query=""&amp;SUBSTITUTE(F693,"" "",""""))),"""")"),"")</f>
        <v/>
      </c>
      <c r="M693" s="5" t="str">
        <f t="shared" si="6"/>
        <v/>
      </c>
      <c r="N693" s="5" t="str">
        <f>IFERROR(__xludf.DUMMYFUNCTION("IF(AND(F693&lt;&gt;"""",REGEXMATCH(SUBSTITUTE(F693,"" "",""""),""^-?\d+(\.\d+)?,-?\d+(\.\d+)?$""),VALUE(REGEXEXTRACT(SUBSTITUTE(F693,"" "",""""),""^-?\d+(\.\d+)?""))&gt;=-90,VALUE(REGEXEXTRACT(SUBSTITUTE(F693,"" "",""""),""^-?\d+(\.\d+)?""))&lt;=90,VALUE(REGEXEXTRACT"&amp;"(SUBSTITUTE(F693,"" "",""""),""-?\d+(\.\d+)?$""))&gt;=-180,VALUE(REGEXEXTRACT(SUBSTITUTE(F693,"" "",""""),""-?\d+(\.\d+)?$""))&lt;=180),""OK"",""REVISAR"")"),"#N/A")</f>
        <v>#N/A</v>
      </c>
    </row>
    <row r="694" ht="15.75" customHeight="1">
      <c r="A694" s="5" t="str">
        <f t="shared" si="1"/>
        <v>AD507-0692</v>
      </c>
      <c r="C694" s="5"/>
      <c r="F694" s="5"/>
      <c r="G694" s="5" t="str">
        <f t="shared" si="2"/>
        <v/>
      </c>
      <c r="H694" s="5" t="str">
        <f t="shared" si="3"/>
        <v/>
      </c>
      <c r="I694" s="5" t="str">
        <f t="shared" si="4"/>
        <v/>
      </c>
      <c r="J694" s="5" t="str">
        <f t="shared" si="5"/>
        <v/>
      </c>
      <c r="K694" s="5" t="str">
        <f>IFERROR(__xludf.DUMMYFUNCTION("IF(C694&lt;&gt;"""",HYPERLINK(""https://wa.me/507""&amp;REGEXREPLACE(C694,""[^0-9]"","""")&amp;""?text=""&amp;ENCODEURL(""Ya llegue. Codigo: ""&amp;A694&amp;"". Ubicacion: ""&amp;""https://www.google.com/maps/search/?api=1&amp;query=""&amp;SUBSTITUTE(F694,"" "","""")),""📲 Avisar al cliente"""&amp;"),"""")"),"")</f>
        <v/>
      </c>
      <c r="L694" s="5" t="str">
        <f>IFERROR(__xludf.DUMMYFUNCTION("IF(C694&lt;&gt;"""",""https://api.qrserver.com/v1/create-qr-code/?size=200x200&amp;data=""&amp;ENCODEURL(""https://wa.me/507""&amp;REGEXREPLACE(C694,""[^0-9]"","""")&amp;""?text=""&amp;ENCODEURL(""Ya llegue. Codigo: ""&amp;A694&amp;"". Ubicacion: ""&amp;""https://www.google.com/maps/search/?a"&amp;"pi=1&amp;query=""&amp;SUBSTITUTE(F694,"" "",""""))),"""")"),"")</f>
        <v/>
      </c>
      <c r="M694" s="5" t="str">
        <f t="shared" si="6"/>
        <v/>
      </c>
      <c r="N694" s="5" t="str">
        <f>IFERROR(__xludf.DUMMYFUNCTION("IF(AND(F694&lt;&gt;"""",REGEXMATCH(SUBSTITUTE(F694,"" "",""""),""^-?\d+(\.\d+)?,-?\d+(\.\d+)?$""),VALUE(REGEXEXTRACT(SUBSTITUTE(F694,"" "",""""),""^-?\d+(\.\d+)?""))&gt;=-90,VALUE(REGEXEXTRACT(SUBSTITUTE(F694,"" "",""""),""^-?\d+(\.\d+)?""))&lt;=90,VALUE(REGEXEXTRACT"&amp;"(SUBSTITUTE(F694,"" "",""""),""-?\d+(\.\d+)?$""))&gt;=-180,VALUE(REGEXEXTRACT(SUBSTITUTE(F694,"" "",""""),""-?\d+(\.\d+)?$""))&lt;=180),""OK"",""REVISAR"")"),"#N/A")</f>
        <v>#N/A</v>
      </c>
    </row>
    <row r="695" ht="15.75" customHeight="1">
      <c r="A695" s="5" t="str">
        <f t="shared" si="1"/>
        <v>AD507-0693</v>
      </c>
      <c r="C695" s="5"/>
      <c r="F695" s="5"/>
      <c r="G695" s="5" t="str">
        <f t="shared" si="2"/>
        <v/>
      </c>
      <c r="H695" s="5" t="str">
        <f t="shared" si="3"/>
        <v/>
      </c>
      <c r="I695" s="5" t="str">
        <f t="shared" si="4"/>
        <v/>
      </c>
      <c r="J695" s="5" t="str">
        <f t="shared" si="5"/>
        <v/>
      </c>
      <c r="K695" s="5" t="str">
        <f>IFERROR(__xludf.DUMMYFUNCTION("IF(C695&lt;&gt;"""",HYPERLINK(""https://wa.me/507""&amp;REGEXREPLACE(C695,""[^0-9]"","""")&amp;""?text=""&amp;ENCODEURL(""Ya llegue. Codigo: ""&amp;A695&amp;"". Ubicacion: ""&amp;""https://www.google.com/maps/search/?api=1&amp;query=""&amp;SUBSTITUTE(F695,"" "","""")),""📲 Avisar al cliente"""&amp;"),"""")"),"")</f>
        <v/>
      </c>
      <c r="L695" s="5" t="str">
        <f>IFERROR(__xludf.DUMMYFUNCTION("IF(C695&lt;&gt;"""",""https://api.qrserver.com/v1/create-qr-code/?size=200x200&amp;data=""&amp;ENCODEURL(""https://wa.me/507""&amp;REGEXREPLACE(C695,""[^0-9]"","""")&amp;""?text=""&amp;ENCODEURL(""Ya llegue. Codigo: ""&amp;A695&amp;"". Ubicacion: ""&amp;""https://www.google.com/maps/search/?a"&amp;"pi=1&amp;query=""&amp;SUBSTITUTE(F695,"" "",""""))),"""")"),"")</f>
        <v/>
      </c>
      <c r="M695" s="5" t="str">
        <f t="shared" si="6"/>
        <v/>
      </c>
      <c r="N695" s="5" t="str">
        <f>IFERROR(__xludf.DUMMYFUNCTION("IF(AND(F695&lt;&gt;"""",REGEXMATCH(SUBSTITUTE(F695,"" "",""""),""^-?\d+(\.\d+)?,-?\d+(\.\d+)?$""),VALUE(REGEXEXTRACT(SUBSTITUTE(F695,"" "",""""),""^-?\d+(\.\d+)?""))&gt;=-90,VALUE(REGEXEXTRACT(SUBSTITUTE(F695,"" "",""""),""^-?\d+(\.\d+)?""))&lt;=90,VALUE(REGEXEXTRACT"&amp;"(SUBSTITUTE(F695,"" "",""""),""-?\d+(\.\d+)?$""))&gt;=-180,VALUE(REGEXEXTRACT(SUBSTITUTE(F695,"" "",""""),""-?\d+(\.\d+)?$""))&lt;=180),""OK"",""REVISAR"")"),"#N/A")</f>
        <v>#N/A</v>
      </c>
    </row>
    <row r="696" ht="15.75" customHeight="1">
      <c r="A696" s="5" t="str">
        <f t="shared" si="1"/>
        <v>AD507-0694</v>
      </c>
      <c r="C696" s="5"/>
      <c r="F696" s="5"/>
      <c r="G696" s="5" t="str">
        <f t="shared" si="2"/>
        <v/>
      </c>
      <c r="H696" s="5" t="str">
        <f t="shared" si="3"/>
        <v/>
      </c>
      <c r="I696" s="5" t="str">
        <f t="shared" si="4"/>
        <v/>
      </c>
      <c r="J696" s="5" t="str">
        <f t="shared" si="5"/>
        <v/>
      </c>
      <c r="K696" s="5" t="str">
        <f>IFERROR(__xludf.DUMMYFUNCTION("IF(C696&lt;&gt;"""",HYPERLINK(""https://wa.me/507""&amp;REGEXREPLACE(C696,""[^0-9]"","""")&amp;""?text=""&amp;ENCODEURL(""Ya llegue. Codigo: ""&amp;A696&amp;"". Ubicacion: ""&amp;""https://www.google.com/maps/search/?api=1&amp;query=""&amp;SUBSTITUTE(F696,"" "","""")),""📲 Avisar al cliente"""&amp;"),"""")"),"")</f>
        <v/>
      </c>
      <c r="L696" s="5" t="str">
        <f>IFERROR(__xludf.DUMMYFUNCTION("IF(C696&lt;&gt;"""",""https://api.qrserver.com/v1/create-qr-code/?size=200x200&amp;data=""&amp;ENCODEURL(""https://wa.me/507""&amp;REGEXREPLACE(C696,""[^0-9]"","""")&amp;""?text=""&amp;ENCODEURL(""Ya llegue. Codigo: ""&amp;A696&amp;"". Ubicacion: ""&amp;""https://www.google.com/maps/search/?a"&amp;"pi=1&amp;query=""&amp;SUBSTITUTE(F696,"" "",""""))),"""")"),"")</f>
        <v/>
      </c>
      <c r="M696" s="5" t="str">
        <f t="shared" si="6"/>
        <v/>
      </c>
      <c r="N696" s="5" t="str">
        <f>IFERROR(__xludf.DUMMYFUNCTION("IF(AND(F696&lt;&gt;"""",REGEXMATCH(SUBSTITUTE(F696,"" "",""""),""^-?\d+(\.\d+)?,-?\d+(\.\d+)?$""),VALUE(REGEXEXTRACT(SUBSTITUTE(F696,"" "",""""),""^-?\d+(\.\d+)?""))&gt;=-90,VALUE(REGEXEXTRACT(SUBSTITUTE(F696,"" "",""""),""^-?\d+(\.\d+)?""))&lt;=90,VALUE(REGEXEXTRACT"&amp;"(SUBSTITUTE(F696,"" "",""""),""-?\d+(\.\d+)?$""))&gt;=-180,VALUE(REGEXEXTRACT(SUBSTITUTE(F696,"" "",""""),""-?\d+(\.\d+)?$""))&lt;=180),""OK"",""REVISAR"")"),"#N/A")</f>
        <v>#N/A</v>
      </c>
    </row>
    <row r="697" ht="15.75" customHeight="1">
      <c r="A697" s="5" t="str">
        <f t="shared" si="1"/>
        <v>AD507-0695</v>
      </c>
      <c r="C697" s="5"/>
      <c r="F697" s="5"/>
      <c r="G697" s="5" t="str">
        <f t="shared" si="2"/>
        <v/>
      </c>
      <c r="H697" s="5" t="str">
        <f t="shared" si="3"/>
        <v/>
      </c>
      <c r="I697" s="5" t="str">
        <f t="shared" si="4"/>
        <v/>
      </c>
      <c r="J697" s="5" t="str">
        <f t="shared" si="5"/>
        <v/>
      </c>
      <c r="K697" s="5" t="str">
        <f>IFERROR(__xludf.DUMMYFUNCTION("IF(C697&lt;&gt;"""",HYPERLINK(""https://wa.me/507""&amp;REGEXREPLACE(C697,""[^0-9]"","""")&amp;""?text=""&amp;ENCODEURL(""Ya llegue. Codigo: ""&amp;A697&amp;"". Ubicacion: ""&amp;""https://www.google.com/maps/search/?api=1&amp;query=""&amp;SUBSTITUTE(F697,"" "","""")),""📲 Avisar al cliente"""&amp;"),"""")"),"")</f>
        <v/>
      </c>
      <c r="L697" s="5" t="str">
        <f>IFERROR(__xludf.DUMMYFUNCTION("IF(C697&lt;&gt;"""",""https://api.qrserver.com/v1/create-qr-code/?size=200x200&amp;data=""&amp;ENCODEURL(""https://wa.me/507""&amp;REGEXREPLACE(C697,""[^0-9]"","""")&amp;""?text=""&amp;ENCODEURL(""Ya llegue. Codigo: ""&amp;A697&amp;"". Ubicacion: ""&amp;""https://www.google.com/maps/search/?a"&amp;"pi=1&amp;query=""&amp;SUBSTITUTE(F697,"" "",""""))),"""")"),"")</f>
        <v/>
      </c>
      <c r="M697" s="5" t="str">
        <f t="shared" si="6"/>
        <v/>
      </c>
      <c r="N697" s="5" t="str">
        <f>IFERROR(__xludf.DUMMYFUNCTION("IF(AND(F697&lt;&gt;"""",REGEXMATCH(SUBSTITUTE(F697,"" "",""""),""^-?\d+(\.\d+)?,-?\d+(\.\d+)?$""),VALUE(REGEXEXTRACT(SUBSTITUTE(F697,"" "",""""),""^-?\d+(\.\d+)?""))&gt;=-90,VALUE(REGEXEXTRACT(SUBSTITUTE(F697,"" "",""""),""^-?\d+(\.\d+)?""))&lt;=90,VALUE(REGEXEXTRACT"&amp;"(SUBSTITUTE(F697,"" "",""""),""-?\d+(\.\d+)?$""))&gt;=-180,VALUE(REGEXEXTRACT(SUBSTITUTE(F697,"" "",""""),""-?\d+(\.\d+)?$""))&lt;=180),""OK"",""REVISAR"")"),"#N/A")</f>
        <v>#N/A</v>
      </c>
    </row>
    <row r="698" ht="15.75" customHeight="1">
      <c r="A698" s="5" t="str">
        <f t="shared" si="1"/>
        <v>AD507-0696</v>
      </c>
      <c r="C698" s="5"/>
      <c r="F698" s="5"/>
      <c r="G698" s="5" t="str">
        <f t="shared" si="2"/>
        <v/>
      </c>
      <c r="H698" s="5" t="str">
        <f t="shared" si="3"/>
        <v/>
      </c>
      <c r="I698" s="5" t="str">
        <f t="shared" si="4"/>
        <v/>
      </c>
      <c r="J698" s="5" t="str">
        <f t="shared" si="5"/>
        <v/>
      </c>
      <c r="K698" s="5" t="str">
        <f>IFERROR(__xludf.DUMMYFUNCTION("IF(C698&lt;&gt;"""",HYPERLINK(""https://wa.me/507""&amp;REGEXREPLACE(C698,""[^0-9]"","""")&amp;""?text=""&amp;ENCODEURL(""Ya llegue. Codigo: ""&amp;A698&amp;"". Ubicacion: ""&amp;""https://www.google.com/maps/search/?api=1&amp;query=""&amp;SUBSTITUTE(F698,"" "","""")),""📲 Avisar al cliente"""&amp;"),"""")"),"")</f>
        <v/>
      </c>
      <c r="L698" s="5" t="str">
        <f>IFERROR(__xludf.DUMMYFUNCTION("IF(C698&lt;&gt;"""",""https://api.qrserver.com/v1/create-qr-code/?size=200x200&amp;data=""&amp;ENCODEURL(""https://wa.me/507""&amp;REGEXREPLACE(C698,""[^0-9]"","""")&amp;""?text=""&amp;ENCODEURL(""Ya llegue. Codigo: ""&amp;A698&amp;"". Ubicacion: ""&amp;""https://www.google.com/maps/search/?a"&amp;"pi=1&amp;query=""&amp;SUBSTITUTE(F698,"" "",""""))),"""")"),"")</f>
        <v/>
      </c>
      <c r="M698" s="5" t="str">
        <f t="shared" si="6"/>
        <v/>
      </c>
      <c r="N698" s="5" t="str">
        <f>IFERROR(__xludf.DUMMYFUNCTION("IF(AND(F698&lt;&gt;"""",REGEXMATCH(SUBSTITUTE(F698,"" "",""""),""^-?\d+(\.\d+)?,-?\d+(\.\d+)?$""),VALUE(REGEXEXTRACT(SUBSTITUTE(F698,"" "",""""),""^-?\d+(\.\d+)?""))&gt;=-90,VALUE(REGEXEXTRACT(SUBSTITUTE(F698,"" "",""""),""^-?\d+(\.\d+)?""))&lt;=90,VALUE(REGEXEXTRACT"&amp;"(SUBSTITUTE(F698,"" "",""""),""-?\d+(\.\d+)?$""))&gt;=-180,VALUE(REGEXEXTRACT(SUBSTITUTE(F698,"" "",""""),""-?\d+(\.\d+)?$""))&lt;=180),""OK"",""REVISAR"")"),"#N/A")</f>
        <v>#N/A</v>
      </c>
    </row>
    <row r="699" ht="15.75" customHeight="1">
      <c r="A699" s="5" t="str">
        <f t="shared" si="1"/>
        <v>AD507-0697</v>
      </c>
      <c r="C699" s="5"/>
      <c r="F699" s="5"/>
      <c r="G699" s="5" t="str">
        <f t="shared" si="2"/>
        <v/>
      </c>
      <c r="H699" s="5" t="str">
        <f t="shared" si="3"/>
        <v/>
      </c>
      <c r="I699" s="5" t="str">
        <f t="shared" si="4"/>
        <v/>
      </c>
      <c r="J699" s="5" t="str">
        <f t="shared" si="5"/>
        <v/>
      </c>
      <c r="K699" s="5" t="str">
        <f>IFERROR(__xludf.DUMMYFUNCTION("IF(C699&lt;&gt;"""",HYPERLINK(""https://wa.me/507""&amp;REGEXREPLACE(C699,""[^0-9]"","""")&amp;""?text=""&amp;ENCODEURL(""Ya llegue. Codigo: ""&amp;A699&amp;"". Ubicacion: ""&amp;""https://www.google.com/maps/search/?api=1&amp;query=""&amp;SUBSTITUTE(F699,"" "","""")),""📲 Avisar al cliente"""&amp;"),"""")"),"")</f>
        <v/>
      </c>
      <c r="L699" s="5" t="str">
        <f>IFERROR(__xludf.DUMMYFUNCTION("IF(C699&lt;&gt;"""",""https://api.qrserver.com/v1/create-qr-code/?size=200x200&amp;data=""&amp;ENCODEURL(""https://wa.me/507""&amp;REGEXREPLACE(C699,""[^0-9]"","""")&amp;""?text=""&amp;ENCODEURL(""Ya llegue. Codigo: ""&amp;A699&amp;"". Ubicacion: ""&amp;""https://www.google.com/maps/search/?a"&amp;"pi=1&amp;query=""&amp;SUBSTITUTE(F699,"" "",""""))),"""")"),"")</f>
        <v/>
      </c>
      <c r="M699" s="5" t="str">
        <f t="shared" si="6"/>
        <v/>
      </c>
      <c r="N699" s="5" t="str">
        <f>IFERROR(__xludf.DUMMYFUNCTION("IF(AND(F699&lt;&gt;"""",REGEXMATCH(SUBSTITUTE(F699,"" "",""""),""^-?\d+(\.\d+)?,-?\d+(\.\d+)?$""),VALUE(REGEXEXTRACT(SUBSTITUTE(F699,"" "",""""),""^-?\d+(\.\d+)?""))&gt;=-90,VALUE(REGEXEXTRACT(SUBSTITUTE(F699,"" "",""""),""^-?\d+(\.\d+)?""))&lt;=90,VALUE(REGEXEXTRACT"&amp;"(SUBSTITUTE(F699,"" "",""""),""-?\d+(\.\d+)?$""))&gt;=-180,VALUE(REGEXEXTRACT(SUBSTITUTE(F699,"" "",""""),""-?\d+(\.\d+)?$""))&lt;=180),""OK"",""REVISAR"")"),"#N/A")</f>
        <v>#N/A</v>
      </c>
    </row>
    <row r="700" ht="15.75" customHeight="1">
      <c r="A700" s="5" t="str">
        <f t="shared" si="1"/>
        <v>AD507-0698</v>
      </c>
      <c r="C700" s="5"/>
      <c r="F700" s="5"/>
      <c r="G700" s="5" t="str">
        <f t="shared" si="2"/>
        <v/>
      </c>
      <c r="H700" s="5" t="str">
        <f t="shared" si="3"/>
        <v/>
      </c>
      <c r="I700" s="5" t="str">
        <f t="shared" si="4"/>
        <v/>
      </c>
      <c r="J700" s="5" t="str">
        <f t="shared" si="5"/>
        <v/>
      </c>
      <c r="K700" s="5" t="str">
        <f>IFERROR(__xludf.DUMMYFUNCTION("IF(C700&lt;&gt;"""",HYPERLINK(""https://wa.me/507""&amp;REGEXREPLACE(C700,""[^0-9]"","""")&amp;""?text=""&amp;ENCODEURL(""Ya llegue. Codigo: ""&amp;A700&amp;"". Ubicacion: ""&amp;""https://www.google.com/maps/search/?api=1&amp;query=""&amp;SUBSTITUTE(F700,"" "","""")),""📲 Avisar al cliente"""&amp;"),"""")"),"")</f>
        <v/>
      </c>
      <c r="L700" s="5" t="str">
        <f>IFERROR(__xludf.DUMMYFUNCTION("IF(C700&lt;&gt;"""",""https://api.qrserver.com/v1/create-qr-code/?size=200x200&amp;data=""&amp;ENCODEURL(""https://wa.me/507""&amp;REGEXREPLACE(C700,""[^0-9]"","""")&amp;""?text=""&amp;ENCODEURL(""Ya llegue. Codigo: ""&amp;A700&amp;"". Ubicacion: ""&amp;""https://www.google.com/maps/search/?a"&amp;"pi=1&amp;query=""&amp;SUBSTITUTE(F700,"" "",""""))),"""")"),"")</f>
        <v/>
      </c>
      <c r="M700" s="5" t="str">
        <f t="shared" si="6"/>
        <v/>
      </c>
      <c r="N700" s="5" t="str">
        <f>IFERROR(__xludf.DUMMYFUNCTION("IF(AND(F700&lt;&gt;"""",REGEXMATCH(SUBSTITUTE(F700,"" "",""""),""^-?\d+(\.\d+)?,-?\d+(\.\d+)?$""),VALUE(REGEXEXTRACT(SUBSTITUTE(F700,"" "",""""),""^-?\d+(\.\d+)?""))&gt;=-90,VALUE(REGEXEXTRACT(SUBSTITUTE(F700,"" "",""""),""^-?\d+(\.\d+)?""))&lt;=90,VALUE(REGEXEXTRACT"&amp;"(SUBSTITUTE(F700,"" "",""""),""-?\d+(\.\d+)?$""))&gt;=-180,VALUE(REGEXEXTRACT(SUBSTITUTE(F700,"" "",""""),""-?\d+(\.\d+)?$""))&lt;=180),""OK"",""REVISAR"")"),"#N/A")</f>
        <v>#N/A</v>
      </c>
    </row>
    <row r="701" ht="15.75" customHeight="1">
      <c r="A701" s="5" t="str">
        <f t="shared" si="1"/>
        <v>AD507-0699</v>
      </c>
      <c r="C701" s="5"/>
      <c r="F701" s="5"/>
      <c r="G701" s="5" t="str">
        <f t="shared" si="2"/>
        <v/>
      </c>
      <c r="H701" s="5" t="str">
        <f t="shared" si="3"/>
        <v/>
      </c>
      <c r="I701" s="5" t="str">
        <f t="shared" si="4"/>
        <v/>
      </c>
      <c r="J701" s="5" t="str">
        <f t="shared" si="5"/>
        <v/>
      </c>
      <c r="K701" s="5" t="str">
        <f>IFERROR(__xludf.DUMMYFUNCTION("IF(C701&lt;&gt;"""",HYPERLINK(""https://wa.me/507""&amp;REGEXREPLACE(C701,""[^0-9]"","""")&amp;""?text=""&amp;ENCODEURL(""Ya llegue. Codigo: ""&amp;A701&amp;"". Ubicacion: ""&amp;""https://www.google.com/maps/search/?api=1&amp;query=""&amp;SUBSTITUTE(F701,"" "","""")),""📲 Avisar al cliente"""&amp;"),"""")"),"")</f>
        <v/>
      </c>
      <c r="L701" s="5" t="str">
        <f>IFERROR(__xludf.DUMMYFUNCTION("IF(C701&lt;&gt;"""",""https://api.qrserver.com/v1/create-qr-code/?size=200x200&amp;data=""&amp;ENCODEURL(""https://wa.me/507""&amp;REGEXREPLACE(C701,""[^0-9]"","""")&amp;""?text=""&amp;ENCODEURL(""Ya llegue. Codigo: ""&amp;A701&amp;"". Ubicacion: ""&amp;""https://www.google.com/maps/search/?a"&amp;"pi=1&amp;query=""&amp;SUBSTITUTE(F701,"" "",""""))),"""")"),"")</f>
        <v/>
      </c>
      <c r="M701" s="5" t="str">
        <f t="shared" si="6"/>
        <v/>
      </c>
      <c r="N701" s="5" t="str">
        <f>IFERROR(__xludf.DUMMYFUNCTION("IF(AND(F701&lt;&gt;"""",REGEXMATCH(SUBSTITUTE(F701,"" "",""""),""^-?\d+(\.\d+)?,-?\d+(\.\d+)?$""),VALUE(REGEXEXTRACT(SUBSTITUTE(F701,"" "",""""),""^-?\d+(\.\d+)?""))&gt;=-90,VALUE(REGEXEXTRACT(SUBSTITUTE(F701,"" "",""""),""^-?\d+(\.\d+)?""))&lt;=90,VALUE(REGEXEXTRACT"&amp;"(SUBSTITUTE(F701,"" "",""""),""-?\d+(\.\d+)?$""))&gt;=-180,VALUE(REGEXEXTRACT(SUBSTITUTE(F701,"" "",""""),""-?\d+(\.\d+)?$""))&lt;=180),""OK"",""REVISAR"")"),"#N/A")</f>
        <v>#N/A</v>
      </c>
    </row>
    <row r="702" ht="15.75" customHeight="1">
      <c r="A702" s="5" t="str">
        <f t="shared" si="1"/>
        <v>AD507-0700</v>
      </c>
      <c r="C702" s="5"/>
      <c r="F702" s="5"/>
      <c r="G702" s="5" t="str">
        <f t="shared" si="2"/>
        <v/>
      </c>
      <c r="H702" s="5" t="str">
        <f t="shared" si="3"/>
        <v/>
      </c>
      <c r="I702" s="5" t="str">
        <f t="shared" si="4"/>
        <v/>
      </c>
      <c r="J702" s="5" t="str">
        <f t="shared" si="5"/>
        <v/>
      </c>
      <c r="K702" s="5" t="str">
        <f>IFERROR(__xludf.DUMMYFUNCTION("IF(C702&lt;&gt;"""",HYPERLINK(""https://wa.me/507""&amp;REGEXREPLACE(C702,""[^0-9]"","""")&amp;""?text=""&amp;ENCODEURL(""Ya llegue. Codigo: ""&amp;A702&amp;"". Ubicacion: ""&amp;""https://www.google.com/maps/search/?api=1&amp;query=""&amp;SUBSTITUTE(F702,"" "","""")),""📲 Avisar al cliente"""&amp;"),"""")"),"")</f>
        <v/>
      </c>
      <c r="L702" s="5" t="str">
        <f>IFERROR(__xludf.DUMMYFUNCTION("IF(C702&lt;&gt;"""",""https://api.qrserver.com/v1/create-qr-code/?size=200x200&amp;data=""&amp;ENCODEURL(""https://wa.me/507""&amp;REGEXREPLACE(C702,""[^0-9]"","""")&amp;""?text=""&amp;ENCODEURL(""Ya llegue. Codigo: ""&amp;A702&amp;"". Ubicacion: ""&amp;""https://www.google.com/maps/search/?a"&amp;"pi=1&amp;query=""&amp;SUBSTITUTE(F702,"" "",""""))),"""")"),"")</f>
        <v/>
      </c>
      <c r="M702" s="5" t="str">
        <f t="shared" si="6"/>
        <v/>
      </c>
      <c r="N702" s="5" t="str">
        <f>IFERROR(__xludf.DUMMYFUNCTION("IF(AND(F702&lt;&gt;"""",REGEXMATCH(SUBSTITUTE(F702,"" "",""""),""^-?\d+(\.\d+)?,-?\d+(\.\d+)?$""),VALUE(REGEXEXTRACT(SUBSTITUTE(F702,"" "",""""),""^-?\d+(\.\d+)?""))&gt;=-90,VALUE(REGEXEXTRACT(SUBSTITUTE(F702,"" "",""""),""^-?\d+(\.\d+)?""))&lt;=90,VALUE(REGEXEXTRACT"&amp;"(SUBSTITUTE(F702,"" "",""""),""-?\d+(\.\d+)?$""))&gt;=-180,VALUE(REGEXEXTRACT(SUBSTITUTE(F702,"" "",""""),""-?\d+(\.\d+)?$""))&lt;=180),""OK"",""REVISAR"")"),"#N/A")</f>
        <v>#N/A</v>
      </c>
    </row>
    <row r="703" ht="15.75" customHeight="1">
      <c r="A703" s="5" t="str">
        <f t="shared" si="1"/>
        <v>AD507-0701</v>
      </c>
      <c r="C703" s="5"/>
      <c r="F703" s="5"/>
      <c r="G703" s="5" t="str">
        <f t="shared" si="2"/>
        <v/>
      </c>
      <c r="H703" s="5" t="str">
        <f t="shared" si="3"/>
        <v/>
      </c>
      <c r="I703" s="5" t="str">
        <f t="shared" si="4"/>
        <v/>
      </c>
      <c r="J703" s="5" t="str">
        <f t="shared" si="5"/>
        <v/>
      </c>
      <c r="K703" s="5" t="str">
        <f>IFERROR(__xludf.DUMMYFUNCTION("IF(C703&lt;&gt;"""",HYPERLINK(""https://wa.me/507""&amp;REGEXREPLACE(C703,""[^0-9]"","""")&amp;""?text=""&amp;ENCODEURL(""Ya llegue. Codigo: ""&amp;A703&amp;"". Ubicacion: ""&amp;""https://www.google.com/maps/search/?api=1&amp;query=""&amp;SUBSTITUTE(F703,"" "","""")),""📲 Avisar al cliente"""&amp;"),"""")"),"")</f>
        <v/>
      </c>
      <c r="L703" s="5" t="str">
        <f>IFERROR(__xludf.DUMMYFUNCTION("IF(C703&lt;&gt;"""",""https://api.qrserver.com/v1/create-qr-code/?size=200x200&amp;data=""&amp;ENCODEURL(""https://wa.me/507""&amp;REGEXREPLACE(C703,""[^0-9]"","""")&amp;""?text=""&amp;ENCODEURL(""Ya llegue. Codigo: ""&amp;A703&amp;"". Ubicacion: ""&amp;""https://www.google.com/maps/search/?a"&amp;"pi=1&amp;query=""&amp;SUBSTITUTE(F703,"" "",""""))),"""")"),"")</f>
        <v/>
      </c>
      <c r="M703" s="5" t="str">
        <f t="shared" si="6"/>
        <v/>
      </c>
      <c r="N703" s="5" t="str">
        <f>IFERROR(__xludf.DUMMYFUNCTION("IF(AND(F703&lt;&gt;"""",REGEXMATCH(SUBSTITUTE(F703,"" "",""""),""^-?\d+(\.\d+)?,-?\d+(\.\d+)?$""),VALUE(REGEXEXTRACT(SUBSTITUTE(F703,"" "",""""),""^-?\d+(\.\d+)?""))&gt;=-90,VALUE(REGEXEXTRACT(SUBSTITUTE(F703,"" "",""""),""^-?\d+(\.\d+)?""))&lt;=90,VALUE(REGEXEXTRACT"&amp;"(SUBSTITUTE(F703,"" "",""""),""-?\d+(\.\d+)?$""))&gt;=-180,VALUE(REGEXEXTRACT(SUBSTITUTE(F703,"" "",""""),""-?\d+(\.\d+)?$""))&lt;=180),""OK"",""REVISAR"")"),"#N/A")</f>
        <v>#N/A</v>
      </c>
    </row>
    <row r="704" ht="15.75" customHeight="1">
      <c r="A704" s="5" t="str">
        <f t="shared" si="1"/>
        <v>AD507-0702</v>
      </c>
      <c r="C704" s="5"/>
      <c r="F704" s="5"/>
      <c r="G704" s="5" t="str">
        <f t="shared" si="2"/>
        <v/>
      </c>
      <c r="H704" s="5" t="str">
        <f t="shared" si="3"/>
        <v/>
      </c>
      <c r="I704" s="5" t="str">
        <f t="shared" si="4"/>
        <v/>
      </c>
      <c r="J704" s="5" t="str">
        <f t="shared" si="5"/>
        <v/>
      </c>
      <c r="K704" s="5" t="str">
        <f>IFERROR(__xludf.DUMMYFUNCTION("IF(C704&lt;&gt;"""",HYPERLINK(""https://wa.me/507""&amp;REGEXREPLACE(C704,""[^0-9]"","""")&amp;""?text=""&amp;ENCODEURL(""Ya llegue. Codigo: ""&amp;A704&amp;"". Ubicacion: ""&amp;""https://www.google.com/maps/search/?api=1&amp;query=""&amp;SUBSTITUTE(F704,"" "","""")),""📲 Avisar al cliente"""&amp;"),"""")"),"")</f>
        <v/>
      </c>
      <c r="L704" s="5" t="str">
        <f>IFERROR(__xludf.DUMMYFUNCTION("IF(C704&lt;&gt;"""",""https://api.qrserver.com/v1/create-qr-code/?size=200x200&amp;data=""&amp;ENCODEURL(""https://wa.me/507""&amp;REGEXREPLACE(C704,""[^0-9]"","""")&amp;""?text=""&amp;ENCODEURL(""Ya llegue. Codigo: ""&amp;A704&amp;"". Ubicacion: ""&amp;""https://www.google.com/maps/search/?a"&amp;"pi=1&amp;query=""&amp;SUBSTITUTE(F704,"" "",""""))),"""")"),"")</f>
        <v/>
      </c>
      <c r="M704" s="5" t="str">
        <f t="shared" si="6"/>
        <v/>
      </c>
      <c r="N704" s="5" t="str">
        <f>IFERROR(__xludf.DUMMYFUNCTION("IF(AND(F704&lt;&gt;"""",REGEXMATCH(SUBSTITUTE(F704,"" "",""""),""^-?\d+(\.\d+)?,-?\d+(\.\d+)?$""),VALUE(REGEXEXTRACT(SUBSTITUTE(F704,"" "",""""),""^-?\d+(\.\d+)?""))&gt;=-90,VALUE(REGEXEXTRACT(SUBSTITUTE(F704,"" "",""""),""^-?\d+(\.\d+)?""))&lt;=90,VALUE(REGEXEXTRACT"&amp;"(SUBSTITUTE(F704,"" "",""""),""-?\d+(\.\d+)?$""))&gt;=-180,VALUE(REGEXEXTRACT(SUBSTITUTE(F704,"" "",""""),""-?\d+(\.\d+)?$""))&lt;=180),""OK"",""REVISAR"")"),"#N/A")</f>
        <v>#N/A</v>
      </c>
    </row>
    <row r="705" ht="15.75" customHeight="1">
      <c r="A705" s="5" t="str">
        <f t="shared" si="1"/>
        <v>AD507-0703</v>
      </c>
      <c r="C705" s="5"/>
      <c r="F705" s="5"/>
      <c r="G705" s="5" t="str">
        <f t="shared" si="2"/>
        <v/>
      </c>
      <c r="H705" s="5" t="str">
        <f t="shared" si="3"/>
        <v/>
      </c>
      <c r="I705" s="5" t="str">
        <f t="shared" si="4"/>
        <v/>
      </c>
      <c r="J705" s="5" t="str">
        <f t="shared" si="5"/>
        <v/>
      </c>
      <c r="K705" s="5" t="str">
        <f>IFERROR(__xludf.DUMMYFUNCTION("IF(C705&lt;&gt;"""",HYPERLINK(""https://wa.me/507""&amp;REGEXREPLACE(C705,""[^0-9]"","""")&amp;""?text=""&amp;ENCODEURL(""Ya llegue. Codigo: ""&amp;A705&amp;"". Ubicacion: ""&amp;""https://www.google.com/maps/search/?api=1&amp;query=""&amp;SUBSTITUTE(F705,"" "","""")),""📲 Avisar al cliente"""&amp;"),"""")"),"")</f>
        <v/>
      </c>
      <c r="L705" s="5" t="str">
        <f>IFERROR(__xludf.DUMMYFUNCTION("IF(C705&lt;&gt;"""",""https://api.qrserver.com/v1/create-qr-code/?size=200x200&amp;data=""&amp;ENCODEURL(""https://wa.me/507""&amp;REGEXREPLACE(C705,""[^0-9]"","""")&amp;""?text=""&amp;ENCODEURL(""Ya llegue. Codigo: ""&amp;A705&amp;"". Ubicacion: ""&amp;""https://www.google.com/maps/search/?a"&amp;"pi=1&amp;query=""&amp;SUBSTITUTE(F705,"" "",""""))),"""")"),"")</f>
        <v/>
      </c>
      <c r="M705" s="5" t="str">
        <f t="shared" si="6"/>
        <v/>
      </c>
      <c r="N705" s="5" t="str">
        <f>IFERROR(__xludf.DUMMYFUNCTION("IF(AND(F705&lt;&gt;"""",REGEXMATCH(SUBSTITUTE(F705,"" "",""""),""^-?\d+(\.\d+)?,-?\d+(\.\d+)?$""),VALUE(REGEXEXTRACT(SUBSTITUTE(F705,"" "",""""),""^-?\d+(\.\d+)?""))&gt;=-90,VALUE(REGEXEXTRACT(SUBSTITUTE(F705,"" "",""""),""^-?\d+(\.\d+)?""))&lt;=90,VALUE(REGEXEXTRACT"&amp;"(SUBSTITUTE(F705,"" "",""""),""-?\d+(\.\d+)?$""))&gt;=-180,VALUE(REGEXEXTRACT(SUBSTITUTE(F705,"" "",""""),""-?\d+(\.\d+)?$""))&lt;=180),""OK"",""REVISAR"")"),"#N/A")</f>
        <v>#N/A</v>
      </c>
    </row>
    <row r="706" ht="15.75" customHeight="1">
      <c r="A706" s="5" t="str">
        <f t="shared" si="1"/>
        <v>AD507-0704</v>
      </c>
      <c r="C706" s="5"/>
      <c r="F706" s="5"/>
      <c r="G706" s="5" t="str">
        <f t="shared" si="2"/>
        <v/>
      </c>
      <c r="H706" s="5" t="str">
        <f t="shared" si="3"/>
        <v/>
      </c>
      <c r="I706" s="5" t="str">
        <f t="shared" si="4"/>
        <v/>
      </c>
      <c r="J706" s="5" t="str">
        <f t="shared" si="5"/>
        <v/>
      </c>
      <c r="K706" s="5" t="str">
        <f>IFERROR(__xludf.DUMMYFUNCTION("IF(C706&lt;&gt;"""",HYPERLINK(""https://wa.me/507""&amp;REGEXREPLACE(C706,""[^0-9]"","""")&amp;""?text=""&amp;ENCODEURL(""Ya llegue. Codigo: ""&amp;A706&amp;"". Ubicacion: ""&amp;""https://www.google.com/maps/search/?api=1&amp;query=""&amp;SUBSTITUTE(F706,"" "","""")),""📲 Avisar al cliente"""&amp;"),"""")"),"")</f>
        <v/>
      </c>
      <c r="L706" s="5" t="str">
        <f>IFERROR(__xludf.DUMMYFUNCTION("IF(C706&lt;&gt;"""",""https://api.qrserver.com/v1/create-qr-code/?size=200x200&amp;data=""&amp;ENCODEURL(""https://wa.me/507""&amp;REGEXREPLACE(C706,""[^0-9]"","""")&amp;""?text=""&amp;ENCODEURL(""Ya llegue. Codigo: ""&amp;A706&amp;"". Ubicacion: ""&amp;""https://www.google.com/maps/search/?a"&amp;"pi=1&amp;query=""&amp;SUBSTITUTE(F706,"" "",""""))),"""")"),"")</f>
        <v/>
      </c>
      <c r="M706" s="5" t="str">
        <f t="shared" si="6"/>
        <v/>
      </c>
      <c r="N706" s="5" t="str">
        <f>IFERROR(__xludf.DUMMYFUNCTION("IF(AND(F706&lt;&gt;"""",REGEXMATCH(SUBSTITUTE(F706,"" "",""""),""^-?\d+(\.\d+)?,-?\d+(\.\d+)?$""),VALUE(REGEXEXTRACT(SUBSTITUTE(F706,"" "",""""),""^-?\d+(\.\d+)?""))&gt;=-90,VALUE(REGEXEXTRACT(SUBSTITUTE(F706,"" "",""""),""^-?\d+(\.\d+)?""))&lt;=90,VALUE(REGEXEXTRACT"&amp;"(SUBSTITUTE(F706,"" "",""""),""-?\d+(\.\d+)?$""))&gt;=-180,VALUE(REGEXEXTRACT(SUBSTITUTE(F706,"" "",""""),""-?\d+(\.\d+)?$""))&lt;=180),""OK"",""REVISAR"")"),"#N/A")</f>
        <v>#N/A</v>
      </c>
    </row>
    <row r="707" ht="15.75" customHeight="1">
      <c r="A707" s="5" t="str">
        <f t="shared" si="1"/>
        <v>AD507-0705</v>
      </c>
      <c r="C707" s="5"/>
      <c r="F707" s="5"/>
      <c r="G707" s="5" t="str">
        <f t="shared" si="2"/>
        <v/>
      </c>
      <c r="H707" s="5" t="str">
        <f t="shared" si="3"/>
        <v/>
      </c>
      <c r="I707" s="5" t="str">
        <f t="shared" si="4"/>
        <v/>
      </c>
      <c r="J707" s="5" t="str">
        <f t="shared" si="5"/>
        <v/>
      </c>
      <c r="K707" s="5" t="str">
        <f>IFERROR(__xludf.DUMMYFUNCTION("IF(C707&lt;&gt;"""",HYPERLINK(""https://wa.me/507""&amp;REGEXREPLACE(C707,""[^0-9]"","""")&amp;""?text=""&amp;ENCODEURL(""Ya llegue. Codigo: ""&amp;A707&amp;"". Ubicacion: ""&amp;""https://www.google.com/maps/search/?api=1&amp;query=""&amp;SUBSTITUTE(F707,"" "","""")),""📲 Avisar al cliente"""&amp;"),"""")"),"")</f>
        <v/>
      </c>
      <c r="L707" s="5" t="str">
        <f>IFERROR(__xludf.DUMMYFUNCTION("IF(C707&lt;&gt;"""",""https://api.qrserver.com/v1/create-qr-code/?size=200x200&amp;data=""&amp;ENCODEURL(""https://wa.me/507""&amp;REGEXREPLACE(C707,""[^0-9]"","""")&amp;""?text=""&amp;ENCODEURL(""Ya llegue. Codigo: ""&amp;A707&amp;"". Ubicacion: ""&amp;""https://www.google.com/maps/search/?a"&amp;"pi=1&amp;query=""&amp;SUBSTITUTE(F707,"" "",""""))),"""")"),"")</f>
        <v/>
      </c>
      <c r="M707" s="5" t="str">
        <f t="shared" si="6"/>
        <v/>
      </c>
      <c r="N707" s="5" t="str">
        <f>IFERROR(__xludf.DUMMYFUNCTION("IF(AND(F707&lt;&gt;"""",REGEXMATCH(SUBSTITUTE(F707,"" "",""""),""^-?\d+(\.\d+)?,-?\d+(\.\d+)?$""),VALUE(REGEXEXTRACT(SUBSTITUTE(F707,"" "",""""),""^-?\d+(\.\d+)?""))&gt;=-90,VALUE(REGEXEXTRACT(SUBSTITUTE(F707,"" "",""""),""^-?\d+(\.\d+)?""))&lt;=90,VALUE(REGEXEXTRACT"&amp;"(SUBSTITUTE(F707,"" "",""""),""-?\d+(\.\d+)?$""))&gt;=-180,VALUE(REGEXEXTRACT(SUBSTITUTE(F707,"" "",""""),""-?\d+(\.\d+)?$""))&lt;=180),""OK"",""REVISAR"")"),"#N/A")</f>
        <v>#N/A</v>
      </c>
    </row>
    <row r="708" ht="15.75" customHeight="1">
      <c r="A708" s="5" t="str">
        <f t="shared" si="1"/>
        <v>AD507-0706</v>
      </c>
      <c r="C708" s="5"/>
      <c r="F708" s="5"/>
      <c r="G708" s="5" t="str">
        <f t="shared" si="2"/>
        <v/>
      </c>
      <c r="H708" s="5" t="str">
        <f t="shared" si="3"/>
        <v/>
      </c>
      <c r="I708" s="5" t="str">
        <f t="shared" si="4"/>
        <v/>
      </c>
      <c r="J708" s="5" t="str">
        <f t="shared" si="5"/>
        <v/>
      </c>
      <c r="K708" s="5" t="str">
        <f>IFERROR(__xludf.DUMMYFUNCTION("IF(C708&lt;&gt;"""",HYPERLINK(""https://wa.me/507""&amp;REGEXREPLACE(C708,""[^0-9]"","""")&amp;""?text=""&amp;ENCODEURL(""Ya llegue. Codigo: ""&amp;A708&amp;"". Ubicacion: ""&amp;""https://www.google.com/maps/search/?api=1&amp;query=""&amp;SUBSTITUTE(F708,"" "","""")),""📲 Avisar al cliente"""&amp;"),"""")"),"")</f>
        <v/>
      </c>
      <c r="L708" s="5" t="str">
        <f>IFERROR(__xludf.DUMMYFUNCTION("IF(C708&lt;&gt;"""",""https://api.qrserver.com/v1/create-qr-code/?size=200x200&amp;data=""&amp;ENCODEURL(""https://wa.me/507""&amp;REGEXREPLACE(C708,""[^0-9]"","""")&amp;""?text=""&amp;ENCODEURL(""Ya llegue. Codigo: ""&amp;A708&amp;"". Ubicacion: ""&amp;""https://www.google.com/maps/search/?a"&amp;"pi=1&amp;query=""&amp;SUBSTITUTE(F708,"" "",""""))),"""")"),"")</f>
        <v/>
      </c>
      <c r="M708" s="5" t="str">
        <f t="shared" si="6"/>
        <v/>
      </c>
      <c r="N708" s="5" t="str">
        <f>IFERROR(__xludf.DUMMYFUNCTION("IF(AND(F708&lt;&gt;"""",REGEXMATCH(SUBSTITUTE(F708,"" "",""""),""^-?\d+(\.\d+)?,-?\d+(\.\d+)?$""),VALUE(REGEXEXTRACT(SUBSTITUTE(F708,"" "",""""),""^-?\d+(\.\d+)?""))&gt;=-90,VALUE(REGEXEXTRACT(SUBSTITUTE(F708,"" "",""""),""^-?\d+(\.\d+)?""))&lt;=90,VALUE(REGEXEXTRACT"&amp;"(SUBSTITUTE(F708,"" "",""""),""-?\d+(\.\d+)?$""))&gt;=-180,VALUE(REGEXEXTRACT(SUBSTITUTE(F708,"" "",""""),""-?\d+(\.\d+)?$""))&lt;=180),""OK"",""REVISAR"")"),"#N/A")</f>
        <v>#N/A</v>
      </c>
    </row>
    <row r="709" ht="15.75" customHeight="1">
      <c r="A709" s="5" t="str">
        <f t="shared" si="1"/>
        <v>AD507-0707</v>
      </c>
      <c r="C709" s="5"/>
      <c r="F709" s="5"/>
      <c r="G709" s="5" t="str">
        <f t="shared" si="2"/>
        <v/>
      </c>
      <c r="H709" s="5" t="str">
        <f t="shared" si="3"/>
        <v/>
      </c>
      <c r="I709" s="5" t="str">
        <f t="shared" si="4"/>
        <v/>
      </c>
      <c r="J709" s="5" t="str">
        <f t="shared" si="5"/>
        <v/>
      </c>
      <c r="K709" s="5" t="str">
        <f>IFERROR(__xludf.DUMMYFUNCTION("IF(C709&lt;&gt;"""",HYPERLINK(""https://wa.me/507""&amp;REGEXREPLACE(C709,""[^0-9]"","""")&amp;""?text=""&amp;ENCODEURL(""Ya llegue. Codigo: ""&amp;A709&amp;"". Ubicacion: ""&amp;""https://www.google.com/maps/search/?api=1&amp;query=""&amp;SUBSTITUTE(F709,"" "","""")),""📲 Avisar al cliente"""&amp;"),"""")"),"")</f>
        <v/>
      </c>
      <c r="L709" s="5" t="str">
        <f>IFERROR(__xludf.DUMMYFUNCTION("IF(C709&lt;&gt;"""",""https://api.qrserver.com/v1/create-qr-code/?size=200x200&amp;data=""&amp;ENCODEURL(""https://wa.me/507""&amp;REGEXREPLACE(C709,""[^0-9]"","""")&amp;""?text=""&amp;ENCODEURL(""Ya llegue. Codigo: ""&amp;A709&amp;"". Ubicacion: ""&amp;""https://www.google.com/maps/search/?a"&amp;"pi=1&amp;query=""&amp;SUBSTITUTE(F709,"" "",""""))),"""")"),"")</f>
        <v/>
      </c>
      <c r="M709" s="5" t="str">
        <f t="shared" si="6"/>
        <v/>
      </c>
      <c r="N709" s="5" t="str">
        <f>IFERROR(__xludf.DUMMYFUNCTION("IF(AND(F709&lt;&gt;"""",REGEXMATCH(SUBSTITUTE(F709,"" "",""""),""^-?\d+(\.\d+)?,-?\d+(\.\d+)?$""),VALUE(REGEXEXTRACT(SUBSTITUTE(F709,"" "",""""),""^-?\d+(\.\d+)?""))&gt;=-90,VALUE(REGEXEXTRACT(SUBSTITUTE(F709,"" "",""""),""^-?\d+(\.\d+)?""))&lt;=90,VALUE(REGEXEXTRACT"&amp;"(SUBSTITUTE(F709,"" "",""""),""-?\d+(\.\d+)?$""))&gt;=-180,VALUE(REGEXEXTRACT(SUBSTITUTE(F709,"" "",""""),""-?\d+(\.\d+)?$""))&lt;=180),""OK"",""REVISAR"")"),"#N/A")</f>
        <v>#N/A</v>
      </c>
    </row>
    <row r="710" ht="15.75" customHeight="1">
      <c r="A710" s="5" t="str">
        <f t="shared" si="1"/>
        <v>AD507-0708</v>
      </c>
      <c r="C710" s="5"/>
      <c r="F710" s="5"/>
      <c r="G710" s="5" t="str">
        <f t="shared" si="2"/>
        <v/>
      </c>
      <c r="H710" s="5" t="str">
        <f t="shared" si="3"/>
        <v/>
      </c>
      <c r="I710" s="5" t="str">
        <f t="shared" si="4"/>
        <v/>
      </c>
      <c r="J710" s="5" t="str">
        <f t="shared" si="5"/>
        <v/>
      </c>
      <c r="K710" s="5" t="str">
        <f>IFERROR(__xludf.DUMMYFUNCTION("IF(C710&lt;&gt;"""",HYPERLINK(""https://wa.me/507""&amp;REGEXREPLACE(C710,""[^0-9]"","""")&amp;""?text=""&amp;ENCODEURL(""Ya llegue. Codigo: ""&amp;A710&amp;"". Ubicacion: ""&amp;""https://www.google.com/maps/search/?api=1&amp;query=""&amp;SUBSTITUTE(F710,"" "","""")),""📲 Avisar al cliente"""&amp;"),"""")"),"")</f>
        <v/>
      </c>
      <c r="L710" s="5" t="str">
        <f>IFERROR(__xludf.DUMMYFUNCTION("IF(C710&lt;&gt;"""",""https://api.qrserver.com/v1/create-qr-code/?size=200x200&amp;data=""&amp;ENCODEURL(""https://wa.me/507""&amp;REGEXREPLACE(C710,""[^0-9]"","""")&amp;""?text=""&amp;ENCODEURL(""Ya llegue. Codigo: ""&amp;A710&amp;"". Ubicacion: ""&amp;""https://www.google.com/maps/search/?a"&amp;"pi=1&amp;query=""&amp;SUBSTITUTE(F710,"" "",""""))),"""")"),"")</f>
        <v/>
      </c>
      <c r="M710" s="5" t="str">
        <f t="shared" si="6"/>
        <v/>
      </c>
      <c r="N710" s="5" t="str">
        <f>IFERROR(__xludf.DUMMYFUNCTION("IF(AND(F710&lt;&gt;"""",REGEXMATCH(SUBSTITUTE(F710,"" "",""""),""^-?\d+(\.\d+)?,-?\d+(\.\d+)?$""),VALUE(REGEXEXTRACT(SUBSTITUTE(F710,"" "",""""),""^-?\d+(\.\d+)?""))&gt;=-90,VALUE(REGEXEXTRACT(SUBSTITUTE(F710,"" "",""""),""^-?\d+(\.\d+)?""))&lt;=90,VALUE(REGEXEXTRACT"&amp;"(SUBSTITUTE(F710,"" "",""""),""-?\d+(\.\d+)?$""))&gt;=-180,VALUE(REGEXEXTRACT(SUBSTITUTE(F710,"" "",""""),""-?\d+(\.\d+)?$""))&lt;=180),""OK"",""REVISAR"")"),"#N/A")</f>
        <v>#N/A</v>
      </c>
    </row>
    <row r="711" ht="15.75" customHeight="1">
      <c r="A711" s="5" t="str">
        <f t="shared" si="1"/>
        <v>AD507-0709</v>
      </c>
      <c r="C711" s="5"/>
      <c r="F711" s="5"/>
      <c r="G711" s="5" t="str">
        <f t="shared" si="2"/>
        <v/>
      </c>
      <c r="H711" s="5" t="str">
        <f t="shared" si="3"/>
        <v/>
      </c>
      <c r="I711" s="5" t="str">
        <f t="shared" si="4"/>
        <v/>
      </c>
      <c r="J711" s="5" t="str">
        <f t="shared" si="5"/>
        <v/>
      </c>
      <c r="K711" s="5" t="str">
        <f>IFERROR(__xludf.DUMMYFUNCTION("IF(C711&lt;&gt;"""",HYPERLINK(""https://wa.me/507""&amp;REGEXREPLACE(C711,""[^0-9]"","""")&amp;""?text=""&amp;ENCODEURL(""Ya llegue. Codigo: ""&amp;A711&amp;"". Ubicacion: ""&amp;""https://www.google.com/maps/search/?api=1&amp;query=""&amp;SUBSTITUTE(F711,"" "","""")),""📲 Avisar al cliente"""&amp;"),"""")"),"")</f>
        <v/>
      </c>
      <c r="L711" s="5" t="str">
        <f>IFERROR(__xludf.DUMMYFUNCTION("IF(C711&lt;&gt;"""",""https://api.qrserver.com/v1/create-qr-code/?size=200x200&amp;data=""&amp;ENCODEURL(""https://wa.me/507""&amp;REGEXREPLACE(C711,""[^0-9]"","""")&amp;""?text=""&amp;ENCODEURL(""Ya llegue. Codigo: ""&amp;A711&amp;"". Ubicacion: ""&amp;""https://www.google.com/maps/search/?a"&amp;"pi=1&amp;query=""&amp;SUBSTITUTE(F711,"" "",""""))),"""")"),"")</f>
        <v/>
      </c>
      <c r="M711" s="5" t="str">
        <f t="shared" si="6"/>
        <v/>
      </c>
      <c r="N711" s="5" t="str">
        <f>IFERROR(__xludf.DUMMYFUNCTION("IF(AND(F711&lt;&gt;"""",REGEXMATCH(SUBSTITUTE(F711,"" "",""""),""^-?\d+(\.\d+)?,-?\d+(\.\d+)?$""),VALUE(REGEXEXTRACT(SUBSTITUTE(F711,"" "",""""),""^-?\d+(\.\d+)?""))&gt;=-90,VALUE(REGEXEXTRACT(SUBSTITUTE(F711,"" "",""""),""^-?\d+(\.\d+)?""))&lt;=90,VALUE(REGEXEXTRACT"&amp;"(SUBSTITUTE(F711,"" "",""""),""-?\d+(\.\d+)?$""))&gt;=-180,VALUE(REGEXEXTRACT(SUBSTITUTE(F711,"" "",""""),""-?\d+(\.\d+)?$""))&lt;=180),""OK"",""REVISAR"")"),"#N/A")</f>
        <v>#N/A</v>
      </c>
    </row>
    <row r="712" ht="15.75" customHeight="1">
      <c r="A712" s="5" t="str">
        <f t="shared" si="1"/>
        <v>AD507-0710</v>
      </c>
      <c r="C712" s="5"/>
      <c r="F712" s="5"/>
      <c r="G712" s="5" t="str">
        <f t="shared" si="2"/>
        <v/>
      </c>
      <c r="H712" s="5" t="str">
        <f t="shared" si="3"/>
        <v/>
      </c>
      <c r="I712" s="5" t="str">
        <f t="shared" si="4"/>
        <v/>
      </c>
      <c r="J712" s="5" t="str">
        <f t="shared" si="5"/>
        <v/>
      </c>
      <c r="K712" s="5" t="str">
        <f>IFERROR(__xludf.DUMMYFUNCTION("IF(C712&lt;&gt;"""",HYPERLINK(""https://wa.me/507""&amp;REGEXREPLACE(C712,""[^0-9]"","""")&amp;""?text=""&amp;ENCODEURL(""Ya llegue. Codigo: ""&amp;A712&amp;"". Ubicacion: ""&amp;""https://www.google.com/maps/search/?api=1&amp;query=""&amp;SUBSTITUTE(F712,"" "","""")),""📲 Avisar al cliente"""&amp;"),"""")"),"")</f>
        <v/>
      </c>
      <c r="L712" s="5" t="str">
        <f>IFERROR(__xludf.DUMMYFUNCTION("IF(C712&lt;&gt;"""",""https://api.qrserver.com/v1/create-qr-code/?size=200x200&amp;data=""&amp;ENCODEURL(""https://wa.me/507""&amp;REGEXREPLACE(C712,""[^0-9]"","""")&amp;""?text=""&amp;ENCODEURL(""Ya llegue. Codigo: ""&amp;A712&amp;"". Ubicacion: ""&amp;""https://www.google.com/maps/search/?a"&amp;"pi=1&amp;query=""&amp;SUBSTITUTE(F712,"" "",""""))),"""")"),"")</f>
        <v/>
      </c>
      <c r="M712" s="5" t="str">
        <f t="shared" si="6"/>
        <v/>
      </c>
      <c r="N712" s="5" t="str">
        <f>IFERROR(__xludf.DUMMYFUNCTION("IF(AND(F712&lt;&gt;"""",REGEXMATCH(SUBSTITUTE(F712,"" "",""""),""^-?\d+(\.\d+)?,-?\d+(\.\d+)?$""),VALUE(REGEXEXTRACT(SUBSTITUTE(F712,"" "",""""),""^-?\d+(\.\d+)?""))&gt;=-90,VALUE(REGEXEXTRACT(SUBSTITUTE(F712,"" "",""""),""^-?\d+(\.\d+)?""))&lt;=90,VALUE(REGEXEXTRACT"&amp;"(SUBSTITUTE(F712,"" "",""""),""-?\d+(\.\d+)?$""))&gt;=-180,VALUE(REGEXEXTRACT(SUBSTITUTE(F712,"" "",""""),""-?\d+(\.\d+)?$""))&lt;=180),""OK"",""REVISAR"")"),"#N/A")</f>
        <v>#N/A</v>
      </c>
    </row>
    <row r="713" ht="15.75" customHeight="1">
      <c r="A713" s="5" t="str">
        <f t="shared" si="1"/>
        <v>AD507-0711</v>
      </c>
      <c r="C713" s="5"/>
      <c r="F713" s="5"/>
      <c r="G713" s="5" t="str">
        <f t="shared" si="2"/>
        <v/>
      </c>
      <c r="H713" s="5" t="str">
        <f t="shared" si="3"/>
        <v/>
      </c>
      <c r="I713" s="5" t="str">
        <f t="shared" si="4"/>
        <v/>
      </c>
      <c r="J713" s="5" t="str">
        <f t="shared" si="5"/>
        <v/>
      </c>
      <c r="K713" s="5" t="str">
        <f>IFERROR(__xludf.DUMMYFUNCTION("IF(C713&lt;&gt;"""",HYPERLINK(""https://wa.me/507""&amp;REGEXREPLACE(C713,""[^0-9]"","""")&amp;""?text=""&amp;ENCODEURL(""Ya llegue. Codigo: ""&amp;A713&amp;"". Ubicacion: ""&amp;""https://www.google.com/maps/search/?api=1&amp;query=""&amp;SUBSTITUTE(F713,"" "","""")),""📲 Avisar al cliente"""&amp;"),"""")"),"")</f>
        <v/>
      </c>
      <c r="L713" s="5" t="str">
        <f>IFERROR(__xludf.DUMMYFUNCTION("IF(C713&lt;&gt;"""",""https://api.qrserver.com/v1/create-qr-code/?size=200x200&amp;data=""&amp;ENCODEURL(""https://wa.me/507""&amp;REGEXREPLACE(C713,""[^0-9]"","""")&amp;""?text=""&amp;ENCODEURL(""Ya llegue. Codigo: ""&amp;A713&amp;"". Ubicacion: ""&amp;""https://www.google.com/maps/search/?a"&amp;"pi=1&amp;query=""&amp;SUBSTITUTE(F713,"" "",""""))),"""")"),"")</f>
        <v/>
      </c>
      <c r="M713" s="5" t="str">
        <f t="shared" si="6"/>
        <v/>
      </c>
      <c r="N713" s="5" t="str">
        <f>IFERROR(__xludf.DUMMYFUNCTION("IF(AND(F713&lt;&gt;"""",REGEXMATCH(SUBSTITUTE(F713,"" "",""""),""^-?\d+(\.\d+)?,-?\d+(\.\d+)?$""),VALUE(REGEXEXTRACT(SUBSTITUTE(F713,"" "",""""),""^-?\d+(\.\d+)?""))&gt;=-90,VALUE(REGEXEXTRACT(SUBSTITUTE(F713,"" "",""""),""^-?\d+(\.\d+)?""))&lt;=90,VALUE(REGEXEXTRACT"&amp;"(SUBSTITUTE(F713,"" "",""""),""-?\d+(\.\d+)?$""))&gt;=-180,VALUE(REGEXEXTRACT(SUBSTITUTE(F713,"" "",""""),""-?\d+(\.\d+)?$""))&lt;=180),""OK"",""REVISAR"")"),"#N/A")</f>
        <v>#N/A</v>
      </c>
    </row>
    <row r="714" ht="15.75" customHeight="1">
      <c r="A714" s="5" t="str">
        <f t="shared" si="1"/>
        <v>AD507-0712</v>
      </c>
      <c r="C714" s="5"/>
      <c r="F714" s="5"/>
      <c r="G714" s="5" t="str">
        <f t="shared" si="2"/>
        <v/>
      </c>
      <c r="H714" s="5" t="str">
        <f t="shared" si="3"/>
        <v/>
      </c>
      <c r="I714" s="5" t="str">
        <f t="shared" si="4"/>
        <v/>
      </c>
      <c r="J714" s="5" t="str">
        <f t="shared" si="5"/>
        <v/>
      </c>
      <c r="K714" s="5" t="str">
        <f>IFERROR(__xludf.DUMMYFUNCTION("IF(C714&lt;&gt;"""",HYPERLINK(""https://wa.me/507""&amp;REGEXREPLACE(C714,""[^0-9]"","""")&amp;""?text=""&amp;ENCODEURL(""Ya llegue. Codigo: ""&amp;A714&amp;"". Ubicacion: ""&amp;""https://www.google.com/maps/search/?api=1&amp;query=""&amp;SUBSTITUTE(F714,"" "","""")),""📲 Avisar al cliente"""&amp;"),"""")"),"")</f>
        <v/>
      </c>
      <c r="L714" s="5" t="str">
        <f>IFERROR(__xludf.DUMMYFUNCTION("IF(C714&lt;&gt;"""",""https://api.qrserver.com/v1/create-qr-code/?size=200x200&amp;data=""&amp;ENCODEURL(""https://wa.me/507""&amp;REGEXREPLACE(C714,""[^0-9]"","""")&amp;""?text=""&amp;ENCODEURL(""Ya llegue. Codigo: ""&amp;A714&amp;"". Ubicacion: ""&amp;""https://www.google.com/maps/search/?a"&amp;"pi=1&amp;query=""&amp;SUBSTITUTE(F714,"" "",""""))),"""")"),"")</f>
        <v/>
      </c>
      <c r="M714" s="5" t="str">
        <f t="shared" si="6"/>
        <v/>
      </c>
      <c r="N714" s="5" t="str">
        <f>IFERROR(__xludf.DUMMYFUNCTION("IF(AND(F714&lt;&gt;"""",REGEXMATCH(SUBSTITUTE(F714,"" "",""""),""^-?\d+(\.\d+)?,-?\d+(\.\d+)?$""),VALUE(REGEXEXTRACT(SUBSTITUTE(F714,"" "",""""),""^-?\d+(\.\d+)?""))&gt;=-90,VALUE(REGEXEXTRACT(SUBSTITUTE(F714,"" "",""""),""^-?\d+(\.\d+)?""))&lt;=90,VALUE(REGEXEXTRACT"&amp;"(SUBSTITUTE(F714,"" "",""""),""-?\d+(\.\d+)?$""))&gt;=-180,VALUE(REGEXEXTRACT(SUBSTITUTE(F714,"" "",""""),""-?\d+(\.\d+)?$""))&lt;=180),""OK"",""REVISAR"")"),"#N/A")</f>
        <v>#N/A</v>
      </c>
    </row>
    <row r="715" ht="15.75" customHeight="1">
      <c r="A715" s="5" t="str">
        <f t="shared" si="1"/>
        <v>AD507-0713</v>
      </c>
      <c r="C715" s="5"/>
      <c r="F715" s="5"/>
      <c r="G715" s="5" t="str">
        <f t="shared" si="2"/>
        <v/>
      </c>
      <c r="H715" s="5" t="str">
        <f t="shared" si="3"/>
        <v/>
      </c>
      <c r="I715" s="5" t="str">
        <f t="shared" si="4"/>
        <v/>
      </c>
      <c r="J715" s="5" t="str">
        <f t="shared" si="5"/>
        <v/>
      </c>
      <c r="K715" s="5" t="str">
        <f>IFERROR(__xludf.DUMMYFUNCTION("IF(C715&lt;&gt;"""",HYPERLINK(""https://wa.me/507""&amp;REGEXREPLACE(C715,""[^0-9]"","""")&amp;""?text=""&amp;ENCODEURL(""Ya llegue. Codigo: ""&amp;A715&amp;"". Ubicacion: ""&amp;""https://www.google.com/maps/search/?api=1&amp;query=""&amp;SUBSTITUTE(F715,"" "","""")),""📲 Avisar al cliente"""&amp;"),"""")"),"")</f>
        <v/>
      </c>
      <c r="L715" s="5" t="str">
        <f>IFERROR(__xludf.DUMMYFUNCTION("IF(C715&lt;&gt;"""",""https://api.qrserver.com/v1/create-qr-code/?size=200x200&amp;data=""&amp;ENCODEURL(""https://wa.me/507""&amp;REGEXREPLACE(C715,""[^0-9]"","""")&amp;""?text=""&amp;ENCODEURL(""Ya llegue. Codigo: ""&amp;A715&amp;"". Ubicacion: ""&amp;""https://www.google.com/maps/search/?a"&amp;"pi=1&amp;query=""&amp;SUBSTITUTE(F715,"" "",""""))),"""")"),"")</f>
        <v/>
      </c>
      <c r="M715" s="5" t="str">
        <f t="shared" si="6"/>
        <v/>
      </c>
      <c r="N715" s="5" t="str">
        <f>IFERROR(__xludf.DUMMYFUNCTION("IF(AND(F715&lt;&gt;"""",REGEXMATCH(SUBSTITUTE(F715,"" "",""""),""^-?\d+(\.\d+)?,-?\d+(\.\d+)?$""),VALUE(REGEXEXTRACT(SUBSTITUTE(F715,"" "",""""),""^-?\d+(\.\d+)?""))&gt;=-90,VALUE(REGEXEXTRACT(SUBSTITUTE(F715,"" "",""""),""^-?\d+(\.\d+)?""))&lt;=90,VALUE(REGEXEXTRACT"&amp;"(SUBSTITUTE(F715,"" "",""""),""-?\d+(\.\d+)?$""))&gt;=-180,VALUE(REGEXEXTRACT(SUBSTITUTE(F715,"" "",""""),""-?\d+(\.\d+)?$""))&lt;=180),""OK"",""REVISAR"")"),"#N/A")</f>
        <v>#N/A</v>
      </c>
    </row>
    <row r="716" ht="15.75" customHeight="1">
      <c r="A716" s="5" t="str">
        <f t="shared" si="1"/>
        <v>AD507-0714</v>
      </c>
      <c r="C716" s="5"/>
      <c r="F716" s="5"/>
      <c r="G716" s="5" t="str">
        <f t="shared" si="2"/>
        <v/>
      </c>
      <c r="H716" s="5" t="str">
        <f t="shared" si="3"/>
        <v/>
      </c>
      <c r="I716" s="5" t="str">
        <f t="shared" si="4"/>
        <v/>
      </c>
      <c r="J716" s="5" t="str">
        <f t="shared" si="5"/>
        <v/>
      </c>
      <c r="K716" s="5" t="str">
        <f>IFERROR(__xludf.DUMMYFUNCTION("IF(C716&lt;&gt;"""",HYPERLINK(""https://wa.me/507""&amp;REGEXREPLACE(C716,""[^0-9]"","""")&amp;""?text=""&amp;ENCODEURL(""Ya llegue. Codigo: ""&amp;A716&amp;"". Ubicacion: ""&amp;""https://www.google.com/maps/search/?api=1&amp;query=""&amp;SUBSTITUTE(F716,"" "","""")),""📲 Avisar al cliente"""&amp;"),"""")"),"")</f>
        <v/>
      </c>
      <c r="L716" s="5" t="str">
        <f>IFERROR(__xludf.DUMMYFUNCTION("IF(C716&lt;&gt;"""",""https://api.qrserver.com/v1/create-qr-code/?size=200x200&amp;data=""&amp;ENCODEURL(""https://wa.me/507""&amp;REGEXREPLACE(C716,""[^0-9]"","""")&amp;""?text=""&amp;ENCODEURL(""Ya llegue. Codigo: ""&amp;A716&amp;"". Ubicacion: ""&amp;""https://www.google.com/maps/search/?a"&amp;"pi=1&amp;query=""&amp;SUBSTITUTE(F716,"" "",""""))),"""")"),"")</f>
        <v/>
      </c>
      <c r="M716" s="5" t="str">
        <f t="shared" si="6"/>
        <v/>
      </c>
      <c r="N716" s="5" t="str">
        <f>IFERROR(__xludf.DUMMYFUNCTION("IF(AND(F716&lt;&gt;"""",REGEXMATCH(SUBSTITUTE(F716,"" "",""""),""^-?\d+(\.\d+)?,-?\d+(\.\d+)?$""),VALUE(REGEXEXTRACT(SUBSTITUTE(F716,"" "",""""),""^-?\d+(\.\d+)?""))&gt;=-90,VALUE(REGEXEXTRACT(SUBSTITUTE(F716,"" "",""""),""^-?\d+(\.\d+)?""))&lt;=90,VALUE(REGEXEXTRACT"&amp;"(SUBSTITUTE(F716,"" "",""""),""-?\d+(\.\d+)?$""))&gt;=-180,VALUE(REGEXEXTRACT(SUBSTITUTE(F716,"" "",""""),""-?\d+(\.\d+)?$""))&lt;=180),""OK"",""REVISAR"")"),"#N/A")</f>
        <v>#N/A</v>
      </c>
    </row>
    <row r="717" ht="15.75" customHeight="1">
      <c r="A717" s="5" t="str">
        <f t="shared" si="1"/>
        <v>AD507-0715</v>
      </c>
      <c r="C717" s="5"/>
      <c r="F717" s="5"/>
      <c r="G717" s="5" t="str">
        <f t="shared" si="2"/>
        <v/>
      </c>
      <c r="H717" s="5" t="str">
        <f t="shared" si="3"/>
        <v/>
      </c>
      <c r="I717" s="5" t="str">
        <f t="shared" si="4"/>
        <v/>
      </c>
      <c r="J717" s="5" t="str">
        <f t="shared" si="5"/>
        <v/>
      </c>
      <c r="K717" s="5" t="str">
        <f>IFERROR(__xludf.DUMMYFUNCTION("IF(C717&lt;&gt;"""",HYPERLINK(""https://wa.me/507""&amp;REGEXREPLACE(C717,""[^0-9]"","""")&amp;""?text=""&amp;ENCODEURL(""Ya llegue. Codigo: ""&amp;A717&amp;"". Ubicacion: ""&amp;""https://www.google.com/maps/search/?api=1&amp;query=""&amp;SUBSTITUTE(F717,"" "","""")),""📲 Avisar al cliente"""&amp;"),"""")"),"")</f>
        <v/>
      </c>
      <c r="L717" s="5" t="str">
        <f>IFERROR(__xludf.DUMMYFUNCTION("IF(C717&lt;&gt;"""",""https://api.qrserver.com/v1/create-qr-code/?size=200x200&amp;data=""&amp;ENCODEURL(""https://wa.me/507""&amp;REGEXREPLACE(C717,""[^0-9]"","""")&amp;""?text=""&amp;ENCODEURL(""Ya llegue. Codigo: ""&amp;A717&amp;"". Ubicacion: ""&amp;""https://www.google.com/maps/search/?a"&amp;"pi=1&amp;query=""&amp;SUBSTITUTE(F717,"" "",""""))),"""")"),"")</f>
        <v/>
      </c>
      <c r="M717" s="5" t="str">
        <f t="shared" si="6"/>
        <v/>
      </c>
      <c r="N717" s="5" t="str">
        <f>IFERROR(__xludf.DUMMYFUNCTION("IF(AND(F717&lt;&gt;"""",REGEXMATCH(SUBSTITUTE(F717,"" "",""""),""^-?\d+(\.\d+)?,-?\d+(\.\d+)?$""),VALUE(REGEXEXTRACT(SUBSTITUTE(F717,"" "",""""),""^-?\d+(\.\d+)?""))&gt;=-90,VALUE(REGEXEXTRACT(SUBSTITUTE(F717,"" "",""""),""^-?\d+(\.\d+)?""))&lt;=90,VALUE(REGEXEXTRACT"&amp;"(SUBSTITUTE(F717,"" "",""""),""-?\d+(\.\d+)?$""))&gt;=-180,VALUE(REGEXEXTRACT(SUBSTITUTE(F717,"" "",""""),""-?\d+(\.\d+)?$""))&lt;=180),""OK"",""REVISAR"")"),"#N/A")</f>
        <v>#N/A</v>
      </c>
    </row>
    <row r="718" ht="15.75" customHeight="1">
      <c r="A718" s="5" t="str">
        <f t="shared" si="1"/>
        <v>AD507-0716</v>
      </c>
      <c r="C718" s="5"/>
      <c r="F718" s="5"/>
      <c r="G718" s="5" t="str">
        <f t="shared" si="2"/>
        <v/>
      </c>
      <c r="H718" s="5" t="str">
        <f t="shared" si="3"/>
        <v/>
      </c>
      <c r="I718" s="5" t="str">
        <f t="shared" si="4"/>
        <v/>
      </c>
      <c r="J718" s="5" t="str">
        <f t="shared" si="5"/>
        <v/>
      </c>
      <c r="K718" s="5" t="str">
        <f>IFERROR(__xludf.DUMMYFUNCTION("IF(C718&lt;&gt;"""",HYPERLINK(""https://wa.me/507""&amp;REGEXREPLACE(C718,""[^0-9]"","""")&amp;""?text=""&amp;ENCODEURL(""Ya llegue. Codigo: ""&amp;A718&amp;"". Ubicacion: ""&amp;""https://www.google.com/maps/search/?api=1&amp;query=""&amp;SUBSTITUTE(F718,"" "","""")),""📲 Avisar al cliente"""&amp;"),"""")"),"")</f>
        <v/>
      </c>
      <c r="L718" s="5" t="str">
        <f>IFERROR(__xludf.DUMMYFUNCTION("IF(C718&lt;&gt;"""",""https://api.qrserver.com/v1/create-qr-code/?size=200x200&amp;data=""&amp;ENCODEURL(""https://wa.me/507""&amp;REGEXREPLACE(C718,""[^0-9]"","""")&amp;""?text=""&amp;ENCODEURL(""Ya llegue. Codigo: ""&amp;A718&amp;"". Ubicacion: ""&amp;""https://www.google.com/maps/search/?a"&amp;"pi=1&amp;query=""&amp;SUBSTITUTE(F718,"" "",""""))),"""")"),"")</f>
        <v/>
      </c>
      <c r="M718" s="5" t="str">
        <f t="shared" si="6"/>
        <v/>
      </c>
      <c r="N718" s="5" t="str">
        <f>IFERROR(__xludf.DUMMYFUNCTION("IF(AND(F718&lt;&gt;"""",REGEXMATCH(SUBSTITUTE(F718,"" "",""""),""^-?\d+(\.\d+)?,-?\d+(\.\d+)?$""),VALUE(REGEXEXTRACT(SUBSTITUTE(F718,"" "",""""),""^-?\d+(\.\d+)?""))&gt;=-90,VALUE(REGEXEXTRACT(SUBSTITUTE(F718,"" "",""""),""^-?\d+(\.\d+)?""))&lt;=90,VALUE(REGEXEXTRACT"&amp;"(SUBSTITUTE(F718,"" "",""""),""-?\d+(\.\d+)?$""))&gt;=-180,VALUE(REGEXEXTRACT(SUBSTITUTE(F718,"" "",""""),""-?\d+(\.\d+)?$""))&lt;=180),""OK"",""REVISAR"")"),"#N/A")</f>
        <v>#N/A</v>
      </c>
    </row>
    <row r="719" ht="15.75" customHeight="1">
      <c r="A719" s="5" t="str">
        <f t="shared" si="1"/>
        <v>AD507-0717</v>
      </c>
      <c r="C719" s="5"/>
      <c r="F719" s="5"/>
      <c r="G719" s="5" t="str">
        <f t="shared" si="2"/>
        <v/>
      </c>
      <c r="H719" s="5" t="str">
        <f t="shared" si="3"/>
        <v/>
      </c>
      <c r="I719" s="5" t="str">
        <f t="shared" si="4"/>
        <v/>
      </c>
      <c r="J719" s="5" t="str">
        <f t="shared" si="5"/>
        <v/>
      </c>
      <c r="K719" s="5" t="str">
        <f>IFERROR(__xludf.DUMMYFUNCTION("IF(C719&lt;&gt;"""",HYPERLINK(""https://wa.me/507""&amp;REGEXREPLACE(C719,""[^0-9]"","""")&amp;""?text=""&amp;ENCODEURL(""Ya llegue. Codigo: ""&amp;A719&amp;"". Ubicacion: ""&amp;""https://www.google.com/maps/search/?api=1&amp;query=""&amp;SUBSTITUTE(F719,"" "","""")),""📲 Avisar al cliente"""&amp;"),"""")"),"")</f>
        <v/>
      </c>
      <c r="L719" s="5" t="str">
        <f>IFERROR(__xludf.DUMMYFUNCTION("IF(C719&lt;&gt;"""",""https://api.qrserver.com/v1/create-qr-code/?size=200x200&amp;data=""&amp;ENCODEURL(""https://wa.me/507""&amp;REGEXREPLACE(C719,""[^0-9]"","""")&amp;""?text=""&amp;ENCODEURL(""Ya llegue. Codigo: ""&amp;A719&amp;"". Ubicacion: ""&amp;""https://www.google.com/maps/search/?a"&amp;"pi=1&amp;query=""&amp;SUBSTITUTE(F719,"" "",""""))),"""")"),"")</f>
        <v/>
      </c>
      <c r="M719" s="5" t="str">
        <f t="shared" si="6"/>
        <v/>
      </c>
      <c r="N719" s="5" t="str">
        <f>IFERROR(__xludf.DUMMYFUNCTION("IF(AND(F719&lt;&gt;"""",REGEXMATCH(SUBSTITUTE(F719,"" "",""""),""^-?\d+(\.\d+)?,-?\d+(\.\d+)?$""),VALUE(REGEXEXTRACT(SUBSTITUTE(F719,"" "",""""),""^-?\d+(\.\d+)?""))&gt;=-90,VALUE(REGEXEXTRACT(SUBSTITUTE(F719,"" "",""""),""^-?\d+(\.\d+)?""))&lt;=90,VALUE(REGEXEXTRACT"&amp;"(SUBSTITUTE(F719,"" "",""""),""-?\d+(\.\d+)?$""))&gt;=-180,VALUE(REGEXEXTRACT(SUBSTITUTE(F719,"" "",""""),""-?\d+(\.\d+)?$""))&lt;=180),""OK"",""REVISAR"")"),"#N/A")</f>
        <v>#N/A</v>
      </c>
    </row>
    <row r="720" ht="15.75" customHeight="1">
      <c r="A720" s="5" t="str">
        <f t="shared" si="1"/>
        <v>AD507-0718</v>
      </c>
      <c r="C720" s="5"/>
      <c r="F720" s="5"/>
      <c r="G720" s="5" t="str">
        <f t="shared" si="2"/>
        <v/>
      </c>
      <c r="H720" s="5" t="str">
        <f t="shared" si="3"/>
        <v/>
      </c>
      <c r="I720" s="5" t="str">
        <f t="shared" si="4"/>
        <v/>
      </c>
      <c r="J720" s="5" t="str">
        <f t="shared" si="5"/>
        <v/>
      </c>
      <c r="K720" s="5" t="str">
        <f>IFERROR(__xludf.DUMMYFUNCTION("IF(C720&lt;&gt;"""",HYPERLINK(""https://wa.me/507""&amp;REGEXREPLACE(C720,""[^0-9]"","""")&amp;""?text=""&amp;ENCODEURL(""Ya llegue. Codigo: ""&amp;A720&amp;"". Ubicacion: ""&amp;""https://www.google.com/maps/search/?api=1&amp;query=""&amp;SUBSTITUTE(F720,"" "","""")),""📲 Avisar al cliente"""&amp;"),"""")"),"")</f>
        <v/>
      </c>
      <c r="L720" s="5" t="str">
        <f>IFERROR(__xludf.DUMMYFUNCTION("IF(C720&lt;&gt;"""",""https://api.qrserver.com/v1/create-qr-code/?size=200x200&amp;data=""&amp;ENCODEURL(""https://wa.me/507""&amp;REGEXREPLACE(C720,""[^0-9]"","""")&amp;""?text=""&amp;ENCODEURL(""Ya llegue. Codigo: ""&amp;A720&amp;"". Ubicacion: ""&amp;""https://www.google.com/maps/search/?a"&amp;"pi=1&amp;query=""&amp;SUBSTITUTE(F720,"" "",""""))),"""")"),"")</f>
        <v/>
      </c>
      <c r="M720" s="5" t="str">
        <f t="shared" si="6"/>
        <v/>
      </c>
      <c r="N720" s="5" t="str">
        <f>IFERROR(__xludf.DUMMYFUNCTION("IF(AND(F720&lt;&gt;"""",REGEXMATCH(SUBSTITUTE(F720,"" "",""""),""^-?\d+(\.\d+)?,-?\d+(\.\d+)?$""),VALUE(REGEXEXTRACT(SUBSTITUTE(F720,"" "",""""),""^-?\d+(\.\d+)?""))&gt;=-90,VALUE(REGEXEXTRACT(SUBSTITUTE(F720,"" "",""""),""^-?\d+(\.\d+)?""))&lt;=90,VALUE(REGEXEXTRACT"&amp;"(SUBSTITUTE(F720,"" "",""""),""-?\d+(\.\d+)?$""))&gt;=-180,VALUE(REGEXEXTRACT(SUBSTITUTE(F720,"" "",""""),""-?\d+(\.\d+)?$""))&lt;=180),""OK"",""REVISAR"")"),"#N/A")</f>
        <v>#N/A</v>
      </c>
    </row>
    <row r="721" ht="15.75" customHeight="1">
      <c r="A721" s="5" t="str">
        <f t="shared" si="1"/>
        <v>AD507-0719</v>
      </c>
      <c r="C721" s="5"/>
      <c r="F721" s="5"/>
      <c r="G721" s="5" t="str">
        <f t="shared" si="2"/>
        <v/>
      </c>
      <c r="H721" s="5" t="str">
        <f t="shared" si="3"/>
        <v/>
      </c>
      <c r="I721" s="5" t="str">
        <f t="shared" si="4"/>
        <v/>
      </c>
      <c r="J721" s="5" t="str">
        <f t="shared" si="5"/>
        <v/>
      </c>
      <c r="K721" s="5" t="str">
        <f>IFERROR(__xludf.DUMMYFUNCTION("IF(C721&lt;&gt;"""",HYPERLINK(""https://wa.me/507""&amp;REGEXREPLACE(C721,""[^0-9]"","""")&amp;""?text=""&amp;ENCODEURL(""Ya llegue. Codigo: ""&amp;A721&amp;"". Ubicacion: ""&amp;""https://www.google.com/maps/search/?api=1&amp;query=""&amp;SUBSTITUTE(F721,"" "","""")),""📲 Avisar al cliente"""&amp;"),"""")"),"")</f>
        <v/>
      </c>
      <c r="L721" s="5" t="str">
        <f>IFERROR(__xludf.DUMMYFUNCTION("IF(C721&lt;&gt;"""",""https://api.qrserver.com/v1/create-qr-code/?size=200x200&amp;data=""&amp;ENCODEURL(""https://wa.me/507""&amp;REGEXREPLACE(C721,""[^0-9]"","""")&amp;""?text=""&amp;ENCODEURL(""Ya llegue. Codigo: ""&amp;A721&amp;"". Ubicacion: ""&amp;""https://www.google.com/maps/search/?a"&amp;"pi=1&amp;query=""&amp;SUBSTITUTE(F721,"" "",""""))),"""")"),"")</f>
        <v/>
      </c>
      <c r="M721" s="5" t="str">
        <f t="shared" si="6"/>
        <v/>
      </c>
      <c r="N721" s="5" t="str">
        <f>IFERROR(__xludf.DUMMYFUNCTION("IF(AND(F721&lt;&gt;"""",REGEXMATCH(SUBSTITUTE(F721,"" "",""""),""^-?\d+(\.\d+)?,-?\d+(\.\d+)?$""),VALUE(REGEXEXTRACT(SUBSTITUTE(F721,"" "",""""),""^-?\d+(\.\d+)?""))&gt;=-90,VALUE(REGEXEXTRACT(SUBSTITUTE(F721,"" "",""""),""^-?\d+(\.\d+)?""))&lt;=90,VALUE(REGEXEXTRACT"&amp;"(SUBSTITUTE(F721,"" "",""""),""-?\d+(\.\d+)?$""))&gt;=-180,VALUE(REGEXEXTRACT(SUBSTITUTE(F721,"" "",""""),""-?\d+(\.\d+)?$""))&lt;=180),""OK"",""REVISAR"")"),"#N/A")</f>
        <v>#N/A</v>
      </c>
    </row>
    <row r="722" ht="15.75" customHeight="1">
      <c r="A722" s="5" t="str">
        <f t="shared" si="1"/>
        <v>AD507-0720</v>
      </c>
      <c r="C722" s="5"/>
      <c r="F722" s="5"/>
      <c r="G722" s="5" t="str">
        <f t="shared" si="2"/>
        <v/>
      </c>
      <c r="H722" s="5" t="str">
        <f t="shared" si="3"/>
        <v/>
      </c>
      <c r="I722" s="5" t="str">
        <f t="shared" si="4"/>
        <v/>
      </c>
      <c r="J722" s="5" t="str">
        <f t="shared" si="5"/>
        <v/>
      </c>
      <c r="K722" s="5" t="str">
        <f>IFERROR(__xludf.DUMMYFUNCTION("IF(C722&lt;&gt;"""",HYPERLINK(""https://wa.me/507""&amp;REGEXREPLACE(C722,""[^0-9]"","""")&amp;""?text=""&amp;ENCODEURL(""Ya llegue. Codigo: ""&amp;A722&amp;"". Ubicacion: ""&amp;""https://www.google.com/maps/search/?api=1&amp;query=""&amp;SUBSTITUTE(F722,"" "","""")),""📲 Avisar al cliente"""&amp;"),"""")"),"")</f>
        <v/>
      </c>
      <c r="L722" s="5" t="str">
        <f>IFERROR(__xludf.DUMMYFUNCTION("IF(C722&lt;&gt;"""",""https://api.qrserver.com/v1/create-qr-code/?size=200x200&amp;data=""&amp;ENCODEURL(""https://wa.me/507""&amp;REGEXREPLACE(C722,""[^0-9]"","""")&amp;""?text=""&amp;ENCODEURL(""Ya llegue. Codigo: ""&amp;A722&amp;"". Ubicacion: ""&amp;""https://www.google.com/maps/search/?a"&amp;"pi=1&amp;query=""&amp;SUBSTITUTE(F722,"" "",""""))),"""")"),"")</f>
        <v/>
      </c>
      <c r="M722" s="5" t="str">
        <f t="shared" si="6"/>
        <v/>
      </c>
      <c r="N722" s="5" t="str">
        <f>IFERROR(__xludf.DUMMYFUNCTION("IF(AND(F722&lt;&gt;"""",REGEXMATCH(SUBSTITUTE(F722,"" "",""""),""^-?\d+(\.\d+)?,-?\d+(\.\d+)?$""),VALUE(REGEXEXTRACT(SUBSTITUTE(F722,"" "",""""),""^-?\d+(\.\d+)?""))&gt;=-90,VALUE(REGEXEXTRACT(SUBSTITUTE(F722,"" "",""""),""^-?\d+(\.\d+)?""))&lt;=90,VALUE(REGEXEXTRACT"&amp;"(SUBSTITUTE(F722,"" "",""""),""-?\d+(\.\d+)?$""))&gt;=-180,VALUE(REGEXEXTRACT(SUBSTITUTE(F722,"" "",""""),""-?\d+(\.\d+)?$""))&lt;=180),""OK"",""REVISAR"")"),"#N/A")</f>
        <v>#N/A</v>
      </c>
    </row>
    <row r="723" ht="15.75" customHeight="1">
      <c r="A723" s="5" t="str">
        <f t="shared" si="1"/>
        <v>AD507-0721</v>
      </c>
      <c r="C723" s="5"/>
      <c r="F723" s="5"/>
      <c r="G723" s="5" t="str">
        <f t="shared" si="2"/>
        <v/>
      </c>
      <c r="H723" s="5" t="str">
        <f t="shared" si="3"/>
        <v/>
      </c>
      <c r="I723" s="5" t="str">
        <f t="shared" si="4"/>
        <v/>
      </c>
      <c r="J723" s="5" t="str">
        <f t="shared" si="5"/>
        <v/>
      </c>
      <c r="K723" s="5" t="str">
        <f>IFERROR(__xludf.DUMMYFUNCTION("IF(C723&lt;&gt;"""",HYPERLINK(""https://wa.me/507""&amp;REGEXREPLACE(C723,""[^0-9]"","""")&amp;""?text=""&amp;ENCODEURL(""Ya llegue. Codigo: ""&amp;A723&amp;"". Ubicacion: ""&amp;""https://www.google.com/maps/search/?api=1&amp;query=""&amp;SUBSTITUTE(F723,"" "","""")),""📲 Avisar al cliente"""&amp;"),"""")"),"")</f>
        <v/>
      </c>
      <c r="L723" s="5" t="str">
        <f>IFERROR(__xludf.DUMMYFUNCTION("IF(C723&lt;&gt;"""",""https://api.qrserver.com/v1/create-qr-code/?size=200x200&amp;data=""&amp;ENCODEURL(""https://wa.me/507""&amp;REGEXREPLACE(C723,""[^0-9]"","""")&amp;""?text=""&amp;ENCODEURL(""Ya llegue. Codigo: ""&amp;A723&amp;"". Ubicacion: ""&amp;""https://www.google.com/maps/search/?a"&amp;"pi=1&amp;query=""&amp;SUBSTITUTE(F723,"" "",""""))),"""")"),"")</f>
        <v/>
      </c>
      <c r="M723" s="5" t="str">
        <f t="shared" si="6"/>
        <v/>
      </c>
      <c r="N723" s="5" t="str">
        <f>IFERROR(__xludf.DUMMYFUNCTION("IF(AND(F723&lt;&gt;"""",REGEXMATCH(SUBSTITUTE(F723,"" "",""""),""^-?\d+(\.\d+)?,-?\d+(\.\d+)?$""),VALUE(REGEXEXTRACT(SUBSTITUTE(F723,"" "",""""),""^-?\d+(\.\d+)?""))&gt;=-90,VALUE(REGEXEXTRACT(SUBSTITUTE(F723,"" "",""""),""^-?\d+(\.\d+)?""))&lt;=90,VALUE(REGEXEXTRACT"&amp;"(SUBSTITUTE(F723,"" "",""""),""-?\d+(\.\d+)?$""))&gt;=-180,VALUE(REGEXEXTRACT(SUBSTITUTE(F723,"" "",""""),""-?\d+(\.\d+)?$""))&lt;=180),""OK"",""REVISAR"")"),"#N/A")</f>
        <v>#N/A</v>
      </c>
    </row>
    <row r="724" ht="15.75" customHeight="1">
      <c r="A724" s="5" t="str">
        <f t="shared" si="1"/>
        <v>AD507-0722</v>
      </c>
      <c r="C724" s="5"/>
      <c r="F724" s="5"/>
      <c r="G724" s="5" t="str">
        <f t="shared" si="2"/>
        <v/>
      </c>
      <c r="H724" s="5" t="str">
        <f t="shared" si="3"/>
        <v/>
      </c>
      <c r="I724" s="5" t="str">
        <f t="shared" si="4"/>
        <v/>
      </c>
      <c r="J724" s="5" t="str">
        <f t="shared" si="5"/>
        <v/>
      </c>
      <c r="K724" s="5" t="str">
        <f>IFERROR(__xludf.DUMMYFUNCTION("IF(C724&lt;&gt;"""",HYPERLINK(""https://wa.me/507""&amp;REGEXREPLACE(C724,""[^0-9]"","""")&amp;""?text=""&amp;ENCODEURL(""Ya llegue. Codigo: ""&amp;A724&amp;"". Ubicacion: ""&amp;""https://www.google.com/maps/search/?api=1&amp;query=""&amp;SUBSTITUTE(F724,"" "","""")),""📲 Avisar al cliente"""&amp;"),"""")"),"")</f>
        <v/>
      </c>
      <c r="L724" s="5" t="str">
        <f>IFERROR(__xludf.DUMMYFUNCTION("IF(C724&lt;&gt;"""",""https://api.qrserver.com/v1/create-qr-code/?size=200x200&amp;data=""&amp;ENCODEURL(""https://wa.me/507""&amp;REGEXREPLACE(C724,""[^0-9]"","""")&amp;""?text=""&amp;ENCODEURL(""Ya llegue. Codigo: ""&amp;A724&amp;"". Ubicacion: ""&amp;""https://www.google.com/maps/search/?a"&amp;"pi=1&amp;query=""&amp;SUBSTITUTE(F724,"" "",""""))),"""")"),"")</f>
        <v/>
      </c>
      <c r="M724" s="5" t="str">
        <f t="shared" si="6"/>
        <v/>
      </c>
      <c r="N724" s="5" t="str">
        <f>IFERROR(__xludf.DUMMYFUNCTION("IF(AND(F724&lt;&gt;"""",REGEXMATCH(SUBSTITUTE(F724,"" "",""""),""^-?\d+(\.\d+)?,-?\d+(\.\d+)?$""),VALUE(REGEXEXTRACT(SUBSTITUTE(F724,"" "",""""),""^-?\d+(\.\d+)?""))&gt;=-90,VALUE(REGEXEXTRACT(SUBSTITUTE(F724,"" "",""""),""^-?\d+(\.\d+)?""))&lt;=90,VALUE(REGEXEXTRACT"&amp;"(SUBSTITUTE(F724,"" "",""""),""-?\d+(\.\d+)?$""))&gt;=-180,VALUE(REGEXEXTRACT(SUBSTITUTE(F724,"" "",""""),""-?\d+(\.\d+)?$""))&lt;=180),""OK"",""REVISAR"")"),"#N/A")</f>
        <v>#N/A</v>
      </c>
    </row>
    <row r="725" ht="15.75" customHeight="1">
      <c r="A725" s="5" t="str">
        <f t="shared" si="1"/>
        <v>AD507-0723</v>
      </c>
      <c r="C725" s="5"/>
      <c r="F725" s="5"/>
      <c r="G725" s="5" t="str">
        <f t="shared" si="2"/>
        <v/>
      </c>
      <c r="H725" s="5" t="str">
        <f t="shared" si="3"/>
        <v/>
      </c>
      <c r="I725" s="5" t="str">
        <f t="shared" si="4"/>
        <v/>
      </c>
      <c r="J725" s="5" t="str">
        <f t="shared" si="5"/>
        <v/>
      </c>
      <c r="K725" s="5" t="str">
        <f>IFERROR(__xludf.DUMMYFUNCTION("IF(C725&lt;&gt;"""",HYPERLINK(""https://wa.me/507""&amp;REGEXREPLACE(C725,""[^0-9]"","""")&amp;""?text=""&amp;ENCODEURL(""Ya llegue. Codigo: ""&amp;A725&amp;"". Ubicacion: ""&amp;""https://www.google.com/maps/search/?api=1&amp;query=""&amp;SUBSTITUTE(F725,"" "","""")),""📲 Avisar al cliente"""&amp;"),"""")"),"")</f>
        <v/>
      </c>
      <c r="L725" s="5" t="str">
        <f>IFERROR(__xludf.DUMMYFUNCTION("IF(C725&lt;&gt;"""",""https://api.qrserver.com/v1/create-qr-code/?size=200x200&amp;data=""&amp;ENCODEURL(""https://wa.me/507""&amp;REGEXREPLACE(C725,""[^0-9]"","""")&amp;""?text=""&amp;ENCODEURL(""Ya llegue. Codigo: ""&amp;A725&amp;"". Ubicacion: ""&amp;""https://www.google.com/maps/search/?a"&amp;"pi=1&amp;query=""&amp;SUBSTITUTE(F725,"" "",""""))),"""")"),"")</f>
        <v/>
      </c>
      <c r="M725" s="5" t="str">
        <f t="shared" si="6"/>
        <v/>
      </c>
      <c r="N725" s="5" t="str">
        <f>IFERROR(__xludf.DUMMYFUNCTION("IF(AND(F725&lt;&gt;"""",REGEXMATCH(SUBSTITUTE(F725,"" "",""""),""^-?\d+(\.\d+)?,-?\d+(\.\d+)?$""),VALUE(REGEXEXTRACT(SUBSTITUTE(F725,"" "",""""),""^-?\d+(\.\d+)?""))&gt;=-90,VALUE(REGEXEXTRACT(SUBSTITUTE(F725,"" "",""""),""^-?\d+(\.\d+)?""))&lt;=90,VALUE(REGEXEXTRACT"&amp;"(SUBSTITUTE(F725,"" "",""""),""-?\d+(\.\d+)?$""))&gt;=-180,VALUE(REGEXEXTRACT(SUBSTITUTE(F725,"" "",""""),""-?\d+(\.\d+)?$""))&lt;=180),""OK"",""REVISAR"")"),"#N/A")</f>
        <v>#N/A</v>
      </c>
    </row>
    <row r="726" ht="15.75" customHeight="1">
      <c r="A726" s="5" t="str">
        <f t="shared" si="1"/>
        <v>AD507-0724</v>
      </c>
      <c r="C726" s="5"/>
      <c r="F726" s="5"/>
      <c r="G726" s="5" t="str">
        <f t="shared" si="2"/>
        <v/>
      </c>
      <c r="H726" s="5" t="str">
        <f t="shared" si="3"/>
        <v/>
      </c>
      <c r="I726" s="5" t="str">
        <f t="shared" si="4"/>
        <v/>
      </c>
      <c r="J726" s="5" t="str">
        <f t="shared" si="5"/>
        <v/>
      </c>
      <c r="K726" s="5" t="str">
        <f>IFERROR(__xludf.DUMMYFUNCTION("IF(C726&lt;&gt;"""",HYPERLINK(""https://wa.me/507""&amp;REGEXREPLACE(C726,""[^0-9]"","""")&amp;""?text=""&amp;ENCODEURL(""Ya llegue. Codigo: ""&amp;A726&amp;"". Ubicacion: ""&amp;""https://www.google.com/maps/search/?api=1&amp;query=""&amp;SUBSTITUTE(F726,"" "","""")),""📲 Avisar al cliente"""&amp;"),"""")"),"")</f>
        <v/>
      </c>
      <c r="L726" s="5" t="str">
        <f>IFERROR(__xludf.DUMMYFUNCTION("IF(C726&lt;&gt;"""",""https://api.qrserver.com/v1/create-qr-code/?size=200x200&amp;data=""&amp;ENCODEURL(""https://wa.me/507""&amp;REGEXREPLACE(C726,""[^0-9]"","""")&amp;""?text=""&amp;ENCODEURL(""Ya llegue. Codigo: ""&amp;A726&amp;"". Ubicacion: ""&amp;""https://www.google.com/maps/search/?a"&amp;"pi=1&amp;query=""&amp;SUBSTITUTE(F726,"" "",""""))),"""")"),"")</f>
        <v/>
      </c>
      <c r="M726" s="5" t="str">
        <f t="shared" si="6"/>
        <v/>
      </c>
      <c r="N726" s="5" t="str">
        <f>IFERROR(__xludf.DUMMYFUNCTION("IF(AND(F726&lt;&gt;"""",REGEXMATCH(SUBSTITUTE(F726,"" "",""""),""^-?\d+(\.\d+)?,-?\d+(\.\d+)?$""),VALUE(REGEXEXTRACT(SUBSTITUTE(F726,"" "",""""),""^-?\d+(\.\d+)?""))&gt;=-90,VALUE(REGEXEXTRACT(SUBSTITUTE(F726,"" "",""""),""^-?\d+(\.\d+)?""))&lt;=90,VALUE(REGEXEXTRACT"&amp;"(SUBSTITUTE(F726,"" "",""""),""-?\d+(\.\d+)?$""))&gt;=-180,VALUE(REGEXEXTRACT(SUBSTITUTE(F726,"" "",""""),""-?\d+(\.\d+)?$""))&lt;=180),""OK"",""REVISAR"")"),"#N/A")</f>
        <v>#N/A</v>
      </c>
    </row>
    <row r="727" ht="15.75" customHeight="1">
      <c r="A727" s="5" t="str">
        <f t="shared" si="1"/>
        <v>AD507-0725</v>
      </c>
      <c r="C727" s="5"/>
      <c r="F727" s="5"/>
      <c r="G727" s="5" t="str">
        <f t="shared" si="2"/>
        <v/>
      </c>
      <c r="H727" s="5" t="str">
        <f t="shared" si="3"/>
        <v/>
      </c>
      <c r="I727" s="5" t="str">
        <f t="shared" si="4"/>
        <v/>
      </c>
      <c r="J727" s="5" t="str">
        <f t="shared" si="5"/>
        <v/>
      </c>
      <c r="K727" s="5" t="str">
        <f>IFERROR(__xludf.DUMMYFUNCTION("IF(C727&lt;&gt;"""",HYPERLINK(""https://wa.me/507""&amp;REGEXREPLACE(C727,""[^0-9]"","""")&amp;""?text=""&amp;ENCODEURL(""Ya llegue. Codigo: ""&amp;A727&amp;"". Ubicacion: ""&amp;""https://www.google.com/maps/search/?api=1&amp;query=""&amp;SUBSTITUTE(F727,"" "","""")),""📲 Avisar al cliente"""&amp;"),"""")"),"")</f>
        <v/>
      </c>
      <c r="L727" s="5" t="str">
        <f>IFERROR(__xludf.DUMMYFUNCTION("IF(C727&lt;&gt;"""",""https://api.qrserver.com/v1/create-qr-code/?size=200x200&amp;data=""&amp;ENCODEURL(""https://wa.me/507""&amp;REGEXREPLACE(C727,""[^0-9]"","""")&amp;""?text=""&amp;ENCODEURL(""Ya llegue. Codigo: ""&amp;A727&amp;"". Ubicacion: ""&amp;""https://www.google.com/maps/search/?a"&amp;"pi=1&amp;query=""&amp;SUBSTITUTE(F727,"" "",""""))),"""")"),"")</f>
        <v/>
      </c>
      <c r="M727" s="5" t="str">
        <f t="shared" si="6"/>
        <v/>
      </c>
      <c r="N727" s="5" t="str">
        <f>IFERROR(__xludf.DUMMYFUNCTION("IF(AND(F727&lt;&gt;"""",REGEXMATCH(SUBSTITUTE(F727,"" "",""""),""^-?\d+(\.\d+)?,-?\d+(\.\d+)?$""),VALUE(REGEXEXTRACT(SUBSTITUTE(F727,"" "",""""),""^-?\d+(\.\d+)?""))&gt;=-90,VALUE(REGEXEXTRACT(SUBSTITUTE(F727,"" "",""""),""^-?\d+(\.\d+)?""))&lt;=90,VALUE(REGEXEXTRACT"&amp;"(SUBSTITUTE(F727,"" "",""""),""-?\d+(\.\d+)?$""))&gt;=-180,VALUE(REGEXEXTRACT(SUBSTITUTE(F727,"" "",""""),""-?\d+(\.\d+)?$""))&lt;=180),""OK"",""REVISAR"")"),"#N/A")</f>
        <v>#N/A</v>
      </c>
    </row>
    <row r="728" ht="15.75" customHeight="1">
      <c r="A728" s="5" t="str">
        <f t="shared" si="1"/>
        <v>AD507-0726</v>
      </c>
      <c r="C728" s="5"/>
      <c r="F728" s="5"/>
      <c r="G728" s="5" t="str">
        <f t="shared" si="2"/>
        <v/>
      </c>
      <c r="H728" s="5" t="str">
        <f t="shared" si="3"/>
        <v/>
      </c>
      <c r="I728" s="5" t="str">
        <f t="shared" si="4"/>
        <v/>
      </c>
      <c r="J728" s="5" t="str">
        <f t="shared" si="5"/>
        <v/>
      </c>
      <c r="K728" s="5" t="str">
        <f>IFERROR(__xludf.DUMMYFUNCTION("IF(C728&lt;&gt;"""",HYPERLINK(""https://wa.me/507""&amp;REGEXREPLACE(C728,""[^0-9]"","""")&amp;""?text=""&amp;ENCODEURL(""Ya llegue. Codigo: ""&amp;A728&amp;"". Ubicacion: ""&amp;""https://www.google.com/maps/search/?api=1&amp;query=""&amp;SUBSTITUTE(F728,"" "","""")),""📲 Avisar al cliente"""&amp;"),"""")"),"")</f>
        <v/>
      </c>
      <c r="L728" s="5" t="str">
        <f>IFERROR(__xludf.DUMMYFUNCTION("IF(C728&lt;&gt;"""",""https://api.qrserver.com/v1/create-qr-code/?size=200x200&amp;data=""&amp;ENCODEURL(""https://wa.me/507""&amp;REGEXREPLACE(C728,""[^0-9]"","""")&amp;""?text=""&amp;ENCODEURL(""Ya llegue. Codigo: ""&amp;A728&amp;"". Ubicacion: ""&amp;""https://www.google.com/maps/search/?a"&amp;"pi=1&amp;query=""&amp;SUBSTITUTE(F728,"" "",""""))),"""")"),"")</f>
        <v/>
      </c>
      <c r="M728" s="5" t="str">
        <f t="shared" si="6"/>
        <v/>
      </c>
      <c r="N728" s="5" t="str">
        <f>IFERROR(__xludf.DUMMYFUNCTION("IF(AND(F728&lt;&gt;"""",REGEXMATCH(SUBSTITUTE(F728,"" "",""""),""^-?\d+(\.\d+)?,-?\d+(\.\d+)?$""),VALUE(REGEXEXTRACT(SUBSTITUTE(F728,"" "",""""),""^-?\d+(\.\d+)?""))&gt;=-90,VALUE(REGEXEXTRACT(SUBSTITUTE(F728,"" "",""""),""^-?\d+(\.\d+)?""))&lt;=90,VALUE(REGEXEXTRACT"&amp;"(SUBSTITUTE(F728,"" "",""""),""-?\d+(\.\d+)?$""))&gt;=-180,VALUE(REGEXEXTRACT(SUBSTITUTE(F728,"" "",""""),""-?\d+(\.\d+)?$""))&lt;=180),""OK"",""REVISAR"")"),"#N/A")</f>
        <v>#N/A</v>
      </c>
    </row>
    <row r="729" ht="15.75" customHeight="1">
      <c r="A729" s="5" t="str">
        <f t="shared" si="1"/>
        <v>AD507-0727</v>
      </c>
      <c r="C729" s="5"/>
      <c r="F729" s="5"/>
      <c r="G729" s="5" t="str">
        <f t="shared" si="2"/>
        <v/>
      </c>
      <c r="H729" s="5" t="str">
        <f t="shared" si="3"/>
        <v/>
      </c>
      <c r="I729" s="5" t="str">
        <f t="shared" si="4"/>
        <v/>
      </c>
      <c r="J729" s="5" t="str">
        <f t="shared" si="5"/>
        <v/>
      </c>
      <c r="K729" s="5" t="str">
        <f>IFERROR(__xludf.DUMMYFUNCTION("IF(C729&lt;&gt;"""",HYPERLINK(""https://wa.me/507""&amp;REGEXREPLACE(C729,""[^0-9]"","""")&amp;""?text=""&amp;ENCODEURL(""Ya llegue. Codigo: ""&amp;A729&amp;"". Ubicacion: ""&amp;""https://www.google.com/maps/search/?api=1&amp;query=""&amp;SUBSTITUTE(F729,"" "","""")),""📲 Avisar al cliente"""&amp;"),"""")"),"")</f>
        <v/>
      </c>
      <c r="L729" s="5" t="str">
        <f>IFERROR(__xludf.DUMMYFUNCTION("IF(C729&lt;&gt;"""",""https://api.qrserver.com/v1/create-qr-code/?size=200x200&amp;data=""&amp;ENCODEURL(""https://wa.me/507""&amp;REGEXREPLACE(C729,""[^0-9]"","""")&amp;""?text=""&amp;ENCODEURL(""Ya llegue. Codigo: ""&amp;A729&amp;"". Ubicacion: ""&amp;""https://www.google.com/maps/search/?a"&amp;"pi=1&amp;query=""&amp;SUBSTITUTE(F729,"" "",""""))),"""")"),"")</f>
        <v/>
      </c>
      <c r="M729" s="5" t="str">
        <f t="shared" si="6"/>
        <v/>
      </c>
      <c r="N729" s="5" t="str">
        <f>IFERROR(__xludf.DUMMYFUNCTION("IF(AND(F729&lt;&gt;"""",REGEXMATCH(SUBSTITUTE(F729,"" "",""""),""^-?\d+(\.\d+)?,-?\d+(\.\d+)?$""),VALUE(REGEXEXTRACT(SUBSTITUTE(F729,"" "",""""),""^-?\d+(\.\d+)?""))&gt;=-90,VALUE(REGEXEXTRACT(SUBSTITUTE(F729,"" "",""""),""^-?\d+(\.\d+)?""))&lt;=90,VALUE(REGEXEXTRACT"&amp;"(SUBSTITUTE(F729,"" "",""""),""-?\d+(\.\d+)?$""))&gt;=-180,VALUE(REGEXEXTRACT(SUBSTITUTE(F729,"" "",""""),""-?\d+(\.\d+)?$""))&lt;=180),""OK"",""REVISAR"")"),"#N/A")</f>
        <v>#N/A</v>
      </c>
    </row>
    <row r="730" ht="15.75" customHeight="1">
      <c r="A730" s="5" t="str">
        <f t="shared" si="1"/>
        <v>AD507-0728</v>
      </c>
      <c r="C730" s="5"/>
      <c r="F730" s="5"/>
      <c r="G730" s="5" t="str">
        <f t="shared" si="2"/>
        <v/>
      </c>
      <c r="H730" s="5" t="str">
        <f t="shared" si="3"/>
        <v/>
      </c>
      <c r="I730" s="5" t="str">
        <f t="shared" si="4"/>
        <v/>
      </c>
      <c r="J730" s="5" t="str">
        <f t="shared" si="5"/>
        <v/>
      </c>
      <c r="K730" s="5" t="str">
        <f>IFERROR(__xludf.DUMMYFUNCTION("IF(C730&lt;&gt;"""",HYPERLINK(""https://wa.me/507""&amp;REGEXREPLACE(C730,""[^0-9]"","""")&amp;""?text=""&amp;ENCODEURL(""Ya llegue. Codigo: ""&amp;A730&amp;"". Ubicacion: ""&amp;""https://www.google.com/maps/search/?api=1&amp;query=""&amp;SUBSTITUTE(F730,"" "","""")),""📲 Avisar al cliente"""&amp;"),"""")"),"")</f>
        <v/>
      </c>
      <c r="L730" s="5" t="str">
        <f>IFERROR(__xludf.DUMMYFUNCTION("IF(C730&lt;&gt;"""",""https://api.qrserver.com/v1/create-qr-code/?size=200x200&amp;data=""&amp;ENCODEURL(""https://wa.me/507""&amp;REGEXREPLACE(C730,""[^0-9]"","""")&amp;""?text=""&amp;ENCODEURL(""Ya llegue. Codigo: ""&amp;A730&amp;"". Ubicacion: ""&amp;""https://www.google.com/maps/search/?a"&amp;"pi=1&amp;query=""&amp;SUBSTITUTE(F730,"" "",""""))),"""")"),"")</f>
        <v/>
      </c>
      <c r="M730" s="5" t="str">
        <f t="shared" si="6"/>
        <v/>
      </c>
      <c r="N730" s="5" t="str">
        <f>IFERROR(__xludf.DUMMYFUNCTION("IF(AND(F730&lt;&gt;"""",REGEXMATCH(SUBSTITUTE(F730,"" "",""""),""^-?\d+(\.\d+)?,-?\d+(\.\d+)?$""),VALUE(REGEXEXTRACT(SUBSTITUTE(F730,"" "",""""),""^-?\d+(\.\d+)?""))&gt;=-90,VALUE(REGEXEXTRACT(SUBSTITUTE(F730,"" "",""""),""^-?\d+(\.\d+)?""))&lt;=90,VALUE(REGEXEXTRACT"&amp;"(SUBSTITUTE(F730,"" "",""""),""-?\d+(\.\d+)?$""))&gt;=-180,VALUE(REGEXEXTRACT(SUBSTITUTE(F730,"" "",""""),""-?\d+(\.\d+)?$""))&lt;=180),""OK"",""REVISAR"")"),"#N/A")</f>
        <v>#N/A</v>
      </c>
    </row>
    <row r="731" ht="15.75" customHeight="1">
      <c r="A731" s="5" t="str">
        <f t="shared" si="1"/>
        <v>AD507-0729</v>
      </c>
      <c r="C731" s="5"/>
      <c r="F731" s="5"/>
      <c r="G731" s="5" t="str">
        <f t="shared" si="2"/>
        <v/>
      </c>
      <c r="H731" s="5" t="str">
        <f t="shared" si="3"/>
        <v/>
      </c>
      <c r="I731" s="5" t="str">
        <f t="shared" si="4"/>
        <v/>
      </c>
      <c r="J731" s="5" t="str">
        <f t="shared" si="5"/>
        <v/>
      </c>
      <c r="K731" s="5" t="str">
        <f>IFERROR(__xludf.DUMMYFUNCTION("IF(C731&lt;&gt;"""",HYPERLINK(""https://wa.me/507""&amp;REGEXREPLACE(C731,""[^0-9]"","""")&amp;""?text=""&amp;ENCODEURL(""Ya llegue. Codigo: ""&amp;A731&amp;"". Ubicacion: ""&amp;""https://www.google.com/maps/search/?api=1&amp;query=""&amp;SUBSTITUTE(F731,"" "","""")),""📲 Avisar al cliente"""&amp;"),"""")"),"")</f>
        <v/>
      </c>
      <c r="L731" s="5" t="str">
        <f>IFERROR(__xludf.DUMMYFUNCTION("IF(C731&lt;&gt;"""",""https://api.qrserver.com/v1/create-qr-code/?size=200x200&amp;data=""&amp;ENCODEURL(""https://wa.me/507""&amp;REGEXREPLACE(C731,""[^0-9]"","""")&amp;""?text=""&amp;ENCODEURL(""Ya llegue. Codigo: ""&amp;A731&amp;"". Ubicacion: ""&amp;""https://www.google.com/maps/search/?a"&amp;"pi=1&amp;query=""&amp;SUBSTITUTE(F731,"" "",""""))),"""")"),"")</f>
        <v/>
      </c>
      <c r="M731" s="5" t="str">
        <f t="shared" si="6"/>
        <v/>
      </c>
      <c r="N731" s="5" t="str">
        <f>IFERROR(__xludf.DUMMYFUNCTION("IF(AND(F731&lt;&gt;"""",REGEXMATCH(SUBSTITUTE(F731,"" "",""""),""^-?\d+(\.\d+)?,-?\d+(\.\d+)?$""),VALUE(REGEXEXTRACT(SUBSTITUTE(F731,"" "",""""),""^-?\d+(\.\d+)?""))&gt;=-90,VALUE(REGEXEXTRACT(SUBSTITUTE(F731,"" "",""""),""^-?\d+(\.\d+)?""))&lt;=90,VALUE(REGEXEXTRACT"&amp;"(SUBSTITUTE(F731,"" "",""""),""-?\d+(\.\d+)?$""))&gt;=-180,VALUE(REGEXEXTRACT(SUBSTITUTE(F731,"" "",""""),""-?\d+(\.\d+)?$""))&lt;=180),""OK"",""REVISAR"")"),"#N/A")</f>
        <v>#N/A</v>
      </c>
    </row>
    <row r="732" ht="15.75" customHeight="1">
      <c r="A732" s="5" t="str">
        <f t="shared" si="1"/>
        <v>AD507-0730</v>
      </c>
      <c r="C732" s="5"/>
      <c r="F732" s="5"/>
      <c r="G732" s="5" t="str">
        <f t="shared" si="2"/>
        <v/>
      </c>
      <c r="H732" s="5" t="str">
        <f t="shared" si="3"/>
        <v/>
      </c>
      <c r="I732" s="5" t="str">
        <f t="shared" si="4"/>
        <v/>
      </c>
      <c r="J732" s="5" t="str">
        <f t="shared" si="5"/>
        <v/>
      </c>
      <c r="K732" s="5" t="str">
        <f>IFERROR(__xludf.DUMMYFUNCTION("IF(C732&lt;&gt;"""",HYPERLINK(""https://wa.me/507""&amp;REGEXREPLACE(C732,""[^0-9]"","""")&amp;""?text=""&amp;ENCODEURL(""Ya llegue. Codigo: ""&amp;A732&amp;"". Ubicacion: ""&amp;""https://www.google.com/maps/search/?api=1&amp;query=""&amp;SUBSTITUTE(F732,"" "","""")),""📲 Avisar al cliente"""&amp;"),"""")"),"")</f>
        <v/>
      </c>
      <c r="L732" s="5" t="str">
        <f>IFERROR(__xludf.DUMMYFUNCTION("IF(C732&lt;&gt;"""",""https://api.qrserver.com/v1/create-qr-code/?size=200x200&amp;data=""&amp;ENCODEURL(""https://wa.me/507""&amp;REGEXREPLACE(C732,""[^0-9]"","""")&amp;""?text=""&amp;ENCODEURL(""Ya llegue. Codigo: ""&amp;A732&amp;"". Ubicacion: ""&amp;""https://www.google.com/maps/search/?a"&amp;"pi=1&amp;query=""&amp;SUBSTITUTE(F732,"" "",""""))),"""")"),"")</f>
        <v/>
      </c>
      <c r="M732" s="5" t="str">
        <f t="shared" si="6"/>
        <v/>
      </c>
      <c r="N732" s="5" t="str">
        <f>IFERROR(__xludf.DUMMYFUNCTION("IF(AND(F732&lt;&gt;"""",REGEXMATCH(SUBSTITUTE(F732,"" "",""""),""^-?\d+(\.\d+)?,-?\d+(\.\d+)?$""),VALUE(REGEXEXTRACT(SUBSTITUTE(F732,"" "",""""),""^-?\d+(\.\d+)?""))&gt;=-90,VALUE(REGEXEXTRACT(SUBSTITUTE(F732,"" "",""""),""^-?\d+(\.\d+)?""))&lt;=90,VALUE(REGEXEXTRACT"&amp;"(SUBSTITUTE(F732,"" "",""""),""-?\d+(\.\d+)?$""))&gt;=-180,VALUE(REGEXEXTRACT(SUBSTITUTE(F732,"" "",""""),""-?\d+(\.\d+)?$""))&lt;=180),""OK"",""REVISAR"")"),"#N/A")</f>
        <v>#N/A</v>
      </c>
    </row>
    <row r="733" ht="15.75" customHeight="1">
      <c r="A733" s="5" t="str">
        <f t="shared" si="1"/>
        <v>AD507-0731</v>
      </c>
      <c r="C733" s="5"/>
      <c r="F733" s="5"/>
      <c r="G733" s="5" t="str">
        <f t="shared" si="2"/>
        <v/>
      </c>
      <c r="H733" s="5" t="str">
        <f t="shared" si="3"/>
        <v/>
      </c>
      <c r="I733" s="5" t="str">
        <f t="shared" si="4"/>
        <v/>
      </c>
      <c r="J733" s="5" t="str">
        <f t="shared" si="5"/>
        <v/>
      </c>
      <c r="K733" s="5" t="str">
        <f>IFERROR(__xludf.DUMMYFUNCTION("IF(C733&lt;&gt;"""",HYPERLINK(""https://wa.me/507""&amp;REGEXREPLACE(C733,""[^0-9]"","""")&amp;""?text=""&amp;ENCODEURL(""Ya llegue. Codigo: ""&amp;A733&amp;"". Ubicacion: ""&amp;""https://www.google.com/maps/search/?api=1&amp;query=""&amp;SUBSTITUTE(F733,"" "","""")),""📲 Avisar al cliente"""&amp;"),"""")"),"")</f>
        <v/>
      </c>
      <c r="L733" s="5" t="str">
        <f>IFERROR(__xludf.DUMMYFUNCTION("IF(C733&lt;&gt;"""",""https://api.qrserver.com/v1/create-qr-code/?size=200x200&amp;data=""&amp;ENCODEURL(""https://wa.me/507""&amp;REGEXREPLACE(C733,""[^0-9]"","""")&amp;""?text=""&amp;ENCODEURL(""Ya llegue. Codigo: ""&amp;A733&amp;"". Ubicacion: ""&amp;""https://www.google.com/maps/search/?a"&amp;"pi=1&amp;query=""&amp;SUBSTITUTE(F733,"" "",""""))),"""")"),"")</f>
        <v/>
      </c>
      <c r="M733" s="5" t="str">
        <f t="shared" si="6"/>
        <v/>
      </c>
      <c r="N733" s="5" t="str">
        <f>IFERROR(__xludf.DUMMYFUNCTION("IF(AND(F733&lt;&gt;"""",REGEXMATCH(SUBSTITUTE(F733,"" "",""""),""^-?\d+(\.\d+)?,-?\d+(\.\d+)?$""),VALUE(REGEXEXTRACT(SUBSTITUTE(F733,"" "",""""),""^-?\d+(\.\d+)?""))&gt;=-90,VALUE(REGEXEXTRACT(SUBSTITUTE(F733,"" "",""""),""^-?\d+(\.\d+)?""))&lt;=90,VALUE(REGEXEXTRACT"&amp;"(SUBSTITUTE(F733,"" "",""""),""-?\d+(\.\d+)?$""))&gt;=-180,VALUE(REGEXEXTRACT(SUBSTITUTE(F733,"" "",""""),""-?\d+(\.\d+)?$""))&lt;=180),""OK"",""REVISAR"")"),"#N/A")</f>
        <v>#N/A</v>
      </c>
    </row>
    <row r="734" ht="15.75" customHeight="1">
      <c r="A734" s="5" t="str">
        <f t="shared" si="1"/>
        <v>AD507-0732</v>
      </c>
      <c r="C734" s="5"/>
      <c r="F734" s="5"/>
      <c r="G734" s="5" t="str">
        <f t="shared" si="2"/>
        <v/>
      </c>
      <c r="H734" s="5" t="str">
        <f t="shared" si="3"/>
        <v/>
      </c>
      <c r="I734" s="5" t="str">
        <f t="shared" si="4"/>
        <v/>
      </c>
      <c r="J734" s="5" t="str">
        <f t="shared" si="5"/>
        <v/>
      </c>
      <c r="K734" s="5" t="str">
        <f>IFERROR(__xludf.DUMMYFUNCTION("IF(C734&lt;&gt;"""",HYPERLINK(""https://wa.me/507""&amp;REGEXREPLACE(C734,""[^0-9]"","""")&amp;""?text=""&amp;ENCODEURL(""Ya llegue. Codigo: ""&amp;A734&amp;"". Ubicacion: ""&amp;""https://www.google.com/maps/search/?api=1&amp;query=""&amp;SUBSTITUTE(F734,"" "","""")),""📲 Avisar al cliente"""&amp;"),"""")"),"")</f>
        <v/>
      </c>
      <c r="L734" s="5" t="str">
        <f>IFERROR(__xludf.DUMMYFUNCTION("IF(C734&lt;&gt;"""",""https://api.qrserver.com/v1/create-qr-code/?size=200x200&amp;data=""&amp;ENCODEURL(""https://wa.me/507""&amp;REGEXREPLACE(C734,""[^0-9]"","""")&amp;""?text=""&amp;ENCODEURL(""Ya llegue. Codigo: ""&amp;A734&amp;"". Ubicacion: ""&amp;""https://www.google.com/maps/search/?a"&amp;"pi=1&amp;query=""&amp;SUBSTITUTE(F734,"" "",""""))),"""")"),"")</f>
        <v/>
      </c>
      <c r="M734" s="5" t="str">
        <f t="shared" si="6"/>
        <v/>
      </c>
      <c r="N734" s="5" t="str">
        <f>IFERROR(__xludf.DUMMYFUNCTION("IF(AND(F734&lt;&gt;"""",REGEXMATCH(SUBSTITUTE(F734,"" "",""""),""^-?\d+(\.\d+)?,-?\d+(\.\d+)?$""),VALUE(REGEXEXTRACT(SUBSTITUTE(F734,"" "",""""),""^-?\d+(\.\d+)?""))&gt;=-90,VALUE(REGEXEXTRACT(SUBSTITUTE(F734,"" "",""""),""^-?\d+(\.\d+)?""))&lt;=90,VALUE(REGEXEXTRACT"&amp;"(SUBSTITUTE(F734,"" "",""""),""-?\d+(\.\d+)?$""))&gt;=-180,VALUE(REGEXEXTRACT(SUBSTITUTE(F734,"" "",""""),""-?\d+(\.\d+)?$""))&lt;=180),""OK"",""REVISAR"")"),"#N/A")</f>
        <v>#N/A</v>
      </c>
    </row>
    <row r="735" ht="15.75" customHeight="1">
      <c r="A735" s="5" t="str">
        <f t="shared" si="1"/>
        <v>AD507-0733</v>
      </c>
      <c r="C735" s="5"/>
      <c r="F735" s="5"/>
      <c r="G735" s="5" t="str">
        <f t="shared" si="2"/>
        <v/>
      </c>
      <c r="H735" s="5" t="str">
        <f t="shared" si="3"/>
        <v/>
      </c>
      <c r="I735" s="5" t="str">
        <f t="shared" si="4"/>
        <v/>
      </c>
      <c r="J735" s="5" t="str">
        <f t="shared" si="5"/>
        <v/>
      </c>
      <c r="K735" s="5" t="str">
        <f>IFERROR(__xludf.DUMMYFUNCTION("IF(C735&lt;&gt;"""",HYPERLINK(""https://wa.me/507""&amp;REGEXREPLACE(C735,""[^0-9]"","""")&amp;""?text=""&amp;ENCODEURL(""Ya llegue. Codigo: ""&amp;A735&amp;"". Ubicacion: ""&amp;""https://www.google.com/maps/search/?api=1&amp;query=""&amp;SUBSTITUTE(F735,"" "","""")),""📲 Avisar al cliente"""&amp;"),"""")"),"")</f>
        <v/>
      </c>
      <c r="L735" s="5" t="str">
        <f>IFERROR(__xludf.DUMMYFUNCTION("IF(C735&lt;&gt;"""",""https://api.qrserver.com/v1/create-qr-code/?size=200x200&amp;data=""&amp;ENCODEURL(""https://wa.me/507""&amp;REGEXREPLACE(C735,""[^0-9]"","""")&amp;""?text=""&amp;ENCODEURL(""Ya llegue. Codigo: ""&amp;A735&amp;"". Ubicacion: ""&amp;""https://www.google.com/maps/search/?a"&amp;"pi=1&amp;query=""&amp;SUBSTITUTE(F735,"" "",""""))),"""")"),"")</f>
        <v/>
      </c>
      <c r="M735" s="5" t="str">
        <f t="shared" si="6"/>
        <v/>
      </c>
      <c r="N735" s="5" t="str">
        <f>IFERROR(__xludf.DUMMYFUNCTION("IF(AND(F735&lt;&gt;"""",REGEXMATCH(SUBSTITUTE(F735,"" "",""""),""^-?\d+(\.\d+)?,-?\d+(\.\d+)?$""),VALUE(REGEXEXTRACT(SUBSTITUTE(F735,"" "",""""),""^-?\d+(\.\d+)?""))&gt;=-90,VALUE(REGEXEXTRACT(SUBSTITUTE(F735,"" "",""""),""^-?\d+(\.\d+)?""))&lt;=90,VALUE(REGEXEXTRACT"&amp;"(SUBSTITUTE(F735,"" "",""""),""-?\d+(\.\d+)?$""))&gt;=-180,VALUE(REGEXEXTRACT(SUBSTITUTE(F735,"" "",""""),""-?\d+(\.\d+)?$""))&lt;=180),""OK"",""REVISAR"")"),"#N/A")</f>
        <v>#N/A</v>
      </c>
    </row>
    <row r="736" ht="15.75" customHeight="1">
      <c r="A736" s="5" t="str">
        <f t="shared" si="1"/>
        <v>AD507-0734</v>
      </c>
      <c r="C736" s="5"/>
      <c r="F736" s="5"/>
      <c r="G736" s="5" t="str">
        <f t="shared" si="2"/>
        <v/>
      </c>
      <c r="H736" s="5" t="str">
        <f t="shared" si="3"/>
        <v/>
      </c>
      <c r="I736" s="5" t="str">
        <f t="shared" si="4"/>
        <v/>
      </c>
      <c r="J736" s="5" t="str">
        <f t="shared" si="5"/>
        <v/>
      </c>
      <c r="K736" s="5" t="str">
        <f>IFERROR(__xludf.DUMMYFUNCTION("IF(C736&lt;&gt;"""",HYPERLINK(""https://wa.me/507""&amp;REGEXREPLACE(C736,""[^0-9]"","""")&amp;""?text=""&amp;ENCODEURL(""Ya llegue. Codigo: ""&amp;A736&amp;"". Ubicacion: ""&amp;""https://www.google.com/maps/search/?api=1&amp;query=""&amp;SUBSTITUTE(F736,"" "","""")),""📲 Avisar al cliente"""&amp;"),"""")"),"")</f>
        <v/>
      </c>
      <c r="L736" s="5" t="str">
        <f>IFERROR(__xludf.DUMMYFUNCTION("IF(C736&lt;&gt;"""",""https://api.qrserver.com/v1/create-qr-code/?size=200x200&amp;data=""&amp;ENCODEURL(""https://wa.me/507""&amp;REGEXREPLACE(C736,""[^0-9]"","""")&amp;""?text=""&amp;ENCODEURL(""Ya llegue. Codigo: ""&amp;A736&amp;"". Ubicacion: ""&amp;""https://www.google.com/maps/search/?a"&amp;"pi=1&amp;query=""&amp;SUBSTITUTE(F736,"" "",""""))),"""")"),"")</f>
        <v/>
      </c>
      <c r="M736" s="5" t="str">
        <f t="shared" si="6"/>
        <v/>
      </c>
      <c r="N736" s="5" t="str">
        <f>IFERROR(__xludf.DUMMYFUNCTION("IF(AND(F736&lt;&gt;"""",REGEXMATCH(SUBSTITUTE(F736,"" "",""""),""^-?\d+(\.\d+)?,-?\d+(\.\d+)?$""),VALUE(REGEXEXTRACT(SUBSTITUTE(F736,"" "",""""),""^-?\d+(\.\d+)?""))&gt;=-90,VALUE(REGEXEXTRACT(SUBSTITUTE(F736,"" "",""""),""^-?\d+(\.\d+)?""))&lt;=90,VALUE(REGEXEXTRACT"&amp;"(SUBSTITUTE(F736,"" "",""""),""-?\d+(\.\d+)?$""))&gt;=-180,VALUE(REGEXEXTRACT(SUBSTITUTE(F736,"" "",""""),""-?\d+(\.\d+)?$""))&lt;=180),""OK"",""REVISAR"")"),"#N/A")</f>
        <v>#N/A</v>
      </c>
    </row>
    <row r="737" ht="15.75" customHeight="1">
      <c r="A737" s="5" t="str">
        <f t="shared" si="1"/>
        <v>AD507-0735</v>
      </c>
      <c r="C737" s="5"/>
      <c r="F737" s="5"/>
      <c r="G737" s="5" t="str">
        <f t="shared" si="2"/>
        <v/>
      </c>
      <c r="H737" s="5" t="str">
        <f t="shared" si="3"/>
        <v/>
      </c>
      <c r="I737" s="5" t="str">
        <f t="shared" si="4"/>
        <v/>
      </c>
      <c r="J737" s="5" t="str">
        <f t="shared" si="5"/>
        <v/>
      </c>
      <c r="K737" s="5" t="str">
        <f>IFERROR(__xludf.DUMMYFUNCTION("IF(C737&lt;&gt;"""",HYPERLINK(""https://wa.me/507""&amp;REGEXREPLACE(C737,""[^0-9]"","""")&amp;""?text=""&amp;ENCODEURL(""Ya llegue. Codigo: ""&amp;A737&amp;"". Ubicacion: ""&amp;""https://www.google.com/maps/search/?api=1&amp;query=""&amp;SUBSTITUTE(F737,"" "","""")),""📲 Avisar al cliente"""&amp;"),"""")"),"")</f>
        <v/>
      </c>
      <c r="L737" s="5" t="str">
        <f>IFERROR(__xludf.DUMMYFUNCTION("IF(C737&lt;&gt;"""",""https://api.qrserver.com/v1/create-qr-code/?size=200x200&amp;data=""&amp;ENCODEURL(""https://wa.me/507""&amp;REGEXREPLACE(C737,""[^0-9]"","""")&amp;""?text=""&amp;ENCODEURL(""Ya llegue. Codigo: ""&amp;A737&amp;"". Ubicacion: ""&amp;""https://www.google.com/maps/search/?a"&amp;"pi=1&amp;query=""&amp;SUBSTITUTE(F737,"" "",""""))),"""")"),"")</f>
        <v/>
      </c>
      <c r="M737" s="5" t="str">
        <f t="shared" si="6"/>
        <v/>
      </c>
      <c r="N737" s="5" t="str">
        <f>IFERROR(__xludf.DUMMYFUNCTION("IF(AND(F737&lt;&gt;"""",REGEXMATCH(SUBSTITUTE(F737,"" "",""""),""^-?\d+(\.\d+)?,-?\d+(\.\d+)?$""),VALUE(REGEXEXTRACT(SUBSTITUTE(F737,"" "",""""),""^-?\d+(\.\d+)?""))&gt;=-90,VALUE(REGEXEXTRACT(SUBSTITUTE(F737,"" "",""""),""^-?\d+(\.\d+)?""))&lt;=90,VALUE(REGEXEXTRACT"&amp;"(SUBSTITUTE(F737,"" "",""""),""-?\d+(\.\d+)?$""))&gt;=-180,VALUE(REGEXEXTRACT(SUBSTITUTE(F737,"" "",""""),""-?\d+(\.\d+)?$""))&lt;=180),""OK"",""REVISAR"")"),"#N/A")</f>
        <v>#N/A</v>
      </c>
    </row>
    <row r="738" ht="15.75" customHeight="1">
      <c r="A738" s="5" t="str">
        <f t="shared" si="1"/>
        <v>AD507-0736</v>
      </c>
      <c r="C738" s="5"/>
      <c r="F738" s="5"/>
      <c r="G738" s="5" t="str">
        <f t="shared" si="2"/>
        <v/>
      </c>
      <c r="H738" s="5" t="str">
        <f t="shared" si="3"/>
        <v/>
      </c>
      <c r="I738" s="5" t="str">
        <f t="shared" si="4"/>
        <v/>
      </c>
      <c r="J738" s="5" t="str">
        <f t="shared" si="5"/>
        <v/>
      </c>
      <c r="K738" s="5" t="str">
        <f>IFERROR(__xludf.DUMMYFUNCTION("IF(C738&lt;&gt;"""",HYPERLINK(""https://wa.me/507""&amp;REGEXREPLACE(C738,""[^0-9]"","""")&amp;""?text=""&amp;ENCODEURL(""Ya llegue. Codigo: ""&amp;A738&amp;"". Ubicacion: ""&amp;""https://www.google.com/maps/search/?api=1&amp;query=""&amp;SUBSTITUTE(F738,"" "","""")),""📲 Avisar al cliente"""&amp;"),"""")"),"")</f>
        <v/>
      </c>
      <c r="L738" s="5" t="str">
        <f>IFERROR(__xludf.DUMMYFUNCTION("IF(C738&lt;&gt;"""",""https://api.qrserver.com/v1/create-qr-code/?size=200x200&amp;data=""&amp;ENCODEURL(""https://wa.me/507""&amp;REGEXREPLACE(C738,""[^0-9]"","""")&amp;""?text=""&amp;ENCODEURL(""Ya llegue. Codigo: ""&amp;A738&amp;"". Ubicacion: ""&amp;""https://www.google.com/maps/search/?a"&amp;"pi=1&amp;query=""&amp;SUBSTITUTE(F738,"" "",""""))),"""")"),"")</f>
        <v/>
      </c>
      <c r="M738" s="5" t="str">
        <f t="shared" si="6"/>
        <v/>
      </c>
      <c r="N738" s="5" t="str">
        <f>IFERROR(__xludf.DUMMYFUNCTION("IF(AND(F738&lt;&gt;"""",REGEXMATCH(SUBSTITUTE(F738,"" "",""""),""^-?\d+(\.\d+)?,-?\d+(\.\d+)?$""),VALUE(REGEXEXTRACT(SUBSTITUTE(F738,"" "",""""),""^-?\d+(\.\d+)?""))&gt;=-90,VALUE(REGEXEXTRACT(SUBSTITUTE(F738,"" "",""""),""^-?\d+(\.\d+)?""))&lt;=90,VALUE(REGEXEXTRACT"&amp;"(SUBSTITUTE(F738,"" "",""""),""-?\d+(\.\d+)?$""))&gt;=-180,VALUE(REGEXEXTRACT(SUBSTITUTE(F738,"" "",""""),""-?\d+(\.\d+)?$""))&lt;=180),""OK"",""REVISAR"")"),"#N/A")</f>
        <v>#N/A</v>
      </c>
    </row>
    <row r="739" ht="15.75" customHeight="1">
      <c r="A739" s="5" t="str">
        <f t="shared" si="1"/>
        <v>AD507-0737</v>
      </c>
      <c r="C739" s="5"/>
      <c r="F739" s="5"/>
      <c r="G739" s="5" t="str">
        <f t="shared" si="2"/>
        <v/>
      </c>
      <c r="H739" s="5" t="str">
        <f t="shared" si="3"/>
        <v/>
      </c>
      <c r="I739" s="5" t="str">
        <f t="shared" si="4"/>
        <v/>
      </c>
      <c r="J739" s="5" t="str">
        <f t="shared" si="5"/>
        <v/>
      </c>
      <c r="K739" s="5" t="str">
        <f>IFERROR(__xludf.DUMMYFUNCTION("IF(C739&lt;&gt;"""",HYPERLINK(""https://wa.me/507""&amp;REGEXREPLACE(C739,""[^0-9]"","""")&amp;""?text=""&amp;ENCODEURL(""Ya llegue. Codigo: ""&amp;A739&amp;"". Ubicacion: ""&amp;""https://www.google.com/maps/search/?api=1&amp;query=""&amp;SUBSTITUTE(F739,"" "","""")),""📲 Avisar al cliente"""&amp;"),"""")"),"")</f>
        <v/>
      </c>
      <c r="L739" s="5" t="str">
        <f>IFERROR(__xludf.DUMMYFUNCTION("IF(C739&lt;&gt;"""",""https://api.qrserver.com/v1/create-qr-code/?size=200x200&amp;data=""&amp;ENCODEURL(""https://wa.me/507""&amp;REGEXREPLACE(C739,""[^0-9]"","""")&amp;""?text=""&amp;ENCODEURL(""Ya llegue. Codigo: ""&amp;A739&amp;"". Ubicacion: ""&amp;""https://www.google.com/maps/search/?a"&amp;"pi=1&amp;query=""&amp;SUBSTITUTE(F739,"" "",""""))),"""")"),"")</f>
        <v/>
      </c>
      <c r="M739" s="5" t="str">
        <f t="shared" si="6"/>
        <v/>
      </c>
      <c r="N739" s="5" t="str">
        <f>IFERROR(__xludf.DUMMYFUNCTION("IF(AND(F739&lt;&gt;"""",REGEXMATCH(SUBSTITUTE(F739,"" "",""""),""^-?\d+(\.\d+)?,-?\d+(\.\d+)?$""),VALUE(REGEXEXTRACT(SUBSTITUTE(F739,"" "",""""),""^-?\d+(\.\d+)?""))&gt;=-90,VALUE(REGEXEXTRACT(SUBSTITUTE(F739,"" "",""""),""^-?\d+(\.\d+)?""))&lt;=90,VALUE(REGEXEXTRACT"&amp;"(SUBSTITUTE(F739,"" "",""""),""-?\d+(\.\d+)?$""))&gt;=-180,VALUE(REGEXEXTRACT(SUBSTITUTE(F739,"" "",""""),""-?\d+(\.\d+)?$""))&lt;=180),""OK"",""REVISAR"")"),"#N/A")</f>
        <v>#N/A</v>
      </c>
    </row>
    <row r="740" ht="15.75" customHeight="1">
      <c r="A740" s="5" t="str">
        <f t="shared" si="1"/>
        <v>AD507-0738</v>
      </c>
      <c r="C740" s="5"/>
      <c r="F740" s="5"/>
      <c r="G740" s="5" t="str">
        <f t="shared" si="2"/>
        <v/>
      </c>
      <c r="H740" s="5" t="str">
        <f t="shared" si="3"/>
        <v/>
      </c>
      <c r="I740" s="5" t="str">
        <f t="shared" si="4"/>
        <v/>
      </c>
      <c r="J740" s="5" t="str">
        <f t="shared" si="5"/>
        <v/>
      </c>
      <c r="K740" s="5" t="str">
        <f>IFERROR(__xludf.DUMMYFUNCTION("IF(C740&lt;&gt;"""",HYPERLINK(""https://wa.me/507""&amp;REGEXREPLACE(C740,""[^0-9]"","""")&amp;""?text=""&amp;ENCODEURL(""Ya llegue. Codigo: ""&amp;A740&amp;"". Ubicacion: ""&amp;""https://www.google.com/maps/search/?api=1&amp;query=""&amp;SUBSTITUTE(F740,"" "","""")),""📲 Avisar al cliente"""&amp;"),"""")"),"")</f>
        <v/>
      </c>
      <c r="L740" s="5" t="str">
        <f>IFERROR(__xludf.DUMMYFUNCTION("IF(C740&lt;&gt;"""",""https://api.qrserver.com/v1/create-qr-code/?size=200x200&amp;data=""&amp;ENCODEURL(""https://wa.me/507""&amp;REGEXREPLACE(C740,""[^0-9]"","""")&amp;""?text=""&amp;ENCODEURL(""Ya llegue. Codigo: ""&amp;A740&amp;"". Ubicacion: ""&amp;""https://www.google.com/maps/search/?a"&amp;"pi=1&amp;query=""&amp;SUBSTITUTE(F740,"" "",""""))),"""")"),"")</f>
        <v/>
      </c>
      <c r="M740" s="5" t="str">
        <f t="shared" si="6"/>
        <v/>
      </c>
      <c r="N740" s="5" t="str">
        <f>IFERROR(__xludf.DUMMYFUNCTION("IF(AND(F740&lt;&gt;"""",REGEXMATCH(SUBSTITUTE(F740,"" "",""""),""^-?\d+(\.\d+)?,-?\d+(\.\d+)?$""),VALUE(REGEXEXTRACT(SUBSTITUTE(F740,"" "",""""),""^-?\d+(\.\d+)?""))&gt;=-90,VALUE(REGEXEXTRACT(SUBSTITUTE(F740,"" "",""""),""^-?\d+(\.\d+)?""))&lt;=90,VALUE(REGEXEXTRACT"&amp;"(SUBSTITUTE(F740,"" "",""""),""-?\d+(\.\d+)?$""))&gt;=-180,VALUE(REGEXEXTRACT(SUBSTITUTE(F740,"" "",""""),""-?\d+(\.\d+)?$""))&lt;=180),""OK"",""REVISAR"")"),"#N/A")</f>
        <v>#N/A</v>
      </c>
    </row>
    <row r="741" ht="15.75" customHeight="1">
      <c r="A741" s="5" t="str">
        <f t="shared" si="1"/>
        <v>AD507-0739</v>
      </c>
      <c r="C741" s="5"/>
      <c r="F741" s="5"/>
      <c r="G741" s="5" t="str">
        <f t="shared" si="2"/>
        <v/>
      </c>
      <c r="H741" s="5" t="str">
        <f t="shared" si="3"/>
        <v/>
      </c>
      <c r="I741" s="5" t="str">
        <f t="shared" si="4"/>
        <v/>
      </c>
      <c r="J741" s="5" t="str">
        <f t="shared" si="5"/>
        <v/>
      </c>
      <c r="K741" s="5" t="str">
        <f>IFERROR(__xludf.DUMMYFUNCTION("IF(C741&lt;&gt;"""",HYPERLINK(""https://wa.me/507""&amp;REGEXREPLACE(C741,""[^0-9]"","""")&amp;""?text=""&amp;ENCODEURL(""Ya llegue. Codigo: ""&amp;A741&amp;"". Ubicacion: ""&amp;""https://www.google.com/maps/search/?api=1&amp;query=""&amp;SUBSTITUTE(F741,"" "","""")),""📲 Avisar al cliente"""&amp;"),"""")"),"")</f>
        <v/>
      </c>
      <c r="L741" s="5" t="str">
        <f>IFERROR(__xludf.DUMMYFUNCTION("IF(C741&lt;&gt;"""",""https://api.qrserver.com/v1/create-qr-code/?size=200x200&amp;data=""&amp;ENCODEURL(""https://wa.me/507""&amp;REGEXREPLACE(C741,""[^0-9]"","""")&amp;""?text=""&amp;ENCODEURL(""Ya llegue. Codigo: ""&amp;A741&amp;"". Ubicacion: ""&amp;""https://www.google.com/maps/search/?a"&amp;"pi=1&amp;query=""&amp;SUBSTITUTE(F741,"" "",""""))),"""")"),"")</f>
        <v/>
      </c>
      <c r="M741" s="5" t="str">
        <f t="shared" si="6"/>
        <v/>
      </c>
      <c r="N741" s="5" t="str">
        <f>IFERROR(__xludf.DUMMYFUNCTION("IF(AND(F741&lt;&gt;"""",REGEXMATCH(SUBSTITUTE(F741,"" "",""""),""^-?\d+(\.\d+)?,-?\d+(\.\d+)?$""),VALUE(REGEXEXTRACT(SUBSTITUTE(F741,"" "",""""),""^-?\d+(\.\d+)?""))&gt;=-90,VALUE(REGEXEXTRACT(SUBSTITUTE(F741,"" "",""""),""^-?\d+(\.\d+)?""))&lt;=90,VALUE(REGEXEXTRACT"&amp;"(SUBSTITUTE(F741,"" "",""""),""-?\d+(\.\d+)?$""))&gt;=-180,VALUE(REGEXEXTRACT(SUBSTITUTE(F741,"" "",""""),""-?\d+(\.\d+)?$""))&lt;=180),""OK"",""REVISAR"")"),"#N/A")</f>
        <v>#N/A</v>
      </c>
    </row>
    <row r="742" ht="15.75" customHeight="1">
      <c r="A742" s="5" t="str">
        <f t="shared" si="1"/>
        <v>AD507-0740</v>
      </c>
      <c r="C742" s="5"/>
      <c r="F742" s="5"/>
      <c r="G742" s="5" t="str">
        <f t="shared" si="2"/>
        <v/>
      </c>
      <c r="H742" s="5" t="str">
        <f t="shared" si="3"/>
        <v/>
      </c>
      <c r="I742" s="5" t="str">
        <f t="shared" si="4"/>
        <v/>
      </c>
      <c r="J742" s="5" t="str">
        <f t="shared" si="5"/>
        <v/>
      </c>
      <c r="K742" s="5" t="str">
        <f>IFERROR(__xludf.DUMMYFUNCTION("IF(C742&lt;&gt;"""",HYPERLINK(""https://wa.me/507""&amp;REGEXREPLACE(C742,""[^0-9]"","""")&amp;""?text=""&amp;ENCODEURL(""Ya llegue. Codigo: ""&amp;A742&amp;"". Ubicacion: ""&amp;""https://www.google.com/maps/search/?api=1&amp;query=""&amp;SUBSTITUTE(F742,"" "","""")),""📲 Avisar al cliente"""&amp;"),"""")"),"")</f>
        <v/>
      </c>
      <c r="L742" s="5" t="str">
        <f>IFERROR(__xludf.DUMMYFUNCTION("IF(C742&lt;&gt;"""",""https://api.qrserver.com/v1/create-qr-code/?size=200x200&amp;data=""&amp;ENCODEURL(""https://wa.me/507""&amp;REGEXREPLACE(C742,""[^0-9]"","""")&amp;""?text=""&amp;ENCODEURL(""Ya llegue. Codigo: ""&amp;A742&amp;"". Ubicacion: ""&amp;""https://www.google.com/maps/search/?a"&amp;"pi=1&amp;query=""&amp;SUBSTITUTE(F742,"" "",""""))),"""")"),"")</f>
        <v/>
      </c>
      <c r="M742" s="5" t="str">
        <f t="shared" si="6"/>
        <v/>
      </c>
      <c r="N742" s="5" t="str">
        <f>IFERROR(__xludf.DUMMYFUNCTION("IF(AND(F742&lt;&gt;"""",REGEXMATCH(SUBSTITUTE(F742,"" "",""""),""^-?\d+(\.\d+)?,-?\d+(\.\d+)?$""),VALUE(REGEXEXTRACT(SUBSTITUTE(F742,"" "",""""),""^-?\d+(\.\d+)?""))&gt;=-90,VALUE(REGEXEXTRACT(SUBSTITUTE(F742,"" "",""""),""^-?\d+(\.\d+)?""))&lt;=90,VALUE(REGEXEXTRACT"&amp;"(SUBSTITUTE(F742,"" "",""""),""-?\d+(\.\d+)?$""))&gt;=-180,VALUE(REGEXEXTRACT(SUBSTITUTE(F742,"" "",""""),""-?\d+(\.\d+)?$""))&lt;=180),""OK"",""REVISAR"")"),"#N/A")</f>
        <v>#N/A</v>
      </c>
    </row>
    <row r="743" ht="15.75" customHeight="1">
      <c r="A743" s="5" t="str">
        <f t="shared" si="1"/>
        <v>AD507-0741</v>
      </c>
      <c r="C743" s="5"/>
      <c r="F743" s="5"/>
      <c r="G743" s="5" t="str">
        <f t="shared" si="2"/>
        <v/>
      </c>
      <c r="H743" s="5" t="str">
        <f t="shared" si="3"/>
        <v/>
      </c>
      <c r="I743" s="5" t="str">
        <f t="shared" si="4"/>
        <v/>
      </c>
      <c r="J743" s="5" t="str">
        <f t="shared" si="5"/>
        <v/>
      </c>
      <c r="K743" s="5" t="str">
        <f>IFERROR(__xludf.DUMMYFUNCTION("IF(C743&lt;&gt;"""",HYPERLINK(""https://wa.me/507""&amp;REGEXREPLACE(C743,""[^0-9]"","""")&amp;""?text=""&amp;ENCODEURL(""Ya llegue. Codigo: ""&amp;A743&amp;"". Ubicacion: ""&amp;""https://www.google.com/maps/search/?api=1&amp;query=""&amp;SUBSTITUTE(F743,"" "","""")),""📲 Avisar al cliente"""&amp;"),"""")"),"")</f>
        <v/>
      </c>
      <c r="L743" s="5" t="str">
        <f>IFERROR(__xludf.DUMMYFUNCTION("IF(C743&lt;&gt;"""",""https://api.qrserver.com/v1/create-qr-code/?size=200x200&amp;data=""&amp;ENCODEURL(""https://wa.me/507""&amp;REGEXREPLACE(C743,""[^0-9]"","""")&amp;""?text=""&amp;ENCODEURL(""Ya llegue. Codigo: ""&amp;A743&amp;"". Ubicacion: ""&amp;""https://www.google.com/maps/search/?a"&amp;"pi=1&amp;query=""&amp;SUBSTITUTE(F743,"" "",""""))),"""")"),"")</f>
        <v/>
      </c>
      <c r="M743" s="5" t="str">
        <f t="shared" si="6"/>
        <v/>
      </c>
      <c r="N743" s="5" t="str">
        <f>IFERROR(__xludf.DUMMYFUNCTION("IF(AND(F743&lt;&gt;"""",REGEXMATCH(SUBSTITUTE(F743,"" "",""""),""^-?\d+(\.\d+)?,-?\d+(\.\d+)?$""),VALUE(REGEXEXTRACT(SUBSTITUTE(F743,"" "",""""),""^-?\d+(\.\d+)?""))&gt;=-90,VALUE(REGEXEXTRACT(SUBSTITUTE(F743,"" "",""""),""^-?\d+(\.\d+)?""))&lt;=90,VALUE(REGEXEXTRACT"&amp;"(SUBSTITUTE(F743,"" "",""""),""-?\d+(\.\d+)?$""))&gt;=-180,VALUE(REGEXEXTRACT(SUBSTITUTE(F743,"" "",""""),""-?\d+(\.\d+)?$""))&lt;=180),""OK"",""REVISAR"")"),"#N/A")</f>
        <v>#N/A</v>
      </c>
    </row>
    <row r="744" ht="15.75" customHeight="1">
      <c r="A744" s="5" t="str">
        <f t="shared" si="1"/>
        <v>AD507-0742</v>
      </c>
      <c r="C744" s="5"/>
      <c r="F744" s="5"/>
      <c r="G744" s="5" t="str">
        <f t="shared" si="2"/>
        <v/>
      </c>
      <c r="H744" s="5" t="str">
        <f t="shared" si="3"/>
        <v/>
      </c>
      <c r="I744" s="5" t="str">
        <f t="shared" si="4"/>
        <v/>
      </c>
      <c r="J744" s="5" t="str">
        <f t="shared" si="5"/>
        <v/>
      </c>
      <c r="K744" s="5" t="str">
        <f>IFERROR(__xludf.DUMMYFUNCTION("IF(C744&lt;&gt;"""",HYPERLINK(""https://wa.me/507""&amp;REGEXREPLACE(C744,""[^0-9]"","""")&amp;""?text=""&amp;ENCODEURL(""Ya llegue. Codigo: ""&amp;A744&amp;"". Ubicacion: ""&amp;""https://www.google.com/maps/search/?api=1&amp;query=""&amp;SUBSTITUTE(F744,"" "","""")),""📲 Avisar al cliente"""&amp;"),"""")"),"")</f>
        <v/>
      </c>
      <c r="L744" s="5" t="str">
        <f>IFERROR(__xludf.DUMMYFUNCTION("IF(C744&lt;&gt;"""",""https://api.qrserver.com/v1/create-qr-code/?size=200x200&amp;data=""&amp;ENCODEURL(""https://wa.me/507""&amp;REGEXREPLACE(C744,""[^0-9]"","""")&amp;""?text=""&amp;ENCODEURL(""Ya llegue. Codigo: ""&amp;A744&amp;"". Ubicacion: ""&amp;""https://www.google.com/maps/search/?a"&amp;"pi=1&amp;query=""&amp;SUBSTITUTE(F744,"" "",""""))),"""")"),"")</f>
        <v/>
      </c>
      <c r="M744" s="5" t="str">
        <f t="shared" si="6"/>
        <v/>
      </c>
      <c r="N744" s="5" t="str">
        <f>IFERROR(__xludf.DUMMYFUNCTION("IF(AND(F744&lt;&gt;"""",REGEXMATCH(SUBSTITUTE(F744,"" "",""""),""^-?\d+(\.\d+)?,-?\d+(\.\d+)?$""),VALUE(REGEXEXTRACT(SUBSTITUTE(F744,"" "",""""),""^-?\d+(\.\d+)?""))&gt;=-90,VALUE(REGEXEXTRACT(SUBSTITUTE(F744,"" "",""""),""^-?\d+(\.\d+)?""))&lt;=90,VALUE(REGEXEXTRACT"&amp;"(SUBSTITUTE(F744,"" "",""""),""-?\d+(\.\d+)?$""))&gt;=-180,VALUE(REGEXEXTRACT(SUBSTITUTE(F744,"" "",""""),""-?\d+(\.\d+)?$""))&lt;=180),""OK"",""REVISAR"")"),"#N/A")</f>
        <v>#N/A</v>
      </c>
    </row>
    <row r="745" ht="15.75" customHeight="1">
      <c r="A745" s="5" t="str">
        <f t="shared" si="1"/>
        <v>AD507-0743</v>
      </c>
      <c r="C745" s="5"/>
      <c r="F745" s="5"/>
      <c r="G745" s="5" t="str">
        <f t="shared" si="2"/>
        <v/>
      </c>
      <c r="H745" s="5" t="str">
        <f t="shared" si="3"/>
        <v/>
      </c>
      <c r="I745" s="5" t="str">
        <f t="shared" si="4"/>
        <v/>
      </c>
      <c r="J745" s="5" t="str">
        <f t="shared" si="5"/>
        <v/>
      </c>
      <c r="K745" s="5" t="str">
        <f>IFERROR(__xludf.DUMMYFUNCTION("IF(C745&lt;&gt;"""",HYPERLINK(""https://wa.me/507""&amp;REGEXREPLACE(C745,""[^0-9]"","""")&amp;""?text=""&amp;ENCODEURL(""Ya llegue. Codigo: ""&amp;A745&amp;"". Ubicacion: ""&amp;""https://www.google.com/maps/search/?api=1&amp;query=""&amp;SUBSTITUTE(F745,"" "","""")),""📲 Avisar al cliente"""&amp;"),"""")"),"")</f>
        <v/>
      </c>
      <c r="L745" s="5" t="str">
        <f>IFERROR(__xludf.DUMMYFUNCTION("IF(C745&lt;&gt;"""",""https://api.qrserver.com/v1/create-qr-code/?size=200x200&amp;data=""&amp;ENCODEURL(""https://wa.me/507""&amp;REGEXREPLACE(C745,""[^0-9]"","""")&amp;""?text=""&amp;ENCODEURL(""Ya llegue. Codigo: ""&amp;A745&amp;"". Ubicacion: ""&amp;""https://www.google.com/maps/search/?a"&amp;"pi=1&amp;query=""&amp;SUBSTITUTE(F745,"" "",""""))),"""")"),"")</f>
        <v/>
      </c>
      <c r="M745" s="5" t="str">
        <f t="shared" si="6"/>
        <v/>
      </c>
      <c r="N745" s="5" t="str">
        <f>IFERROR(__xludf.DUMMYFUNCTION("IF(AND(F745&lt;&gt;"""",REGEXMATCH(SUBSTITUTE(F745,"" "",""""),""^-?\d+(\.\d+)?,-?\d+(\.\d+)?$""),VALUE(REGEXEXTRACT(SUBSTITUTE(F745,"" "",""""),""^-?\d+(\.\d+)?""))&gt;=-90,VALUE(REGEXEXTRACT(SUBSTITUTE(F745,"" "",""""),""^-?\d+(\.\d+)?""))&lt;=90,VALUE(REGEXEXTRACT"&amp;"(SUBSTITUTE(F745,"" "",""""),""-?\d+(\.\d+)?$""))&gt;=-180,VALUE(REGEXEXTRACT(SUBSTITUTE(F745,"" "",""""),""-?\d+(\.\d+)?$""))&lt;=180),""OK"",""REVISAR"")"),"#N/A")</f>
        <v>#N/A</v>
      </c>
    </row>
    <row r="746" ht="15.75" customHeight="1">
      <c r="A746" s="5" t="str">
        <f t="shared" si="1"/>
        <v>AD507-0744</v>
      </c>
      <c r="C746" s="5"/>
      <c r="F746" s="5"/>
      <c r="G746" s="5" t="str">
        <f t="shared" si="2"/>
        <v/>
      </c>
      <c r="H746" s="5" t="str">
        <f t="shared" si="3"/>
        <v/>
      </c>
      <c r="I746" s="5" t="str">
        <f t="shared" si="4"/>
        <v/>
      </c>
      <c r="J746" s="5" t="str">
        <f t="shared" si="5"/>
        <v/>
      </c>
      <c r="K746" s="5" t="str">
        <f>IFERROR(__xludf.DUMMYFUNCTION("IF(C746&lt;&gt;"""",HYPERLINK(""https://wa.me/507""&amp;REGEXREPLACE(C746,""[^0-9]"","""")&amp;""?text=""&amp;ENCODEURL(""Ya llegue. Codigo: ""&amp;A746&amp;"". Ubicacion: ""&amp;""https://www.google.com/maps/search/?api=1&amp;query=""&amp;SUBSTITUTE(F746,"" "","""")),""📲 Avisar al cliente"""&amp;"),"""")"),"")</f>
        <v/>
      </c>
      <c r="L746" s="5" t="str">
        <f>IFERROR(__xludf.DUMMYFUNCTION("IF(C746&lt;&gt;"""",""https://api.qrserver.com/v1/create-qr-code/?size=200x200&amp;data=""&amp;ENCODEURL(""https://wa.me/507""&amp;REGEXREPLACE(C746,""[^0-9]"","""")&amp;""?text=""&amp;ENCODEURL(""Ya llegue. Codigo: ""&amp;A746&amp;"". Ubicacion: ""&amp;""https://www.google.com/maps/search/?a"&amp;"pi=1&amp;query=""&amp;SUBSTITUTE(F746,"" "",""""))),"""")"),"")</f>
        <v/>
      </c>
      <c r="M746" s="5" t="str">
        <f t="shared" si="6"/>
        <v/>
      </c>
      <c r="N746" s="5" t="str">
        <f>IFERROR(__xludf.DUMMYFUNCTION("IF(AND(F746&lt;&gt;"""",REGEXMATCH(SUBSTITUTE(F746,"" "",""""),""^-?\d+(\.\d+)?,-?\d+(\.\d+)?$""),VALUE(REGEXEXTRACT(SUBSTITUTE(F746,"" "",""""),""^-?\d+(\.\d+)?""))&gt;=-90,VALUE(REGEXEXTRACT(SUBSTITUTE(F746,"" "",""""),""^-?\d+(\.\d+)?""))&lt;=90,VALUE(REGEXEXTRACT"&amp;"(SUBSTITUTE(F746,"" "",""""),""-?\d+(\.\d+)?$""))&gt;=-180,VALUE(REGEXEXTRACT(SUBSTITUTE(F746,"" "",""""),""-?\d+(\.\d+)?$""))&lt;=180),""OK"",""REVISAR"")"),"#N/A")</f>
        <v>#N/A</v>
      </c>
    </row>
    <row r="747" ht="15.75" customHeight="1">
      <c r="A747" s="5" t="str">
        <f t="shared" si="1"/>
        <v>AD507-0745</v>
      </c>
      <c r="C747" s="5"/>
      <c r="F747" s="5"/>
      <c r="G747" s="5" t="str">
        <f t="shared" si="2"/>
        <v/>
      </c>
      <c r="H747" s="5" t="str">
        <f t="shared" si="3"/>
        <v/>
      </c>
      <c r="I747" s="5" t="str">
        <f t="shared" si="4"/>
        <v/>
      </c>
      <c r="J747" s="5" t="str">
        <f t="shared" si="5"/>
        <v/>
      </c>
      <c r="K747" s="5" t="str">
        <f>IFERROR(__xludf.DUMMYFUNCTION("IF(C747&lt;&gt;"""",HYPERLINK(""https://wa.me/507""&amp;REGEXREPLACE(C747,""[^0-9]"","""")&amp;""?text=""&amp;ENCODEURL(""Ya llegue. Codigo: ""&amp;A747&amp;"". Ubicacion: ""&amp;""https://www.google.com/maps/search/?api=1&amp;query=""&amp;SUBSTITUTE(F747,"" "","""")),""📲 Avisar al cliente"""&amp;"),"""")"),"")</f>
        <v/>
      </c>
      <c r="L747" s="5" t="str">
        <f>IFERROR(__xludf.DUMMYFUNCTION("IF(C747&lt;&gt;"""",""https://api.qrserver.com/v1/create-qr-code/?size=200x200&amp;data=""&amp;ENCODEURL(""https://wa.me/507""&amp;REGEXREPLACE(C747,""[^0-9]"","""")&amp;""?text=""&amp;ENCODEURL(""Ya llegue. Codigo: ""&amp;A747&amp;"". Ubicacion: ""&amp;""https://www.google.com/maps/search/?a"&amp;"pi=1&amp;query=""&amp;SUBSTITUTE(F747,"" "",""""))),"""")"),"")</f>
        <v/>
      </c>
      <c r="M747" s="5" t="str">
        <f t="shared" si="6"/>
        <v/>
      </c>
      <c r="N747" s="5" t="str">
        <f>IFERROR(__xludf.DUMMYFUNCTION("IF(AND(F747&lt;&gt;"""",REGEXMATCH(SUBSTITUTE(F747,"" "",""""),""^-?\d+(\.\d+)?,-?\d+(\.\d+)?$""),VALUE(REGEXEXTRACT(SUBSTITUTE(F747,"" "",""""),""^-?\d+(\.\d+)?""))&gt;=-90,VALUE(REGEXEXTRACT(SUBSTITUTE(F747,"" "",""""),""^-?\d+(\.\d+)?""))&lt;=90,VALUE(REGEXEXTRACT"&amp;"(SUBSTITUTE(F747,"" "",""""),""-?\d+(\.\d+)?$""))&gt;=-180,VALUE(REGEXEXTRACT(SUBSTITUTE(F747,"" "",""""),""-?\d+(\.\d+)?$""))&lt;=180),""OK"",""REVISAR"")"),"#N/A")</f>
        <v>#N/A</v>
      </c>
    </row>
    <row r="748" ht="15.75" customHeight="1">
      <c r="A748" s="5" t="str">
        <f t="shared" si="1"/>
        <v>AD507-0746</v>
      </c>
      <c r="C748" s="5"/>
      <c r="F748" s="5"/>
      <c r="G748" s="5" t="str">
        <f t="shared" si="2"/>
        <v/>
      </c>
      <c r="H748" s="5" t="str">
        <f t="shared" si="3"/>
        <v/>
      </c>
      <c r="I748" s="5" t="str">
        <f t="shared" si="4"/>
        <v/>
      </c>
      <c r="J748" s="5" t="str">
        <f t="shared" si="5"/>
        <v/>
      </c>
      <c r="K748" s="5" t="str">
        <f>IFERROR(__xludf.DUMMYFUNCTION("IF(C748&lt;&gt;"""",HYPERLINK(""https://wa.me/507""&amp;REGEXREPLACE(C748,""[^0-9]"","""")&amp;""?text=""&amp;ENCODEURL(""Ya llegue. Codigo: ""&amp;A748&amp;"". Ubicacion: ""&amp;""https://www.google.com/maps/search/?api=1&amp;query=""&amp;SUBSTITUTE(F748,"" "","""")),""📲 Avisar al cliente"""&amp;"),"""")"),"")</f>
        <v/>
      </c>
      <c r="L748" s="5" t="str">
        <f>IFERROR(__xludf.DUMMYFUNCTION("IF(C748&lt;&gt;"""",""https://api.qrserver.com/v1/create-qr-code/?size=200x200&amp;data=""&amp;ENCODEURL(""https://wa.me/507""&amp;REGEXREPLACE(C748,""[^0-9]"","""")&amp;""?text=""&amp;ENCODEURL(""Ya llegue. Codigo: ""&amp;A748&amp;"". Ubicacion: ""&amp;""https://www.google.com/maps/search/?a"&amp;"pi=1&amp;query=""&amp;SUBSTITUTE(F748,"" "",""""))),"""")"),"")</f>
        <v/>
      </c>
      <c r="M748" s="5" t="str">
        <f t="shared" si="6"/>
        <v/>
      </c>
      <c r="N748" s="5" t="str">
        <f>IFERROR(__xludf.DUMMYFUNCTION("IF(AND(F748&lt;&gt;"""",REGEXMATCH(SUBSTITUTE(F748,"" "",""""),""^-?\d+(\.\d+)?,-?\d+(\.\d+)?$""),VALUE(REGEXEXTRACT(SUBSTITUTE(F748,"" "",""""),""^-?\d+(\.\d+)?""))&gt;=-90,VALUE(REGEXEXTRACT(SUBSTITUTE(F748,"" "",""""),""^-?\d+(\.\d+)?""))&lt;=90,VALUE(REGEXEXTRACT"&amp;"(SUBSTITUTE(F748,"" "",""""),""-?\d+(\.\d+)?$""))&gt;=-180,VALUE(REGEXEXTRACT(SUBSTITUTE(F748,"" "",""""),""-?\d+(\.\d+)?$""))&lt;=180),""OK"",""REVISAR"")"),"#N/A")</f>
        <v>#N/A</v>
      </c>
    </row>
    <row r="749" ht="15.75" customHeight="1">
      <c r="A749" s="5" t="str">
        <f t="shared" si="1"/>
        <v>AD507-0747</v>
      </c>
      <c r="C749" s="5"/>
      <c r="F749" s="5"/>
      <c r="G749" s="5" t="str">
        <f t="shared" si="2"/>
        <v/>
      </c>
      <c r="H749" s="5" t="str">
        <f t="shared" si="3"/>
        <v/>
      </c>
      <c r="I749" s="5" t="str">
        <f t="shared" si="4"/>
        <v/>
      </c>
      <c r="J749" s="5" t="str">
        <f t="shared" si="5"/>
        <v/>
      </c>
      <c r="K749" s="5" t="str">
        <f>IFERROR(__xludf.DUMMYFUNCTION("IF(C749&lt;&gt;"""",HYPERLINK(""https://wa.me/507""&amp;REGEXREPLACE(C749,""[^0-9]"","""")&amp;""?text=""&amp;ENCODEURL(""Ya llegue. Codigo: ""&amp;A749&amp;"". Ubicacion: ""&amp;""https://www.google.com/maps/search/?api=1&amp;query=""&amp;SUBSTITUTE(F749,"" "","""")),""📲 Avisar al cliente"""&amp;"),"""")"),"")</f>
        <v/>
      </c>
      <c r="L749" s="5" t="str">
        <f>IFERROR(__xludf.DUMMYFUNCTION("IF(C749&lt;&gt;"""",""https://api.qrserver.com/v1/create-qr-code/?size=200x200&amp;data=""&amp;ENCODEURL(""https://wa.me/507""&amp;REGEXREPLACE(C749,""[^0-9]"","""")&amp;""?text=""&amp;ENCODEURL(""Ya llegue. Codigo: ""&amp;A749&amp;"". Ubicacion: ""&amp;""https://www.google.com/maps/search/?a"&amp;"pi=1&amp;query=""&amp;SUBSTITUTE(F749,"" "",""""))),"""")"),"")</f>
        <v/>
      </c>
      <c r="M749" s="5" t="str">
        <f t="shared" si="6"/>
        <v/>
      </c>
      <c r="N749" s="5" t="str">
        <f>IFERROR(__xludf.DUMMYFUNCTION("IF(AND(F749&lt;&gt;"""",REGEXMATCH(SUBSTITUTE(F749,"" "",""""),""^-?\d+(\.\d+)?,-?\d+(\.\d+)?$""),VALUE(REGEXEXTRACT(SUBSTITUTE(F749,"" "",""""),""^-?\d+(\.\d+)?""))&gt;=-90,VALUE(REGEXEXTRACT(SUBSTITUTE(F749,"" "",""""),""^-?\d+(\.\d+)?""))&lt;=90,VALUE(REGEXEXTRACT"&amp;"(SUBSTITUTE(F749,"" "",""""),""-?\d+(\.\d+)?$""))&gt;=-180,VALUE(REGEXEXTRACT(SUBSTITUTE(F749,"" "",""""),""-?\d+(\.\d+)?$""))&lt;=180),""OK"",""REVISAR"")"),"#N/A")</f>
        <v>#N/A</v>
      </c>
    </row>
    <row r="750" ht="15.75" customHeight="1">
      <c r="A750" s="5" t="str">
        <f t="shared" si="1"/>
        <v>AD507-0748</v>
      </c>
      <c r="C750" s="5"/>
      <c r="F750" s="5"/>
      <c r="G750" s="5" t="str">
        <f t="shared" si="2"/>
        <v/>
      </c>
      <c r="H750" s="5" t="str">
        <f t="shared" si="3"/>
        <v/>
      </c>
      <c r="I750" s="5" t="str">
        <f t="shared" si="4"/>
        <v/>
      </c>
      <c r="J750" s="5" t="str">
        <f t="shared" si="5"/>
        <v/>
      </c>
      <c r="K750" s="5" t="str">
        <f>IFERROR(__xludf.DUMMYFUNCTION("IF(C750&lt;&gt;"""",HYPERLINK(""https://wa.me/507""&amp;REGEXREPLACE(C750,""[^0-9]"","""")&amp;""?text=""&amp;ENCODEURL(""Ya llegue. Codigo: ""&amp;A750&amp;"". Ubicacion: ""&amp;""https://www.google.com/maps/search/?api=1&amp;query=""&amp;SUBSTITUTE(F750,"" "","""")),""📲 Avisar al cliente"""&amp;"),"""")"),"")</f>
        <v/>
      </c>
      <c r="L750" s="5" t="str">
        <f>IFERROR(__xludf.DUMMYFUNCTION("IF(C750&lt;&gt;"""",""https://api.qrserver.com/v1/create-qr-code/?size=200x200&amp;data=""&amp;ENCODEURL(""https://wa.me/507""&amp;REGEXREPLACE(C750,""[^0-9]"","""")&amp;""?text=""&amp;ENCODEURL(""Ya llegue. Codigo: ""&amp;A750&amp;"". Ubicacion: ""&amp;""https://www.google.com/maps/search/?a"&amp;"pi=1&amp;query=""&amp;SUBSTITUTE(F750,"" "",""""))),"""")"),"")</f>
        <v/>
      </c>
      <c r="M750" s="5" t="str">
        <f t="shared" si="6"/>
        <v/>
      </c>
      <c r="N750" s="5" t="str">
        <f>IFERROR(__xludf.DUMMYFUNCTION("IF(AND(F750&lt;&gt;"""",REGEXMATCH(SUBSTITUTE(F750,"" "",""""),""^-?\d+(\.\d+)?,-?\d+(\.\d+)?$""),VALUE(REGEXEXTRACT(SUBSTITUTE(F750,"" "",""""),""^-?\d+(\.\d+)?""))&gt;=-90,VALUE(REGEXEXTRACT(SUBSTITUTE(F750,"" "",""""),""^-?\d+(\.\d+)?""))&lt;=90,VALUE(REGEXEXTRACT"&amp;"(SUBSTITUTE(F750,"" "",""""),""-?\d+(\.\d+)?$""))&gt;=-180,VALUE(REGEXEXTRACT(SUBSTITUTE(F750,"" "",""""),""-?\d+(\.\d+)?$""))&lt;=180),""OK"",""REVISAR"")"),"#N/A")</f>
        <v>#N/A</v>
      </c>
    </row>
    <row r="751" ht="15.75" customHeight="1">
      <c r="A751" s="5" t="str">
        <f t="shared" si="1"/>
        <v>AD507-0749</v>
      </c>
      <c r="C751" s="5"/>
      <c r="F751" s="5"/>
      <c r="G751" s="5" t="str">
        <f t="shared" si="2"/>
        <v/>
      </c>
      <c r="H751" s="5" t="str">
        <f t="shared" si="3"/>
        <v/>
      </c>
      <c r="I751" s="5" t="str">
        <f t="shared" si="4"/>
        <v/>
      </c>
      <c r="J751" s="5" t="str">
        <f t="shared" si="5"/>
        <v/>
      </c>
      <c r="K751" s="5" t="str">
        <f>IFERROR(__xludf.DUMMYFUNCTION("IF(C751&lt;&gt;"""",HYPERLINK(""https://wa.me/507""&amp;REGEXREPLACE(C751,""[^0-9]"","""")&amp;""?text=""&amp;ENCODEURL(""Ya llegue. Codigo: ""&amp;A751&amp;"". Ubicacion: ""&amp;""https://www.google.com/maps/search/?api=1&amp;query=""&amp;SUBSTITUTE(F751,"" "","""")),""📲 Avisar al cliente"""&amp;"),"""")"),"")</f>
        <v/>
      </c>
      <c r="L751" s="5" t="str">
        <f>IFERROR(__xludf.DUMMYFUNCTION("IF(C751&lt;&gt;"""",""https://api.qrserver.com/v1/create-qr-code/?size=200x200&amp;data=""&amp;ENCODEURL(""https://wa.me/507""&amp;REGEXREPLACE(C751,""[^0-9]"","""")&amp;""?text=""&amp;ENCODEURL(""Ya llegue. Codigo: ""&amp;A751&amp;"". Ubicacion: ""&amp;""https://www.google.com/maps/search/?a"&amp;"pi=1&amp;query=""&amp;SUBSTITUTE(F751,"" "",""""))),"""")"),"")</f>
        <v/>
      </c>
      <c r="M751" s="5" t="str">
        <f t="shared" si="6"/>
        <v/>
      </c>
      <c r="N751" s="5" t="str">
        <f>IFERROR(__xludf.DUMMYFUNCTION("IF(AND(F751&lt;&gt;"""",REGEXMATCH(SUBSTITUTE(F751,"" "",""""),""^-?\d+(\.\d+)?,-?\d+(\.\d+)?$""),VALUE(REGEXEXTRACT(SUBSTITUTE(F751,"" "",""""),""^-?\d+(\.\d+)?""))&gt;=-90,VALUE(REGEXEXTRACT(SUBSTITUTE(F751,"" "",""""),""^-?\d+(\.\d+)?""))&lt;=90,VALUE(REGEXEXTRACT"&amp;"(SUBSTITUTE(F751,"" "",""""),""-?\d+(\.\d+)?$""))&gt;=-180,VALUE(REGEXEXTRACT(SUBSTITUTE(F751,"" "",""""),""-?\d+(\.\d+)?$""))&lt;=180),""OK"",""REVISAR"")"),"#N/A")</f>
        <v>#N/A</v>
      </c>
    </row>
    <row r="752" ht="15.75" customHeight="1">
      <c r="A752" s="5" t="str">
        <f t="shared" si="1"/>
        <v>AD507-0750</v>
      </c>
      <c r="C752" s="5"/>
      <c r="F752" s="5"/>
      <c r="G752" s="5" t="str">
        <f t="shared" si="2"/>
        <v/>
      </c>
      <c r="H752" s="5" t="str">
        <f t="shared" si="3"/>
        <v/>
      </c>
      <c r="I752" s="5" t="str">
        <f t="shared" si="4"/>
        <v/>
      </c>
      <c r="J752" s="5" t="str">
        <f t="shared" si="5"/>
        <v/>
      </c>
      <c r="K752" s="5" t="str">
        <f>IFERROR(__xludf.DUMMYFUNCTION("IF(C752&lt;&gt;"""",HYPERLINK(""https://wa.me/507""&amp;REGEXREPLACE(C752,""[^0-9]"","""")&amp;""?text=""&amp;ENCODEURL(""Ya llegue. Codigo: ""&amp;A752&amp;"". Ubicacion: ""&amp;""https://www.google.com/maps/search/?api=1&amp;query=""&amp;SUBSTITUTE(F752,"" "","""")),""📲 Avisar al cliente"""&amp;"),"""")"),"")</f>
        <v/>
      </c>
      <c r="L752" s="5" t="str">
        <f>IFERROR(__xludf.DUMMYFUNCTION("IF(C752&lt;&gt;"""",""https://api.qrserver.com/v1/create-qr-code/?size=200x200&amp;data=""&amp;ENCODEURL(""https://wa.me/507""&amp;REGEXREPLACE(C752,""[^0-9]"","""")&amp;""?text=""&amp;ENCODEURL(""Ya llegue. Codigo: ""&amp;A752&amp;"". Ubicacion: ""&amp;""https://www.google.com/maps/search/?a"&amp;"pi=1&amp;query=""&amp;SUBSTITUTE(F752,"" "",""""))),"""")"),"")</f>
        <v/>
      </c>
      <c r="M752" s="5" t="str">
        <f t="shared" si="6"/>
        <v/>
      </c>
      <c r="N752" s="5" t="str">
        <f>IFERROR(__xludf.DUMMYFUNCTION("IF(AND(F752&lt;&gt;"""",REGEXMATCH(SUBSTITUTE(F752,"" "",""""),""^-?\d+(\.\d+)?,-?\d+(\.\d+)?$""),VALUE(REGEXEXTRACT(SUBSTITUTE(F752,"" "",""""),""^-?\d+(\.\d+)?""))&gt;=-90,VALUE(REGEXEXTRACT(SUBSTITUTE(F752,"" "",""""),""^-?\d+(\.\d+)?""))&lt;=90,VALUE(REGEXEXTRACT"&amp;"(SUBSTITUTE(F752,"" "",""""),""-?\d+(\.\d+)?$""))&gt;=-180,VALUE(REGEXEXTRACT(SUBSTITUTE(F752,"" "",""""),""-?\d+(\.\d+)?$""))&lt;=180),""OK"",""REVISAR"")"),"#N/A")</f>
        <v>#N/A</v>
      </c>
    </row>
    <row r="753" ht="15.75" customHeight="1">
      <c r="A753" s="5" t="str">
        <f t="shared" si="1"/>
        <v>AD507-0751</v>
      </c>
      <c r="C753" s="5"/>
      <c r="F753" s="5"/>
      <c r="G753" s="5" t="str">
        <f t="shared" si="2"/>
        <v/>
      </c>
      <c r="H753" s="5" t="str">
        <f t="shared" si="3"/>
        <v/>
      </c>
      <c r="I753" s="5" t="str">
        <f t="shared" si="4"/>
        <v/>
      </c>
      <c r="J753" s="5" t="str">
        <f t="shared" si="5"/>
        <v/>
      </c>
      <c r="K753" s="5" t="str">
        <f>IFERROR(__xludf.DUMMYFUNCTION("IF(C753&lt;&gt;"""",HYPERLINK(""https://wa.me/507""&amp;REGEXREPLACE(C753,""[^0-9]"","""")&amp;""?text=""&amp;ENCODEURL(""Ya llegue. Codigo: ""&amp;A753&amp;"". Ubicacion: ""&amp;""https://www.google.com/maps/search/?api=1&amp;query=""&amp;SUBSTITUTE(F753,"" "","""")),""📲 Avisar al cliente"""&amp;"),"""")"),"")</f>
        <v/>
      </c>
      <c r="L753" s="5" t="str">
        <f>IFERROR(__xludf.DUMMYFUNCTION("IF(C753&lt;&gt;"""",""https://api.qrserver.com/v1/create-qr-code/?size=200x200&amp;data=""&amp;ENCODEURL(""https://wa.me/507""&amp;REGEXREPLACE(C753,""[^0-9]"","""")&amp;""?text=""&amp;ENCODEURL(""Ya llegue. Codigo: ""&amp;A753&amp;"". Ubicacion: ""&amp;""https://www.google.com/maps/search/?a"&amp;"pi=1&amp;query=""&amp;SUBSTITUTE(F753,"" "",""""))),"""")"),"")</f>
        <v/>
      </c>
      <c r="M753" s="5" t="str">
        <f t="shared" si="6"/>
        <v/>
      </c>
      <c r="N753" s="5" t="str">
        <f>IFERROR(__xludf.DUMMYFUNCTION("IF(AND(F753&lt;&gt;"""",REGEXMATCH(SUBSTITUTE(F753,"" "",""""),""^-?\d+(\.\d+)?,-?\d+(\.\d+)?$""),VALUE(REGEXEXTRACT(SUBSTITUTE(F753,"" "",""""),""^-?\d+(\.\d+)?""))&gt;=-90,VALUE(REGEXEXTRACT(SUBSTITUTE(F753,"" "",""""),""^-?\d+(\.\d+)?""))&lt;=90,VALUE(REGEXEXTRACT"&amp;"(SUBSTITUTE(F753,"" "",""""),""-?\d+(\.\d+)?$""))&gt;=-180,VALUE(REGEXEXTRACT(SUBSTITUTE(F753,"" "",""""),""-?\d+(\.\d+)?$""))&lt;=180),""OK"",""REVISAR"")"),"#N/A")</f>
        <v>#N/A</v>
      </c>
    </row>
    <row r="754" ht="15.75" customHeight="1">
      <c r="A754" s="5" t="str">
        <f t="shared" si="1"/>
        <v>AD507-0752</v>
      </c>
      <c r="C754" s="5"/>
      <c r="F754" s="5"/>
      <c r="G754" s="5" t="str">
        <f t="shared" si="2"/>
        <v/>
      </c>
      <c r="H754" s="5" t="str">
        <f t="shared" si="3"/>
        <v/>
      </c>
      <c r="I754" s="5" t="str">
        <f t="shared" si="4"/>
        <v/>
      </c>
      <c r="J754" s="5" t="str">
        <f t="shared" si="5"/>
        <v/>
      </c>
      <c r="K754" s="5" t="str">
        <f>IFERROR(__xludf.DUMMYFUNCTION("IF(C754&lt;&gt;"""",HYPERLINK(""https://wa.me/507""&amp;REGEXREPLACE(C754,""[^0-9]"","""")&amp;""?text=""&amp;ENCODEURL(""Ya llegue. Codigo: ""&amp;A754&amp;"". Ubicacion: ""&amp;""https://www.google.com/maps/search/?api=1&amp;query=""&amp;SUBSTITUTE(F754,"" "","""")),""📲 Avisar al cliente"""&amp;"),"""")"),"")</f>
        <v/>
      </c>
      <c r="L754" s="5" t="str">
        <f>IFERROR(__xludf.DUMMYFUNCTION("IF(C754&lt;&gt;"""",""https://api.qrserver.com/v1/create-qr-code/?size=200x200&amp;data=""&amp;ENCODEURL(""https://wa.me/507""&amp;REGEXREPLACE(C754,""[^0-9]"","""")&amp;""?text=""&amp;ENCODEURL(""Ya llegue. Codigo: ""&amp;A754&amp;"". Ubicacion: ""&amp;""https://www.google.com/maps/search/?a"&amp;"pi=1&amp;query=""&amp;SUBSTITUTE(F754,"" "",""""))),"""")"),"")</f>
        <v/>
      </c>
      <c r="M754" s="5" t="str">
        <f t="shared" si="6"/>
        <v/>
      </c>
      <c r="N754" s="5" t="str">
        <f>IFERROR(__xludf.DUMMYFUNCTION("IF(AND(F754&lt;&gt;"""",REGEXMATCH(SUBSTITUTE(F754,"" "",""""),""^-?\d+(\.\d+)?,-?\d+(\.\d+)?$""),VALUE(REGEXEXTRACT(SUBSTITUTE(F754,"" "",""""),""^-?\d+(\.\d+)?""))&gt;=-90,VALUE(REGEXEXTRACT(SUBSTITUTE(F754,"" "",""""),""^-?\d+(\.\d+)?""))&lt;=90,VALUE(REGEXEXTRACT"&amp;"(SUBSTITUTE(F754,"" "",""""),""-?\d+(\.\d+)?$""))&gt;=-180,VALUE(REGEXEXTRACT(SUBSTITUTE(F754,"" "",""""),""-?\d+(\.\d+)?$""))&lt;=180),""OK"",""REVISAR"")"),"#N/A")</f>
        <v>#N/A</v>
      </c>
    </row>
    <row r="755" ht="15.75" customHeight="1">
      <c r="A755" s="5" t="str">
        <f t="shared" si="1"/>
        <v>AD507-0753</v>
      </c>
      <c r="C755" s="5"/>
      <c r="F755" s="5"/>
      <c r="G755" s="5" t="str">
        <f t="shared" si="2"/>
        <v/>
      </c>
      <c r="H755" s="5" t="str">
        <f t="shared" si="3"/>
        <v/>
      </c>
      <c r="I755" s="5" t="str">
        <f t="shared" si="4"/>
        <v/>
      </c>
      <c r="J755" s="5" t="str">
        <f t="shared" si="5"/>
        <v/>
      </c>
      <c r="K755" s="5" t="str">
        <f>IFERROR(__xludf.DUMMYFUNCTION("IF(C755&lt;&gt;"""",HYPERLINK(""https://wa.me/507""&amp;REGEXREPLACE(C755,""[^0-9]"","""")&amp;""?text=""&amp;ENCODEURL(""Ya llegue. Codigo: ""&amp;A755&amp;"". Ubicacion: ""&amp;""https://www.google.com/maps/search/?api=1&amp;query=""&amp;SUBSTITUTE(F755,"" "","""")),""📲 Avisar al cliente"""&amp;"),"""")"),"")</f>
        <v/>
      </c>
      <c r="L755" s="5" t="str">
        <f>IFERROR(__xludf.DUMMYFUNCTION("IF(C755&lt;&gt;"""",""https://api.qrserver.com/v1/create-qr-code/?size=200x200&amp;data=""&amp;ENCODEURL(""https://wa.me/507""&amp;REGEXREPLACE(C755,""[^0-9]"","""")&amp;""?text=""&amp;ENCODEURL(""Ya llegue. Codigo: ""&amp;A755&amp;"". Ubicacion: ""&amp;""https://www.google.com/maps/search/?a"&amp;"pi=1&amp;query=""&amp;SUBSTITUTE(F755,"" "",""""))),"""")"),"")</f>
        <v/>
      </c>
      <c r="M755" s="5" t="str">
        <f t="shared" si="6"/>
        <v/>
      </c>
      <c r="N755" s="5" t="str">
        <f>IFERROR(__xludf.DUMMYFUNCTION("IF(AND(F755&lt;&gt;"""",REGEXMATCH(SUBSTITUTE(F755,"" "",""""),""^-?\d+(\.\d+)?,-?\d+(\.\d+)?$""),VALUE(REGEXEXTRACT(SUBSTITUTE(F755,"" "",""""),""^-?\d+(\.\d+)?""))&gt;=-90,VALUE(REGEXEXTRACT(SUBSTITUTE(F755,"" "",""""),""^-?\d+(\.\d+)?""))&lt;=90,VALUE(REGEXEXTRACT"&amp;"(SUBSTITUTE(F755,"" "",""""),""-?\d+(\.\d+)?$""))&gt;=-180,VALUE(REGEXEXTRACT(SUBSTITUTE(F755,"" "",""""),""-?\d+(\.\d+)?$""))&lt;=180),""OK"",""REVISAR"")"),"#N/A")</f>
        <v>#N/A</v>
      </c>
    </row>
    <row r="756" ht="15.75" customHeight="1">
      <c r="A756" s="5" t="str">
        <f t="shared" si="1"/>
        <v>AD507-0754</v>
      </c>
      <c r="C756" s="5"/>
      <c r="F756" s="5"/>
      <c r="G756" s="5" t="str">
        <f t="shared" si="2"/>
        <v/>
      </c>
      <c r="H756" s="5" t="str">
        <f t="shared" si="3"/>
        <v/>
      </c>
      <c r="I756" s="5" t="str">
        <f t="shared" si="4"/>
        <v/>
      </c>
      <c r="J756" s="5" t="str">
        <f t="shared" si="5"/>
        <v/>
      </c>
      <c r="K756" s="5" t="str">
        <f>IFERROR(__xludf.DUMMYFUNCTION("IF(C756&lt;&gt;"""",HYPERLINK(""https://wa.me/507""&amp;REGEXREPLACE(C756,""[^0-9]"","""")&amp;""?text=""&amp;ENCODEURL(""Ya llegue. Codigo: ""&amp;A756&amp;"". Ubicacion: ""&amp;""https://www.google.com/maps/search/?api=1&amp;query=""&amp;SUBSTITUTE(F756,"" "","""")),""📲 Avisar al cliente"""&amp;"),"""")"),"")</f>
        <v/>
      </c>
      <c r="L756" s="5" t="str">
        <f>IFERROR(__xludf.DUMMYFUNCTION("IF(C756&lt;&gt;"""",""https://api.qrserver.com/v1/create-qr-code/?size=200x200&amp;data=""&amp;ENCODEURL(""https://wa.me/507""&amp;REGEXREPLACE(C756,""[^0-9]"","""")&amp;""?text=""&amp;ENCODEURL(""Ya llegue. Codigo: ""&amp;A756&amp;"". Ubicacion: ""&amp;""https://www.google.com/maps/search/?a"&amp;"pi=1&amp;query=""&amp;SUBSTITUTE(F756,"" "",""""))),"""")"),"")</f>
        <v/>
      </c>
      <c r="M756" s="5" t="str">
        <f t="shared" si="6"/>
        <v/>
      </c>
      <c r="N756" s="5" t="str">
        <f>IFERROR(__xludf.DUMMYFUNCTION("IF(AND(F756&lt;&gt;"""",REGEXMATCH(SUBSTITUTE(F756,"" "",""""),""^-?\d+(\.\d+)?,-?\d+(\.\d+)?$""),VALUE(REGEXEXTRACT(SUBSTITUTE(F756,"" "",""""),""^-?\d+(\.\d+)?""))&gt;=-90,VALUE(REGEXEXTRACT(SUBSTITUTE(F756,"" "",""""),""^-?\d+(\.\d+)?""))&lt;=90,VALUE(REGEXEXTRACT"&amp;"(SUBSTITUTE(F756,"" "",""""),""-?\d+(\.\d+)?$""))&gt;=-180,VALUE(REGEXEXTRACT(SUBSTITUTE(F756,"" "",""""),""-?\d+(\.\d+)?$""))&lt;=180),""OK"",""REVISAR"")"),"#N/A")</f>
        <v>#N/A</v>
      </c>
    </row>
    <row r="757" ht="15.75" customHeight="1">
      <c r="A757" s="5" t="str">
        <f t="shared" si="1"/>
        <v>AD507-0755</v>
      </c>
      <c r="C757" s="5"/>
      <c r="F757" s="5"/>
      <c r="G757" s="5" t="str">
        <f t="shared" si="2"/>
        <v/>
      </c>
      <c r="H757" s="5" t="str">
        <f t="shared" si="3"/>
        <v/>
      </c>
      <c r="I757" s="5" t="str">
        <f t="shared" si="4"/>
        <v/>
      </c>
      <c r="J757" s="5" t="str">
        <f t="shared" si="5"/>
        <v/>
      </c>
      <c r="K757" s="5" t="str">
        <f>IFERROR(__xludf.DUMMYFUNCTION("IF(C757&lt;&gt;"""",HYPERLINK(""https://wa.me/507""&amp;REGEXREPLACE(C757,""[^0-9]"","""")&amp;""?text=""&amp;ENCODEURL(""Ya llegue. Codigo: ""&amp;A757&amp;"". Ubicacion: ""&amp;""https://www.google.com/maps/search/?api=1&amp;query=""&amp;SUBSTITUTE(F757,"" "","""")),""📲 Avisar al cliente"""&amp;"),"""")"),"")</f>
        <v/>
      </c>
      <c r="L757" s="5" t="str">
        <f>IFERROR(__xludf.DUMMYFUNCTION("IF(C757&lt;&gt;"""",""https://api.qrserver.com/v1/create-qr-code/?size=200x200&amp;data=""&amp;ENCODEURL(""https://wa.me/507""&amp;REGEXREPLACE(C757,""[^0-9]"","""")&amp;""?text=""&amp;ENCODEURL(""Ya llegue. Codigo: ""&amp;A757&amp;"". Ubicacion: ""&amp;""https://www.google.com/maps/search/?a"&amp;"pi=1&amp;query=""&amp;SUBSTITUTE(F757,"" "",""""))),"""")"),"")</f>
        <v/>
      </c>
      <c r="M757" s="5" t="str">
        <f t="shared" si="6"/>
        <v/>
      </c>
      <c r="N757" s="5" t="str">
        <f>IFERROR(__xludf.DUMMYFUNCTION("IF(AND(F757&lt;&gt;"""",REGEXMATCH(SUBSTITUTE(F757,"" "",""""),""^-?\d+(\.\d+)?,-?\d+(\.\d+)?$""),VALUE(REGEXEXTRACT(SUBSTITUTE(F757,"" "",""""),""^-?\d+(\.\d+)?""))&gt;=-90,VALUE(REGEXEXTRACT(SUBSTITUTE(F757,"" "",""""),""^-?\d+(\.\d+)?""))&lt;=90,VALUE(REGEXEXTRACT"&amp;"(SUBSTITUTE(F757,"" "",""""),""-?\d+(\.\d+)?$""))&gt;=-180,VALUE(REGEXEXTRACT(SUBSTITUTE(F757,"" "",""""),""-?\d+(\.\d+)?$""))&lt;=180),""OK"",""REVISAR"")"),"#N/A")</f>
        <v>#N/A</v>
      </c>
    </row>
    <row r="758" ht="15.75" customHeight="1">
      <c r="A758" s="5" t="str">
        <f t="shared" si="1"/>
        <v>AD507-0756</v>
      </c>
      <c r="C758" s="5"/>
      <c r="F758" s="5"/>
      <c r="G758" s="5" t="str">
        <f t="shared" si="2"/>
        <v/>
      </c>
      <c r="H758" s="5" t="str">
        <f t="shared" si="3"/>
        <v/>
      </c>
      <c r="I758" s="5" t="str">
        <f t="shared" si="4"/>
        <v/>
      </c>
      <c r="J758" s="5" t="str">
        <f t="shared" si="5"/>
        <v/>
      </c>
      <c r="K758" s="5" t="str">
        <f>IFERROR(__xludf.DUMMYFUNCTION("IF(C758&lt;&gt;"""",HYPERLINK(""https://wa.me/507""&amp;REGEXREPLACE(C758,""[^0-9]"","""")&amp;""?text=""&amp;ENCODEURL(""Ya llegue. Codigo: ""&amp;A758&amp;"". Ubicacion: ""&amp;""https://www.google.com/maps/search/?api=1&amp;query=""&amp;SUBSTITUTE(F758,"" "","""")),""📲 Avisar al cliente"""&amp;"),"""")"),"")</f>
        <v/>
      </c>
      <c r="L758" s="5" t="str">
        <f>IFERROR(__xludf.DUMMYFUNCTION("IF(C758&lt;&gt;"""",""https://api.qrserver.com/v1/create-qr-code/?size=200x200&amp;data=""&amp;ENCODEURL(""https://wa.me/507""&amp;REGEXREPLACE(C758,""[^0-9]"","""")&amp;""?text=""&amp;ENCODEURL(""Ya llegue. Codigo: ""&amp;A758&amp;"". Ubicacion: ""&amp;""https://www.google.com/maps/search/?a"&amp;"pi=1&amp;query=""&amp;SUBSTITUTE(F758,"" "",""""))),"""")"),"")</f>
        <v/>
      </c>
      <c r="M758" s="5" t="str">
        <f t="shared" si="6"/>
        <v/>
      </c>
      <c r="N758" s="5" t="str">
        <f>IFERROR(__xludf.DUMMYFUNCTION("IF(AND(F758&lt;&gt;"""",REGEXMATCH(SUBSTITUTE(F758,"" "",""""),""^-?\d+(\.\d+)?,-?\d+(\.\d+)?$""),VALUE(REGEXEXTRACT(SUBSTITUTE(F758,"" "",""""),""^-?\d+(\.\d+)?""))&gt;=-90,VALUE(REGEXEXTRACT(SUBSTITUTE(F758,"" "",""""),""^-?\d+(\.\d+)?""))&lt;=90,VALUE(REGEXEXTRACT"&amp;"(SUBSTITUTE(F758,"" "",""""),""-?\d+(\.\d+)?$""))&gt;=-180,VALUE(REGEXEXTRACT(SUBSTITUTE(F758,"" "",""""),""-?\d+(\.\d+)?$""))&lt;=180),""OK"",""REVISAR"")"),"#N/A")</f>
        <v>#N/A</v>
      </c>
    </row>
    <row r="759" ht="15.75" customHeight="1">
      <c r="A759" s="5" t="str">
        <f t="shared" si="1"/>
        <v>AD507-0757</v>
      </c>
      <c r="C759" s="5"/>
      <c r="F759" s="5"/>
      <c r="G759" s="5" t="str">
        <f t="shared" si="2"/>
        <v/>
      </c>
      <c r="H759" s="5" t="str">
        <f t="shared" si="3"/>
        <v/>
      </c>
      <c r="I759" s="5" t="str">
        <f t="shared" si="4"/>
        <v/>
      </c>
      <c r="J759" s="5" t="str">
        <f t="shared" si="5"/>
        <v/>
      </c>
      <c r="K759" s="5" t="str">
        <f>IFERROR(__xludf.DUMMYFUNCTION("IF(C759&lt;&gt;"""",HYPERLINK(""https://wa.me/507""&amp;REGEXREPLACE(C759,""[^0-9]"","""")&amp;""?text=""&amp;ENCODEURL(""Ya llegue. Codigo: ""&amp;A759&amp;"". Ubicacion: ""&amp;""https://www.google.com/maps/search/?api=1&amp;query=""&amp;SUBSTITUTE(F759,"" "","""")),""📲 Avisar al cliente"""&amp;"),"""")"),"")</f>
        <v/>
      </c>
      <c r="L759" s="5" t="str">
        <f>IFERROR(__xludf.DUMMYFUNCTION("IF(C759&lt;&gt;"""",""https://api.qrserver.com/v1/create-qr-code/?size=200x200&amp;data=""&amp;ENCODEURL(""https://wa.me/507""&amp;REGEXREPLACE(C759,""[^0-9]"","""")&amp;""?text=""&amp;ENCODEURL(""Ya llegue. Codigo: ""&amp;A759&amp;"". Ubicacion: ""&amp;""https://www.google.com/maps/search/?a"&amp;"pi=1&amp;query=""&amp;SUBSTITUTE(F759,"" "",""""))),"""")"),"")</f>
        <v/>
      </c>
      <c r="M759" s="5" t="str">
        <f t="shared" si="6"/>
        <v/>
      </c>
      <c r="N759" s="5" t="str">
        <f>IFERROR(__xludf.DUMMYFUNCTION("IF(AND(F759&lt;&gt;"""",REGEXMATCH(SUBSTITUTE(F759,"" "",""""),""^-?\d+(\.\d+)?,-?\d+(\.\d+)?$""),VALUE(REGEXEXTRACT(SUBSTITUTE(F759,"" "",""""),""^-?\d+(\.\d+)?""))&gt;=-90,VALUE(REGEXEXTRACT(SUBSTITUTE(F759,"" "",""""),""^-?\d+(\.\d+)?""))&lt;=90,VALUE(REGEXEXTRACT"&amp;"(SUBSTITUTE(F759,"" "",""""),""-?\d+(\.\d+)?$""))&gt;=-180,VALUE(REGEXEXTRACT(SUBSTITUTE(F759,"" "",""""),""-?\d+(\.\d+)?$""))&lt;=180),""OK"",""REVISAR"")"),"#N/A")</f>
        <v>#N/A</v>
      </c>
    </row>
    <row r="760" ht="15.75" customHeight="1">
      <c r="A760" s="5" t="str">
        <f t="shared" si="1"/>
        <v>AD507-0758</v>
      </c>
      <c r="C760" s="5"/>
      <c r="F760" s="5"/>
      <c r="G760" s="5" t="str">
        <f t="shared" si="2"/>
        <v/>
      </c>
      <c r="H760" s="5" t="str">
        <f t="shared" si="3"/>
        <v/>
      </c>
      <c r="I760" s="5" t="str">
        <f t="shared" si="4"/>
        <v/>
      </c>
      <c r="J760" s="5" t="str">
        <f t="shared" si="5"/>
        <v/>
      </c>
      <c r="K760" s="5" t="str">
        <f>IFERROR(__xludf.DUMMYFUNCTION("IF(C760&lt;&gt;"""",HYPERLINK(""https://wa.me/507""&amp;REGEXREPLACE(C760,""[^0-9]"","""")&amp;""?text=""&amp;ENCODEURL(""Ya llegue. Codigo: ""&amp;A760&amp;"". Ubicacion: ""&amp;""https://www.google.com/maps/search/?api=1&amp;query=""&amp;SUBSTITUTE(F760,"" "","""")),""📲 Avisar al cliente"""&amp;"),"""")"),"")</f>
        <v/>
      </c>
      <c r="L760" s="5" t="str">
        <f>IFERROR(__xludf.DUMMYFUNCTION("IF(C760&lt;&gt;"""",""https://api.qrserver.com/v1/create-qr-code/?size=200x200&amp;data=""&amp;ENCODEURL(""https://wa.me/507""&amp;REGEXREPLACE(C760,""[^0-9]"","""")&amp;""?text=""&amp;ENCODEURL(""Ya llegue. Codigo: ""&amp;A760&amp;"". Ubicacion: ""&amp;""https://www.google.com/maps/search/?a"&amp;"pi=1&amp;query=""&amp;SUBSTITUTE(F760,"" "",""""))),"""")"),"")</f>
        <v/>
      </c>
      <c r="M760" s="5" t="str">
        <f t="shared" si="6"/>
        <v/>
      </c>
      <c r="N760" s="5" t="str">
        <f>IFERROR(__xludf.DUMMYFUNCTION("IF(AND(F760&lt;&gt;"""",REGEXMATCH(SUBSTITUTE(F760,"" "",""""),""^-?\d+(\.\d+)?,-?\d+(\.\d+)?$""),VALUE(REGEXEXTRACT(SUBSTITUTE(F760,"" "",""""),""^-?\d+(\.\d+)?""))&gt;=-90,VALUE(REGEXEXTRACT(SUBSTITUTE(F760,"" "",""""),""^-?\d+(\.\d+)?""))&lt;=90,VALUE(REGEXEXTRACT"&amp;"(SUBSTITUTE(F760,"" "",""""),""-?\d+(\.\d+)?$""))&gt;=-180,VALUE(REGEXEXTRACT(SUBSTITUTE(F760,"" "",""""),""-?\d+(\.\d+)?$""))&lt;=180),""OK"",""REVISAR"")"),"#N/A")</f>
        <v>#N/A</v>
      </c>
    </row>
    <row r="761" ht="15.75" customHeight="1">
      <c r="A761" s="5" t="str">
        <f t="shared" si="1"/>
        <v>AD507-0759</v>
      </c>
      <c r="C761" s="5"/>
      <c r="F761" s="5"/>
      <c r="G761" s="5" t="str">
        <f t="shared" si="2"/>
        <v/>
      </c>
      <c r="H761" s="5" t="str">
        <f t="shared" si="3"/>
        <v/>
      </c>
      <c r="I761" s="5" t="str">
        <f t="shared" si="4"/>
        <v/>
      </c>
      <c r="J761" s="5" t="str">
        <f t="shared" si="5"/>
        <v/>
      </c>
      <c r="K761" s="5" t="str">
        <f>IFERROR(__xludf.DUMMYFUNCTION("IF(C761&lt;&gt;"""",HYPERLINK(""https://wa.me/507""&amp;REGEXREPLACE(C761,""[^0-9]"","""")&amp;""?text=""&amp;ENCODEURL(""Ya llegue. Codigo: ""&amp;A761&amp;"". Ubicacion: ""&amp;""https://www.google.com/maps/search/?api=1&amp;query=""&amp;SUBSTITUTE(F761,"" "","""")),""📲 Avisar al cliente"""&amp;"),"""")"),"")</f>
        <v/>
      </c>
      <c r="L761" s="5" t="str">
        <f>IFERROR(__xludf.DUMMYFUNCTION("IF(C761&lt;&gt;"""",""https://api.qrserver.com/v1/create-qr-code/?size=200x200&amp;data=""&amp;ENCODEURL(""https://wa.me/507""&amp;REGEXREPLACE(C761,""[^0-9]"","""")&amp;""?text=""&amp;ENCODEURL(""Ya llegue. Codigo: ""&amp;A761&amp;"". Ubicacion: ""&amp;""https://www.google.com/maps/search/?a"&amp;"pi=1&amp;query=""&amp;SUBSTITUTE(F761,"" "",""""))),"""")"),"")</f>
        <v/>
      </c>
      <c r="M761" s="5" t="str">
        <f t="shared" si="6"/>
        <v/>
      </c>
      <c r="N761" s="5" t="str">
        <f>IFERROR(__xludf.DUMMYFUNCTION("IF(AND(F761&lt;&gt;"""",REGEXMATCH(SUBSTITUTE(F761,"" "",""""),""^-?\d+(\.\d+)?,-?\d+(\.\d+)?$""),VALUE(REGEXEXTRACT(SUBSTITUTE(F761,"" "",""""),""^-?\d+(\.\d+)?""))&gt;=-90,VALUE(REGEXEXTRACT(SUBSTITUTE(F761,"" "",""""),""^-?\d+(\.\d+)?""))&lt;=90,VALUE(REGEXEXTRACT"&amp;"(SUBSTITUTE(F761,"" "",""""),""-?\d+(\.\d+)?$""))&gt;=-180,VALUE(REGEXEXTRACT(SUBSTITUTE(F761,"" "",""""),""-?\d+(\.\d+)?$""))&lt;=180),""OK"",""REVISAR"")"),"#N/A")</f>
        <v>#N/A</v>
      </c>
    </row>
    <row r="762" ht="15.75" customHeight="1">
      <c r="A762" s="5" t="str">
        <f t="shared" si="1"/>
        <v>AD507-0760</v>
      </c>
      <c r="C762" s="5"/>
      <c r="F762" s="5"/>
      <c r="G762" s="5" t="str">
        <f t="shared" si="2"/>
        <v/>
      </c>
      <c r="H762" s="5" t="str">
        <f t="shared" si="3"/>
        <v/>
      </c>
      <c r="I762" s="5" t="str">
        <f t="shared" si="4"/>
        <v/>
      </c>
      <c r="J762" s="5" t="str">
        <f t="shared" si="5"/>
        <v/>
      </c>
      <c r="K762" s="5" t="str">
        <f>IFERROR(__xludf.DUMMYFUNCTION("IF(C762&lt;&gt;"""",HYPERLINK(""https://wa.me/507""&amp;REGEXREPLACE(C762,""[^0-9]"","""")&amp;""?text=""&amp;ENCODEURL(""Ya llegue. Codigo: ""&amp;A762&amp;"". Ubicacion: ""&amp;""https://www.google.com/maps/search/?api=1&amp;query=""&amp;SUBSTITUTE(F762,"" "","""")),""📲 Avisar al cliente"""&amp;"),"""")"),"")</f>
        <v/>
      </c>
      <c r="L762" s="5" t="str">
        <f>IFERROR(__xludf.DUMMYFUNCTION("IF(C762&lt;&gt;"""",""https://api.qrserver.com/v1/create-qr-code/?size=200x200&amp;data=""&amp;ENCODEURL(""https://wa.me/507""&amp;REGEXREPLACE(C762,""[^0-9]"","""")&amp;""?text=""&amp;ENCODEURL(""Ya llegue. Codigo: ""&amp;A762&amp;"". Ubicacion: ""&amp;""https://www.google.com/maps/search/?a"&amp;"pi=1&amp;query=""&amp;SUBSTITUTE(F762,"" "",""""))),"""")"),"")</f>
        <v/>
      </c>
      <c r="M762" s="5" t="str">
        <f t="shared" si="6"/>
        <v/>
      </c>
      <c r="N762" s="5" t="str">
        <f>IFERROR(__xludf.DUMMYFUNCTION("IF(AND(F762&lt;&gt;"""",REGEXMATCH(SUBSTITUTE(F762,"" "",""""),""^-?\d+(\.\d+)?,-?\d+(\.\d+)?$""),VALUE(REGEXEXTRACT(SUBSTITUTE(F762,"" "",""""),""^-?\d+(\.\d+)?""))&gt;=-90,VALUE(REGEXEXTRACT(SUBSTITUTE(F762,"" "",""""),""^-?\d+(\.\d+)?""))&lt;=90,VALUE(REGEXEXTRACT"&amp;"(SUBSTITUTE(F762,"" "",""""),""-?\d+(\.\d+)?$""))&gt;=-180,VALUE(REGEXEXTRACT(SUBSTITUTE(F762,"" "",""""),""-?\d+(\.\d+)?$""))&lt;=180),""OK"",""REVISAR"")"),"#N/A")</f>
        <v>#N/A</v>
      </c>
    </row>
    <row r="763" ht="15.75" customHeight="1">
      <c r="A763" s="5" t="str">
        <f t="shared" si="1"/>
        <v>AD507-0761</v>
      </c>
      <c r="C763" s="5"/>
      <c r="F763" s="5"/>
      <c r="G763" s="5" t="str">
        <f t="shared" si="2"/>
        <v/>
      </c>
      <c r="H763" s="5" t="str">
        <f t="shared" si="3"/>
        <v/>
      </c>
      <c r="I763" s="5" t="str">
        <f t="shared" si="4"/>
        <v/>
      </c>
      <c r="J763" s="5" t="str">
        <f t="shared" si="5"/>
        <v/>
      </c>
      <c r="K763" s="5" t="str">
        <f>IFERROR(__xludf.DUMMYFUNCTION("IF(C763&lt;&gt;"""",HYPERLINK(""https://wa.me/507""&amp;REGEXREPLACE(C763,""[^0-9]"","""")&amp;""?text=""&amp;ENCODEURL(""Ya llegue. Codigo: ""&amp;A763&amp;"". Ubicacion: ""&amp;""https://www.google.com/maps/search/?api=1&amp;query=""&amp;SUBSTITUTE(F763,"" "","""")),""📲 Avisar al cliente"""&amp;"),"""")"),"")</f>
        <v/>
      </c>
      <c r="L763" s="5" t="str">
        <f>IFERROR(__xludf.DUMMYFUNCTION("IF(C763&lt;&gt;"""",""https://api.qrserver.com/v1/create-qr-code/?size=200x200&amp;data=""&amp;ENCODEURL(""https://wa.me/507""&amp;REGEXREPLACE(C763,""[^0-9]"","""")&amp;""?text=""&amp;ENCODEURL(""Ya llegue. Codigo: ""&amp;A763&amp;"". Ubicacion: ""&amp;""https://www.google.com/maps/search/?a"&amp;"pi=1&amp;query=""&amp;SUBSTITUTE(F763,"" "",""""))),"""")"),"")</f>
        <v/>
      </c>
      <c r="M763" s="5" t="str">
        <f t="shared" si="6"/>
        <v/>
      </c>
      <c r="N763" s="5" t="str">
        <f>IFERROR(__xludf.DUMMYFUNCTION("IF(AND(F763&lt;&gt;"""",REGEXMATCH(SUBSTITUTE(F763,"" "",""""),""^-?\d+(\.\d+)?,-?\d+(\.\d+)?$""),VALUE(REGEXEXTRACT(SUBSTITUTE(F763,"" "",""""),""^-?\d+(\.\d+)?""))&gt;=-90,VALUE(REGEXEXTRACT(SUBSTITUTE(F763,"" "",""""),""^-?\d+(\.\d+)?""))&lt;=90,VALUE(REGEXEXTRACT"&amp;"(SUBSTITUTE(F763,"" "",""""),""-?\d+(\.\d+)?$""))&gt;=-180,VALUE(REGEXEXTRACT(SUBSTITUTE(F763,"" "",""""),""-?\d+(\.\d+)?$""))&lt;=180),""OK"",""REVISAR"")"),"#N/A")</f>
        <v>#N/A</v>
      </c>
    </row>
    <row r="764" ht="15.75" customHeight="1">
      <c r="A764" s="5" t="str">
        <f t="shared" si="1"/>
        <v>AD507-0762</v>
      </c>
      <c r="C764" s="5"/>
      <c r="F764" s="5"/>
      <c r="G764" s="5" t="str">
        <f t="shared" si="2"/>
        <v/>
      </c>
      <c r="H764" s="5" t="str">
        <f t="shared" si="3"/>
        <v/>
      </c>
      <c r="I764" s="5" t="str">
        <f t="shared" si="4"/>
        <v/>
      </c>
      <c r="J764" s="5" t="str">
        <f t="shared" si="5"/>
        <v/>
      </c>
      <c r="K764" s="5" t="str">
        <f>IFERROR(__xludf.DUMMYFUNCTION("IF(C764&lt;&gt;"""",HYPERLINK(""https://wa.me/507""&amp;REGEXREPLACE(C764,""[^0-9]"","""")&amp;""?text=""&amp;ENCODEURL(""Ya llegue. Codigo: ""&amp;A764&amp;"". Ubicacion: ""&amp;""https://www.google.com/maps/search/?api=1&amp;query=""&amp;SUBSTITUTE(F764,"" "","""")),""📲 Avisar al cliente"""&amp;"),"""")"),"")</f>
        <v/>
      </c>
      <c r="L764" s="5" t="str">
        <f>IFERROR(__xludf.DUMMYFUNCTION("IF(C764&lt;&gt;"""",""https://api.qrserver.com/v1/create-qr-code/?size=200x200&amp;data=""&amp;ENCODEURL(""https://wa.me/507""&amp;REGEXREPLACE(C764,""[^0-9]"","""")&amp;""?text=""&amp;ENCODEURL(""Ya llegue. Codigo: ""&amp;A764&amp;"". Ubicacion: ""&amp;""https://www.google.com/maps/search/?a"&amp;"pi=1&amp;query=""&amp;SUBSTITUTE(F764,"" "",""""))),"""")"),"")</f>
        <v/>
      </c>
      <c r="M764" s="5" t="str">
        <f t="shared" si="6"/>
        <v/>
      </c>
      <c r="N764" s="5" t="str">
        <f>IFERROR(__xludf.DUMMYFUNCTION("IF(AND(F764&lt;&gt;"""",REGEXMATCH(SUBSTITUTE(F764,"" "",""""),""^-?\d+(\.\d+)?,-?\d+(\.\d+)?$""),VALUE(REGEXEXTRACT(SUBSTITUTE(F764,"" "",""""),""^-?\d+(\.\d+)?""))&gt;=-90,VALUE(REGEXEXTRACT(SUBSTITUTE(F764,"" "",""""),""^-?\d+(\.\d+)?""))&lt;=90,VALUE(REGEXEXTRACT"&amp;"(SUBSTITUTE(F764,"" "",""""),""-?\d+(\.\d+)?$""))&gt;=-180,VALUE(REGEXEXTRACT(SUBSTITUTE(F764,"" "",""""),""-?\d+(\.\d+)?$""))&lt;=180),""OK"",""REVISAR"")"),"#N/A")</f>
        <v>#N/A</v>
      </c>
    </row>
    <row r="765" ht="15.75" customHeight="1">
      <c r="A765" s="5" t="str">
        <f t="shared" si="1"/>
        <v>AD507-0763</v>
      </c>
      <c r="C765" s="5"/>
      <c r="F765" s="5"/>
      <c r="G765" s="5" t="str">
        <f t="shared" si="2"/>
        <v/>
      </c>
      <c r="H765" s="5" t="str">
        <f t="shared" si="3"/>
        <v/>
      </c>
      <c r="I765" s="5" t="str">
        <f t="shared" si="4"/>
        <v/>
      </c>
      <c r="J765" s="5" t="str">
        <f t="shared" si="5"/>
        <v/>
      </c>
      <c r="K765" s="5" t="str">
        <f>IFERROR(__xludf.DUMMYFUNCTION("IF(C765&lt;&gt;"""",HYPERLINK(""https://wa.me/507""&amp;REGEXREPLACE(C765,""[^0-9]"","""")&amp;""?text=""&amp;ENCODEURL(""Ya llegue. Codigo: ""&amp;A765&amp;"". Ubicacion: ""&amp;""https://www.google.com/maps/search/?api=1&amp;query=""&amp;SUBSTITUTE(F765,"" "","""")),""📲 Avisar al cliente"""&amp;"),"""")"),"")</f>
        <v/>
      </c>
      <c r="L765" s="5" t="str">
        <f>IFERROR(__xludf.DUMMYFUNCTION("IF(C765&lt;&gt;"""",""https://api.qrserver.com/v1/create-qr-code/?size=200x200&amp;data=""&amp;ENCODEURL(""https://wa.me/507""&amp;REGEXREPLACE(C765,""[^0-9]"","""")&amp;""?text=""&amp;ENCODEURL(""Ya llegue. Codigo: ""&amp;A765&amp;"". Ubicacion: ""&amp;""https://www.google.com/maps/search/?a"&amp;"pi=1&amp;query=""&amp;SUBSTITUTE(F765,"" "",""""))),"""")"),"")</f>
        <v/>
      </c>
      <c r="M765" s="5" t="str">
        <f t="shared" si="6"/>
        <v/>
      </c>
      <c r="N765" s="5" t="str">
        <f>IFERROR(__xludf.DUMMYFUNCTION("IF(AND(F765&lt;&gt;"""",REGEXMATCH(SUBSTITUTE(F765,"" "",""""),""^-?\d+(\.\d+)?,-?\d+(\.\d+)?$""),VALUE(REGEXEXTRACT(SUBSTITUTE(F765,"" "",""""),""^-?\d+(\.\d+)?""))&gt;=-90,VALUE(REGEXEXTRACT(SUBSTITUTE(F765,"" "",""""),""^-?\d+(\.\d+)?""))&lt;=90,VALUE(REGEXEXTRACT"&amp;"(SUBSTITUTE(F765,"" "",""""),""-?\d+(\.\d+)?$""))&gt;=-180,VALUE(REGEXEXTRACT(SUBSTITUTE(F765,"" "",""""),""-?\d+(\.\d+)?$""))&lt;=180),""OK"",""REVISAR"")"),"#N/A")</f>
        <v>#N/A</v>
      </c>
    </row>
    <row r="766" ht="15.75" customHeight="1">
      <c r="A766" s="5" t="str">
        <f t="shared" si="1"/>
        <v>AD507-0764</v>
      </c>
      <c r="C766" s="5"/>
      <c r="F766" s="5"/>
      <c r="G766" s="5" t="str">
        <f t="shared" si="2"/>
        <v/>
      </c>
      <c r="H766" s="5" t="str">
        <f t="shared" si="3"/>
        <v/>
      </c>
      <c r="I766" s="5" t="str">
        <f t="shared" si="4"/>
        <v/>
      </c>
      <c r="J766" s="5" t="str">
        <f t="shared" si="5"/>
        <v/>
      </c>
      <c r="K766" s="5" t="str">
        <f>IFERROR(__xludf.DUMMYFUNCTION("IF(C766&lt;&gt;"""",HYPERLINK(""https://wa.me/507""&amp;REGEXREPLACE(C766,""[^0-9]"","""")&amp;""?text=""&amp;ENCODEURL(""Ya llegue. Codigo: ""&amp;A766&amp;"". Ubicacion: ""&amp;""https://www.google.com/maps/search/?api=1&amp;query=""&amp;SUBSTITUTE(F766,"" "","""")),""📲 Avisar al cliente"""&amp;"),"""")"),"")</f>
        <v/>
      </c>
      <c r="L766" s="5" t="str">
        <f>IFERROR(__xludf.DUMMYFUNCTION("IF(C766&lt;&gt;"""",""https://api.qrserver.com/v1/create-qr-code/?size=200x200&amp;data=""&amp;ENCODEURL(""https://wa.me/507""&amp;REGEXREPLACE(C766,""[^0-9]"","""")&amp;""?text=""&amp;ENCODEURL(""Ya llegue. Codigo: ""&amp;A766&amp;"". Ubicacion: ""&amp;""https://www.google.com/maps/search/?a"&amp;"pi=1&amp;query=""&amp;SUBSTITUTE(F766,"" "",""""))),"""")"),"")</f>
        <v/>
      </c>
      <c r="M766" s="5" t="str">
        <f t="shared" si="6"/>
        <v/>
      </c>
      <c r="N766" s="5" t="str">
        <f>IFERROR(__xludf.DUMMYFUNCTION("IF(AND(F766&lt;&gt;"""",REGEXMATCH(SUBSTITUTE(F766,"" "",""""),""^-?\d+(\.\d+)?,-?\d+(\.\d+)?$""),VALUE(REGEXEXTRACT(SUBSTITUTE(F766,"" "",""""),""^-?\d+(\.\d+)?""))&gt;=-90,VALUE(REGEXEXTRACT(SUBSTITUTE(F766,"" "",""""),""^-?\d+(\.\d+)?""))&lt;=90,VALUE(REGEXEXTRACT"&amp;"(SUBSTITUTE(F766,"" "",""""),""-?\d+(\.\d+)?$""))&gt;=-180,VALUE(REGEXEXTRACT(SUBSTITUTE(F766,"" "",""""),""-?\d+(\.\d+)?$""))&lt;=180),""OK"",""REVISAR"")"),"#N/A")</f>
        <v>#N/A</v>
      </c>
    </row>
    <row r="767" ht="15.75" customHeight="1">
      <c r="A767" s="5" t="str">
        <f t="shared" si="1"/>
        <v>AD507-0765</v>
      </c>
      <c r="C767" s="5"/>
      <c r="F767" s="5"/>
      <c r="G767" s="5" t="str">
        <f t="shared" si="2"/>
        <v/>
      </c>
      <c r="H767" s="5" t="str">
        <f t="shared" si="3"/>
        <v/>
      </c>
      <c r="I767" s="5" t="str">
        <f t="shared" si="4"/>
        <v/>
      </c>
      <c r="J767" s="5" t="str">
        <f t="shared" si="5"/>
        <v/>
      </c>
      <c r="K767" s="5" t="str">
        <f>IFERROR(__xludf.DUMMYFUNCTION("IF(C767&lt;&gt;"""",HYPERLINK(""https://wa.me/507""&amp;REGEXREPLACE(C767,""[^0-9]"","""")&amp;""?text=""&amp;ENCODEURL(""Ya llegue. Codigo: ""&amp;A767&amp;"". Ubicacion: ""&amp;""https://www.google.com/maps/search/?api=1&amp;query=""&amp;SUBSTITUTE(F767,"" "","""")),""📲 Avisar al cliente"""&amp;"),"""")"),"")</f>
        <v/>
      </c>
      <c r="L767" s="5" t="str">
        <f>IFERROR(__xludf.DUMMYFUNCTION("IF(C767&lt;&gt;"""",""https://api.qrserver.com/v1/create-qr-code/?size=200x200&amp;data=""&amp;ENCODEURL(""https://wa.me/507""&amp;REGEXREPLACE(C767,""[^0-9]"","""")&amp;""?text=""&amp;ENCODEURL(""Ya llegue. Codigo: ""&amp;A767&amp;"". Ubicacion: ""&amp;""https://www.google.com/maps/search/?a"&amp;"pi=1&amp;query=""&amp;SUBSTITUTE(F767,"" "",""""))),"""")"),"")</f>
        <v/>
      </c>
      <c r="M767" s="5" t="str">
        <f t="shared" si="6"/>
        <v/>
      </c>
      <c r="N767" s="5" t="str">
        <f>IFERROR(__xludf.DUMMYFUNCTION("IF(AND(F767&lt;&gt;"""",REGEXMATCH(SUBSTITUTE(F767,"" "",""""),""^-?\d+(\.\d+)?,-?\d+(\.\d+)?$""),VALUE(REGEXEXTRACT(SUBSTITUTE(F767,"" "",""""),""^-?\d+(\.\d+)?""))&gt;=-90,VALUE(REGEXEXTRACT(SUBSTITUTE(F767,"" "",""""),""^-?\d+(\.\d+)?""))&lt;=90,VALUE(REGEXEXTRACT"&amp;"(SUBSTITUTE(F767,"" "",""""),""-?\d+(\.\d+)?$""))&gt;=-180,VALUE(REGEXEXTRACT(SUBSTITUTE(F767,"" "",""""),""-?\d+(\.\d+)?$""))&lt;=180),""OK"",""REVISAR"")"),"#N/A")</f>
        <v>#N/A</v>
      </c>
    </row>
    <row r="768" ht="15.75" customHeight="1">
      <c r="A768" s="5" t="str">
        <f t="shared" si="1"/>
        <v>AD507-0766</v>
      </c>
      <c r="C768" s="5"/>
      <c r="F768" s="5"/>
      <c r="G768" s="5" t="str">
        <f t="shared" si="2"/>
        <v/>
      </c>
      <c r="H768" s="5" t="str">
        <f t="shared" si="3"/>
        <v/>
      </c>
      <c r="I768" s="5" t="str">
        <f t="shared" si="4"/>
        <v/>
      </c>
      <c r="J768" s="5" t="str">
        <f t="shared" si="5"/>
        <v/>
      </c>
      <c r="K768" s="5" t="str">
        <f>IFERROR(__xludf.DUMMYFUNCTION("IF(C768&lt;&gt;"""",HYPERLINK(""https://wa.me/507""&amp;REGEXREPLACE(C768,""[^0-9]"","""")&amp;""?text=""&amp;ENCODEURL(""Ya llegue. Codigo: ""&amp;A768&amp;"". Ubicacion: ""&amp;""https://www.google.com/maps/search/?api=1&amp;query=""&amp;SUBSTITUTE(F768,"" "","""")),""📲 Avisar al cliente"""&amp;"),"""")"),"")</f>
        <v/>
      </c>
      <c r="L768" s="5" t="str">
        <f>IFERROR(__xludf.DUMMYFUNCTION("IF(C768&lt;&gt;"""",""https://api.qrserver.com/v1/create-qr-code/?size=200x200&amp;data=""&amp;ENCODEURL(""https://wa.me/507""&amp;REGEXREPLACE(C768,""[^0-9]"","""")&amp;""?text=""&amp;ENCODEURL(""Ya llegue. Codigo: ""&amp;A768&amp;"". Ubicacion: ""&amp;""https://www.google.com/maps/search/?a"&amp;"pi=1&amp;query=""&amp;SUBSTITUTE(F768,"" "",""""))),"""")"),"")</f>
        <v/>
      </c>
      <c r="M768" s="5" t="str">
        <f t="shared" si="6"/>
        <v/>
      </c>
      <c r="N768" s="5" t="str">
        <f>IFERROR(__xludf.DUMMYFUNCTION("IF(AND(F768&lt;&gt;"""",REGEXMATCH(SUBSTITUTE(F768,"" "",""""),""^-?\d+(\.\d+)?,-?\d+(\.\d+)?$""),VALUE(REGEXEXTRACT(SUBSTITUTE(F768,"" "",""""),""^-?\d+(\.\d+)?""))&gt;=-90,VALUE(REGEXEXTRACT(SUBSTITUTE(F768,"" "",""""),""^-?\d+(\.\d+)?""))&lt;=90,VALUE(REGEXEXTRACT"&amp;"(SUBSTITUTE(F768,"" "",""""),""-?\d+(\.\d+)?$""))&gt;=-180,VALUE(REGEXEXTRACT(SUBSTITUTE(F768,"" "",""""),""-?\d+(\.\d+)?$""))&lt;=180),""OK"",""REVISAR"")"),"#N/A")</f>
        <v>#N/A</v>
      </c>
    </row>
    <row r="769" ht="15.75" customHeight="1">
      <c r="A769" s="5" t="str">
        <f t="shared" si="1"/>
        <v>AD507-0767</v>
      </c>
      <c r="C769" s="5"/>
      <c r="F769" s="5"/>
      <c r="G769" s="5" t="str">
        <f t="shared" si="2"/>
        <v/>
      </c>
      <c r="H769" s="5" t="str">
        <f t="shared" si="3"/>
        <v/>
      </c>
      <c r="I769" s="5" t="str">
        <f t="shared" si="4"/>
        <v/>
      </c>
      <c r="J769" s="5" t="str">
        <f t="shared" si="5"/>
        <v/>
      </c>
      <c r="K769" s="5" t="str">
        <f>IFERROR(__xludf.DUMMYFUNCTION("IF(C769&lt;&gt;"""",HYPERLINK(""https://wa.me/507""&amp;REGEXREPLACE(C769,""[^0-9]"","""")&amp;""?text=""&amp;ENCODEURL(""Ya llegue. Codigo: ""&amp;A769&amp;"". Ubicacion: ""&amp;""https://www.google.com/maps/search/?api=1&amp;query=""&amp;SUBSTITUTE(F769,"" "","""")),""📲 Avisar al cliente"""&amp;"),"""")"),"")</f>
        <v/>
      </c>
      <c r="L769" s="5" t="str">
        <f>IFERROR(__xludf.DUMMYFUNCTION("IF(C769&lt;&gt;"""",""https://api.qrserver.com/v1/create-qr-code/?size=200x200&amp;data=""&amp;ENCODEURL(""https://wa.me/507""&amp;REGEXREPLACE(C769,""[^0-9]"","""")&amp;""?text=""&amp;ENCODEURL(""Ya llegue. Codigo: ""&amp;A769&amp;"". Ubicacion: ""&amp;""https://www.google.com/maps/search/?a"&amp;"pi=1&amp;query=""&amp;SUBSTITUTE(F769,"" "",""""))),"""")"),"")</f>
        <v/>
      </c>
      <c r="M769" s="5" t="str">
        <f t="shared" si="6"/>
        <v/>
      </c>
      <c r="N769" s="5" t="str">
        <f>IFERROR(__xludf.DUMMYFUNCTION("IF(AND(F769&lt;&gt;"""",REGEXMATCH(SUBSTITUTE(F769,"" "",""""),""^-?\d+(\.\d+)?,-?\d+(\.\d+)?$""),VALUE(REGEXEXTRACT(SUBSTITUTE(F769,"" "",""""),""^-?\d+(\.\d+)?""))&gt;=-90,VALUE(REGEXEXTRACT(SUBSTITUTE(F769,"" "",""""),""^-?\d+(\.\d+)?""))&lt;=90,VALUE(REGEXEXTRACT"&amp;"(SUBSTITUTE(F769,"" "",""""),""-?\d+(\.\d+)?$""))&gt;=-180,VALUE(REGEXEXTRACT(SUBSTITUTE(F769,"" "",""""),""-?\d+(\.\d+)?$""))&lt;=180),""OK"",""REVISAR"")"),"#N/A")</f>
        <v>#N/A</v>
      </c>
    </row>
    <row r="770" ht="15.75" customHeight="1">
      <c r="A770" s="5" t="str">
        <f t="shared" si="1"/>
        <v>AD507-0768</v>
      </c>
      <c r="C770" s="5"/>
      <c r="F770" s="5"/>
      <c r="G770" s="5" t="str">
        <f t="shared" si="2"/>
        <v/>
      </c>
      <c r="H770" s="5" t="str">
        <f t="shared" si="3"/>
        <v/>
      </c>
      <c r="I770" s="5" t="str">
        <f t="shared" si="4"/>
        <v/>
      </c>
      <c r="J770" s="5" t="str">
        <f t="shared" si="5"/>
        <v/>
      </c>
      <c r="K770" s="5" t="str">
        <f>IFERROR(__xludf.DUMMYFUNCTION("IF(C770&lt;&gt;"""",HYPERLINK(""https://wa.me/507""&amp;REGEXREPLACE(C770,""[^0-9]"","""")&amp;""?text=""&amp;ENCODEURL(""Ya llegue. Codigo: ""&amp;A770&amp;"". Ubicacion: ""&amp;""https://www.google.com/maps/search/?api=1&amp;query=""&amp;SUBSTITUTE(F770,"" "","""")),""📲 Avisar al cliente"""&amp;"),"""")"),"")</f>
        <v/>
      </c>
      <c r="L770" s="5" t="str">
        <f>IFERROR(__xludf.DUMMYFUNCTION("IF(C770&lt;&gt;"""",""https://api.qrserver.com/v1/create-qr-code/?size=200x200&amp;data=""&amp;ENCODEURL(""https://wa.me/507""&amp;REGEXREPLACE(C770,""[^0-9]"","""")&amp;""?text=""&amp;ENCODEURL(""Ya llegue. Codigo: ""&amp;A770&amp;"". Ubicacion: ""&amp;""https://www.google.com/maps/search/?a"&amp;"pi=1&amp;query=""&amp;SUBSTITUTE(F770,"" "",""""))),"""")"),"")</f>
        <v/>
      </c>
      <c r="M770" s="5" t="str">
        <f t="shared" si="6"/>
        <v/>
      </c>
      <c r="N770" s="5" t="str">
        <f>IFERROR(__xludf.DUMMYFUNCTION("IF(AND(F770&lt;&gt;"""",REGEXMATCH(SUBSTITUTE(F770,"" "",""""),""^-?\d+(\.\d+)?,-?\d+(\.\d+)?$""),VALUE(REGEXEXTRACT(SUBSTITUTE(F770,"" "",""""),""^-?\d+(\.\d+)?""))&gt;=-90,VALUE(REGEXEXTRACT(SUBSTITUTE(F770,"" "",""""),""^-?\d+(\.\d+)?""))&lt;=90,VALUE(REGEXEXTRACT"&amp;"(SUBSTITUTE(F770,"" "",""""),""-?\d+(\.\d+)?$""))&gt;=-180,VALUE(REGEXEXTRACT(SUBSTITUTE(F770,"" "",""""),""-?\d+(\.\d+)?$""))&lt;=180),""OK"",""REVISAR"")"),"#N/A")</f>
        <v>#N/A</v>
      </c>
    </row>
    <row r="771" ht="15.75" customHeight="1">
      <c r="A771" s="5" t="str">
        <f t="shared" si="1"/>
        <v>AD507-0769</v>
      </c>
      <c r="C771" s="5"/>
      <c r="F771" s="5"/>
      <c r="G771" s="5" t="str">
        <f t="shared" si="2"/>
        <v/>
      </c>
      <c r="H771" s="5" t="str">
        <f t="shared" si="3"/>
        <v/>
      </c>
      <c r="I771" s="5" t="str">
        <f t="shared" si="4"/>
        <v/>
      </c>
      <c r="J771" s="5" t="str">
        <f t="shared" si="5"/>
        <v/>
      </c>
      <c r="K771" s="5" t="str">
        <f>IFERROR(__xludf.DUMMYFUNCTION("IF(C771&lt;&gt;"""",HYPERLINK(""https://wa.me/507""&amp;REGEXREPLACE(C771,""[^0-9]"","""")&amp;""?text=""&amp;ENCODEURL(""Ya llegue. Codigo: ""&amp;A771&amp;"". Ubicacion: ""&amp;""https://www.google.com/maps/search/?api=1&amp;query=""&amp;SUBSTITUTE(F771,"" "","""")),""📲 Avisar al cliente"""&amp;"),"""")"),"")</f>
        <v/>
      </c>
      <c r="L771" s="5" t="str">
        <f>IFERROR(__xludf.DUMMYFUNCTION("IF(C771&lt;&gt;"""",""https://api.qrserver.com/v1/create-qr-code/?size=200x200&amp;data=""&amp;ENCODEURL(""https://wa.me/507""&amp;REGEXREPLACE(C771,""[^0-9]"","""")&amp;""?text=""&amp;ENCODEURL(""Ya llegue. Codigo: ""&amp;A771&amp;"". Ubicacion: ""&amp;""https://www.google.com/maps/search/?a"&amp;"pi=1&amp;query=""&amp;SUBSTITUTE(F771,"" "",""""))),"""")"),"")</f>
        <v/>
      </c>
      <c r="M771" s="5" t="str">
        <f t="shared" si="6"/>
        <v/>
      </c>
      <c r="N771" s="5" t="str">
        <f>IFERROR(__xludf.DUMMYFUNCTION("IF(AND(F771&lt;&gt;"""",REGEXMATCH(SUBSTITUTE(F771,"" "",""""),""^-?\d+(\.\d+)?,-?\d+(\.\d+)?$""),VALUE(REGEXEXTRACT(SUBSTITUTE(F771,"" "",""""),""^-?\d+(\.\d+)?""))&gt;=-90,VALUE(REGEXEXTRACT(SUBSTITUTE(F771,"" "",""""),""^-?\d+(\.\d+)?""))&lt;=90,VALUE(REGEXEXTRACT"&amp;"(SUBSTITUTE(F771,"" "",""""),""-?\d+(\.\d+)?$""))&gt;=-180,VALUE(REGEXEXTRACT(SUBSTITUTE(F771,"" "",""""),""-?\d+(\.\d+)?$""))&lt;=180),""OK"",""REVISAR"")"),"#N/A")</f>
        <v>#N/A</v>
      </c>
    </row>
    <row r="772" ht="15.75" customHeight="1">
      <c r="A772" s="5" t="str">
        <f t="shared" si="1"/>
        <v>AD507-0770</v>
      </c>
      <c r="C772" s="5"/>
      <c r="F772" s="5"/>
      <c r="G772" s="5" t="str">
        <f t="shared" si="2"/>
        <v/>
      </c>
      <c r="H772" s="5" t="str">
        <f t="shared" si="3"/>
        <v/>
      </c>
      <c r="I772" s="5" t="str">
        <f t="shared" si="4"/>
        <v/>
      </c>
      <c r="J772" s="5" t="str">
        <f t="shared" si="5"/>
        <v/>
      </c>
      <c r="K772" s="5" t="str">
        <f>IFERROR(__xludf.DUMMYFUNCTION("IF(C772&lt;&gt;"""",HYPERLINK(""https://wa.me/507""&amp;REGEXREPLACE(C772,""[^0-9]"","""")&amp;""?text=""&amp;ENCODEURL(""Ya llegue. Codigo: ""&amp;A772&amp;"". Ubicacion: ""&amp;""https://www.google.com/maps/search/?api=1&amp;query=""&amp;SUBSTITUTE(F772,"" "","""")),""📲 Avisar al cliente"""&amp;"),"""")"),"")</f>
        <v/>
      </c>
      <c r="L772" s="5" t="str">
        <f>IFERROR(__xludf.DUMMYFUNCTION("IF(C772&lt;&gt;"""",""https://api.qrserver.com/v1/create-qr-code/?size=200x200&amp;data=""&amp;ENCODEURL(""https://wa.me/507""&amp;REGEXREPLACE(C772,""[^0-9]"","""")&amp;""?text=""&amp;ENCODEURL(""Ya llegue. Codigo: ""&amp;A772&amp;"". Ubicacion: ""&amp;""https://www.google.com/maps/search/?a"&amp;"pi=1&amp;query=""&amp;SUBSTITUTE(F772,"" "",""""))),"""")"),"")</f>
        <v/>
      </c>
      <c r="M772" s="5" t="str">
        <f t="shared" si="6"/>
        <v/>
      </c>
      <c r="N772" s="5" t="str">
        <f>IFERROR(__xludf.DUMMYFUNCTION("IF(AND(F772&lt;&gt;"""",REGEXMATCH(SUBSTITUTE(F772,"" "",""""),""^-?\d+(\.\d+)?,-?\d+(\.\d+)?$""),VALUE(REGEXEXTRACT(SUBSTITUTE(F772,"" "",""""),""^-?\d+(\.\d+)?""))&gt;=-90,VALUE(REGEXEXTRACT(SUBSTITUTE(F772,"" "",""""),""^-?\d+(\.\d+)?""))&lt;=90,VALUE(REGEXEXTRACT"&amp;"(SUBSTITUTE(F772,"" "",""""),""-?\d+(\.\d+)?$""))&gt;=-180,VALUE(REGEXEXTRACT(SUBSTITUTE(F772,"" "",""""),""-?\d+(\.\d+)?$""))&lt;=180),""OK"",""REVISAR"")"),"#N/A")</f>
        <v>#N/A</v>
      </c>
    </row>
    <row r="773" ht="15.75" customHeight="1">
      <c r="A773" s="5" t="str">
        <f t="shared" si="1"/>
        <v>AD507-0771</v>
      </c>
      <c r="C773" s="5"/>
      <c r="F773" s="5"/>
      <c r="G773" s="5" t="str">
        <f t="shared" si="2"/>
        <v/>
      </c>
      <c r="H773" s="5" t="str">
        <f t="shared" si="3"/>
        <v/>
      </c>
      <c r="I773" s="5" t="str">
        <f t="shared" si="4"/>
        <v/>
      </c>
      <c r="J773" s="5" t="str">
        <f t="shared" si="5"/>
        <v/>
      </c>
      <c r="K773" s="5" t="str">
        <f>IFERROR(__xludf.DUMMYFUNCTION("IF(C773&lt;&gt;"""",HYPERLINK(""https://wa.me/507""&amp;REGEXREPLACE(C773,""[^0-9]"","""")&amp;""?text=""&amp;ENCODEURL(""Ya llegue. Codigo: ""&amp;A773&amp;"". Ubicacion: ""&amp;""https://www.google.com/maps/search/?api=1&amp;query=""&amp;SUBSTITUTE(F773,"" "","""")),""📲 Avisar al cliente"""&amp;"),"""")"),"")</f>
        <v/>
      </c>
      <c r="L773" s="5" t="str">
        <f>IFERROR(__xludf.DUMMYFUNCTION("IF(C773&lt;&gt;"""",""https://api.qrserver.com/v1/create-qr-code/?size=200x200&amp;data=""&amp;ENCODEURL(""https://wa.me/507""&amp;REGEXREPLACE(C773,""[^0-9]"","""")&amp;""?text=""&amp;ENCODEURL(""Ya llegue. Codigo: ""&amp;A773&amp;"". Ubicacion: ""&amp;""https://www.google.com/maps/search/?a"&amp;"pi=1&amp;query=""&amp;SUBSTITUTE(F773,"" "",""""))),"""")"),"")</f>
        <v/>
      </c>
      <c r="M773" s="5" t="str">
        <f t="shared" si="6"/>
        <v/>
      </c>
      <c r="N773" s="5" t="str">
        <f>IFERROR(__xludf.DUMMYFUNCTION("IF(AND(F773&lt;&gt;"""",REGEXMATCH(SUBSTITUTE(F773,"" "",""""),""^-?\d+(\.\d+)?,-?\d+(\.\d+)?$""),VALUE(REGEXEXTRACT(SUBSTITUTE(F773,"" "",""""),""^-?\d+(\.\d+)?""))&gt;=-90,VALUE(REGEXEXTRACT(SUBSTITUTE(F773,"" "",""""),""^-?\d+(\.\d+)?""))&lt;=90,VALUE(REGEXEXTRACT"&amp;"(SUBSTITUTE(F773,"" "",""""),""-?\d+(\.\d+)?$""))&gt;=-180,VALUE(REGEXEXTRACT(SUBSTITUTE(F773,"" "",""""),""-?\d+(\.\d+)?$""))&lt;=180),""OK"",""REVISAR"")"),"#N/A")</f>
        <v>#N/A</v>
      </c>
    </row>
    <row r="774" ht="15.75" customHeight="1">
      <c r="A774" s="5" t="str">
        <f t="shared" si="1"/>
        <v>AD507-0772</v>
      </c>
      <c r="C774" s="5"/>
      <c r="F774" s="5"/>
      <c r="G774" s="5" t="str">
        <f t="shared" si="2"/>
        <v/>
      </c>
      <c r="H774" s="5" t="str">
        <f t="shared" si="3"/>
        <v/>
      </c>
      <c r="I774" s="5" t="str">
        <f t="shared" si="4"/>
        <v/>
      </c>
      <c r="J774" s="5" t="str">
        <f t="shared" si="5"/>
        <v/>
      </c>
      <c r="K774" s="5" t="str">
        <f>IFERROR(__xludf.DUMMYFUNCTION("IF(C774&lt;&gt;"""",HYPERLINK(""https://wa.me/507""&amp;REGEXREPLACE(C774,""[^0-9]"","""")&amp;""?text=""&amp;ENCODEURL(""Ya llegue. Codigo: ""&amp;A774&amp;"". Ubicacion: ""&amp;""https://www.google.com/maps/search/?api=1&amp;query=""&amp;SUBSTITUTE(F774,"" "","""")),""📲 Avisar al cliente"""&amp;"),"""")"),"")</f>
        <v/>
      </c>
      <c r="L774" s="5" t="str">
        <f>IFERROR(__xludf.DUMMYFUNCTION("IF(C774&lt;&gt;"""",""https://api.qrserver.com/v1/create-qr-code/?size=200x200&amp;data=""&amp;ENCODEURL(""https://wa.me/507""&amp;REGEXREPLACE(C774,""[^0-9]"","""")&amp;""?text=""&amp;ENCODEURL(""Ya llegue. Codigo: ""&amp;A774&amp;"". Ubicacion: ""&amp;""https://www.google.com/maps/search/?a"&amp;"pi=1&amp;query=""&amp;SUBSTITUTE(F774,"" "",""""))),"""")"),"")</f>
        <v/>
      </c>
      <c r="M774" s="5" t="str">
        <f t="shared" si="6"/>
        <v/>
      </c>
      <c r="N774" s="5" t="str">
        <f>IFERROR(__xludf.DUMMYFUNCTION("IF(AND(F774&lt;&gt;"""",REGEXMATCH(SUBSTITUTE(F774,"" "",""""),""^-?\d+(\.\d+)?,-?\d+(\.\d+)?$""),VALUE(REGEXEXTRACT(SUBSTITUTE(F774,"" "",""""),""^-?\d+(\.\d+)?""))&gt;=-90,VALUE(REGEXEXTRACT(SUBSTITUTE(F774,"" "",""""),""^-?\d+(\.\d+)?""))&lt;=90,VALUE(REGEXEXTRACT"&amp;"(SUBSTITUTE(F774,"" "",""""),""-?\d+(\.\d+)?$""))&gt;=-180,VALUE(REGEXEXTRACT(SUBSTITUTE(F774,"" "",""""),""-?\d+(\.\d+)?$""))&lt;=180),""OK"",""REVISAR"")"),"#N/A")</f>
        <v>#N/A</v>
      </c>
    </row>
    <row r="775" ht="15.75" customHeight="1">
      <c r="A775" s="5" t="str">
        <f t="shared" si="1"/>
        <v>AD507-0773</v>
      </c>
      <c r="C775" s="5"/>
      <c r="F775" s="5"/>
      <c r="G775" s="5" t="str">
        <f t="shared" si="2"/>
        <v/>
      </c>
      <c r="H775" s="5" t="str">
        <f t="shared" si="3"/>
        <v/>
      </c>
      <c r="I775" s="5" t="str">
        <f t="shared" si="4"/>
        <v/>
      </c>
      <c r="J775" s="5" t="str">
        <f t="shared" si="5"/>
        <v/>
      </c>
      <c r="K775" s="5" t="str">
        <f>IFERROR(__xludf.DUMMYFUNCTION("IF(C775&lt;&gt;"""",HYPERLINK(""https://wa.me/507""&amp;REGEXREPLACE(C775,""[^0-9]"","""")&amp;""?text=""&amp;ENCODEURL(""Ya llegue. Codigo: ""&amp;A775&amp;"". Ubicacion: ""&amp;""https://www.google.com/maps/search/?api=1&amp;query=""&amp;SUBSTITUTE(F775,"" "","""")),""📲 Avisar al cliente"""&amp;"),"""")"),"")</f>
        <v/>
      </c>
      <c r="L775" s="5" t="str">
        <f>IFERROR(__xludf.DUMMYFUNCTION("IF(C775&lt;&gt;"""",""https://api.qrserver.com/v1/create-qr-code/?size=200x200&amp;data=""&amp;ENCODEURL(""https://wa.me/507""&amp;REGEXREPLACE(C775,""[^0-9]"","""")&amp;""?text=""&amp;ENCODEURL(""Ya llegue. Codigo: ""&amp;A775&amp;"". Ubicacion: ""&amp;""https://www.google.com/maps/search/?a"&amp;"pi=1&amp;query=""&amp;SUBSTITUTE(F775,"" "",""""))),"""")"),"")</f>
        <v/>
      </c>
      <c r="M775" s="5" t="str">
        <f t="shared" si="6"/>
        <v/>
      </c>
      <c r="N775" s="5" t="str">
        <f>IFERROR(__xludf.DUMMYFUNCTION("IF(AND(F775&lt;&gt;"""",REGEXMATCH(SUBSTITUTE(F775,"" "",""""),""^-?\d+(\.\d+)?,-?\d+(\.\d+)?$""),VALUE(REGEXEXTRACT(SUBSTITUTE(F775,"" "",""""),""^-?\d+(\.\d+)?""))&gt;=-90,VALUE(REGEXEXTRACT(SUBSTITUTE(F775,"" "",""""),""^-?\d+(\.\d+)?""))&lt;=90,VALUE(REGEXEXTRACT"&amp;"(SUBSTITUTE(F775,"" "",""""),""-?\d+(\.\d+)?$""))&gt;=-180,VALUE(REGEXEXTRACT(SUBSTITUTE(F775,"" "",""""),""-?\d+(\.\d+)?$""))&lt;=180),""OK"",""REVISAR"")"),"#N/A")</f>
        <v>#N/A</v>
      </c>
    </row>
    <row r="776" ht="15.75" customHeight="1">
      <c r="A776" s="5" t="str">
        <f t="shared" si="1"/>
        <v>AD507-0774</v>
      </c>
      <c r="C776" s="5"/>
      <c r="F776" s="5"/>
      <c r="G776" s="5" t="str">
        <f t="shared" si="2"/>
        <v/>
      </c>
      <c r="H776" s="5" t="str">
        <f t="shared" si="3"/>
        <v/>
      </c>
      <c r="I776" s="5" t="str">
        <f t="shared" si="4"/>
        <v/>
      </c>
      <c r="J776" s="5" t="str">
        <f t="shared" si="5"/>
        <v/>
      </c>
      <c r="K776" s="5" t="str">
        <f>IFERROR(__xludf.DUMMYFUNCTION("IF(C776&lt;&gt;"""",HYPERLINK(""https://wa.me/507""&amp;REGEXREPLACE(C776,""[^0-9]"","""")&amp;""?text=""&amp;ENCODEURL(""Ya llegue. Codigo: ""&amp;A776&amp;"". Ubicacion: ""&amp;""https://www.google.com/maps/search/?api=1&amp;query=""&amp;SUBSTITUTE(F776,"" "","""")),""📲 Avisar al cliente"""&amp;"),"""")"),"")</f>
        <v/>
      </c>
      <c r="L776" s="5" t="str">
        <f>IFERROR(__xludf.DUMMYFUNCTION("IF(C776&lt;&gt;"""",""https://api.qrserver.com/v1/create-qr-code/?size=200x200&amp;data=""&amp;ENCODEURL(""https://wa.me/507""&amp;REGEXREPLACE(C776,""[^0-9]"","""")&amp;""?text=""&amp;ENCODEURL(""Ya llegue. Codigo: ""&amp;A776&amp;"". Ubicacion: ""&amp;""https://www.google.com/maps/search/?a"&amp;"pi=1&amp;query=""&amp;SUBSTITUTE(F776,"" "",""""))),"""")"),"")</f>
        <v/>
      </c>
      <c r="M776" s="5" t="str">
        <f t="shared" si="6"/>
        <v/>
      </c>
      <c r="N776" s="5" t="str">
        <f>IFERROR(__xludf.DUMMYFUNCTION("IF(AND(F776&lt;&gt;"""",REGEXMATCH(SUBSTITUTE(F776,"" "",""""),""^-?\d+(\.\d+)?,-?\d+(\.\d+)?$""),VALUE(REGEXEXTRACT(SUBSTITUTE(F776,"" "",""""),""^-?\d+(\.\d+)?""))&gt;=-90,VALUE(REGEXEXTRACT(SUBSTITUTE(F776,"" "",""""),""^-?\d+(\.\d+)?""))&lt;=90,VALUE(REGEXEXTRACT"&amp;"(SUBSTITUTE(F776,"" "",""""),""-?\d+(\.\d+)?$""))&gt;=-180,VALUE(REGEXEXTRACT(SUBSTITUTE(F776,"" "",""""),""-?\d+(\.\d+)?$""))&lt;=180),""OK"",""REVISAR"")"),"#N/A")</f>
        <v>#N/A</v>
      </c>
    </row>
    <row r="777" ht="15.75" customHeight="1">
      <c r="A777" s="5" t="str">
        <f t="shared" si="1"/>
        <v>AD507-0775</v>
      </c>
      <c r="C777" s="5"/>
      <c r="F777" s="5"/>
      <c r="G777" s="5" t="str">
        <f t="shared" si="2"/>
        <v/>
      </c>
      <c r="H777" s="5" t="str">
        <f t="shared" si="3"/>
        <v/>
      </c>
      <c r="I777" s="5" t="str">
        <f t="shared" si="4"/>
        <v/>
      </c>
      <c r="J777" s="5" t="str">
        <f t="shared" si="5"/>
        <v/>
      </c>
      <c r="K777" s="5" t="str">
        <f>IFERROR(__xludf.DUMMYFUNCTION("IF(C777&lt;&gt;"""",HYPERLINK(""https://wa.me/507""&amp;REGEXREPLACE(C777,""[^0-9]"","""")&amp;""?text=""&amp;ENCODEURL(""Ya llegue. Codigo: ""&amp;A777&amp;"". Ubicacion: ""&amp;""https://www.google.com/maps/search/?api=1&amp;query=""&amp;SUBSTITUTE(F777,"" "","""")),""📲 Avisar al cliente"""&amp;"),"""")"),"")</f>
        <v/>
      </c>
      <c r="L777" s="5" t="str">
        <f>IFERROR(__xludf.DUMMYFUNCTION("IF(C777&lt;&gt;"""",""https://api.qrserver.com/v1/create-qr-code/?size=200x200&amp;data=""&amp;ENCODEURL(""https://wa.me/507""&amp;REGEXREPLACE(C777,""[^0-9]"","""")&amp;""?text=""&amp;ENCODEURL(""Ya llegue. Codigo: ""&amp;A777&amp;"". Ubicacion: ""&amp;""https://www.google.com/maps/search/?a"&amp;"pi=1&amp;query=""&amp;SUBSTITUTE(F777,"" "",""""))),"""")"),"")</f>
        <v/>
      </c>
      <c r="M777" s="5" t="str">
        <f t="shared" si="6"/>
        <v/>
      </c>
      <c r="N777" s="5" t="str">
        <f>IFERROR(__xludf.DUMMYFUNCTION("IF(AND(F777&lt;&gt;"""",REGEXMATCH(SUBSTITUTE(F777,"" "",""""),""^-?\d+(\.\d+)?,-?\d+(\.\d+)?$""),VALUE(REGEXEXTRACT(SUBSTITUTE(F777,"" "",""""),""^-?\d+(\.\d+)?""))&gt;=-90,VALUE(REGEXEXTRACT(SUBSTITUTE(F777,"" "",""""),""^-?\d+(\.\d+)?""))&lt;=90,VALUE(REGEXEXTRACT"&amp;"(SUBSTITUTE(F777,"" "",""""),""-?\d+(\.\d+)?$""))&gt;=-180,VALUE(REGEXEXTRACT(SUBSTITUTE(F777,"" "",""""),""-?\d+(\.\d+)?$""))&lt;=180),""OK"",""REVISAR"")"),"#N/A")</f>
        <v>#N/A</v>
      </c>
    </row>
    <row r="778" ht="15.75" customHeight="1">
      <c r="A778" s="5" t="str">
        <f t="shared" si="1"/>
        <v>AD507-0776</v>
      </c>
      <c r="C778" s="5"/>
      <c r="F778" s="5"/>
      <c r="G778" s="5" t="str">
        <f t="shared" si="2"/>
        <v/>
      </c>
      <c r="H778" s="5" t="str">
        <f t="shared" si="3"/>
        <v/>
      </c>
      <c r="I778" s="5" t="str">
        <f t="shared" si="4"/>
        <v/>
      </c>
      <c r="J778" s="5" t="str">
        <f t="shared" si="5"/>
        <v/>
      </c>
      <c r="K778" s="5" t="str">
        <f>IFERROR(__xludf.DUMMYFUNCTION("IF(C778&lt;&gt;"""",HYPERLINK(""https://wa.me/507""&amp;REGEXREPLACE(C778,""[^0-9]"","""")&amp;""?text=""&amp;ENCODEURL(""Ya llegue. Codigo: ""&amp;A778&amp;"". Ubicacion: ""&amp;""https://www.google.com/maps/search/?api=1&amp;query=""&amp;SUBSTITUTE(F778,"" "","""")),""📲 Avisar al cliente"""&amp;"),"""")"),"")</f>
        <v/>
      </c>
      <c r="L778" s="5" t="str">
        <f>IFERROR(__xludf.DUMMYFUNCTION("IF(C778&lt;&gt;"""",""https://api.qrserver.com/v1/create-qr-code/?size=200x200&amp;data=""&amp;ENCODEURL(""https://wa.me/507""&amp;REGEXREPLACE(C778,""[^0-9]"","""")&amp;""?text=""&amp;ENCODEURL(""Ya llegue. Codigo: ""&amp;A778&amp;"". Ubicacion: ""&amp;""https://www.google.com/maps/search/?a"&amp;"pi=1&amp;query=""&amp;SUBSTITUTE(F778,"" "",""""))),"""")"),"")</f>
        <v/>
      </c>
      <c r="M778" s="5" t="str">
        <f t="shared" si="6"/>
        <v/>
      </c>
      <c r="N778" s="5" t="str">
        <f>IFERROR(__xludf.DUMMYFUNCTION("IF(AND(F778&lt;&gt;"""",REGEXMATCH(SUBSTITUTE(F778,"" "",""""),""^-?\d+(\.\d+)?,-?\d+(\.\d+)?$""),VALUE(REGEXEXTRACT(SUBSTITUTE(F778,"" "",""""),""^-?\d+(\.\d+)?""))&gt;=-90,VALUE(REGEXEXTRACT(SUBSTITUTE(F778,"" "",""""),""^-?\d+(\.\d+)?""))&lt;=90,VALUE(REGEXEXTRACT"&amp;"(SUBSTITUTE(F778,"" "",""""),""-?\d+(\.\d+)?$""))&gt;=-180,VALUE(REGEXEXTRACT(SUBSTITUTE(F778,"" "",""""),""-?\d+(\.\d+)?$""))&lt;=180),""OK"",""REVISAR"")"),"#N/A")</f>
        <v>#N/A</v>
      </c>
    </row>
    <row r="779" ht="15.75" customHeight="1">
      <c r="A779" s="5" t="str">
        <f t="shared" si="1"/>
        <v>AD507-0777</v>
      </c>
      <c r="C779" s="5"/>
      <c r="F779" s="5"/>
      <c r="G779" s="5" t="str">
        <f t="shared" si="2"/>
        <v/>
      </c>
      <c r="H779" s="5" t="str">
        <f t="shared" si="3"/>
        <v/>
      </c>
      <c r="I779" s="5" t="str">
        <f t="shared" si="4"/>
        <v/>
      </c>
      <c r="J779" s="5" t="str">
        <f t="shared" si="5"/>
        <v/>
      </c>
      <c r="K779" s="5" t="str">
        <f>IFERROR(__xludf.DUMMYFUNCTION("IF(C779&lt;&gt;"""",HYPERLINK(""https://wa.me/507""&amp;REGEXREPLACE(C779,""[^0-9]"","""")&amp;""?text=""&amp;ENCODEURL(""Ya llegue. Codigo: ""&amp;A779&amp;"". Ubicacion: ""&amp;""https://www.google.com/maps/search/?api=1&amp;query=""&amp;SUBSTITUTE(F779,"" "","""")),""📲 Avisar al cliente"""&amp;"),"""")"),"")</f>
        <v/>
      </c>
      <c r="L779" s="5" t="str">
        <f>IFERROR(__xludf.DUMMYFUNCTION("IF(C779&lt;&gt;"""",""https://api.qrserver.com/v1/create-qr-code/?size=200x200&amp;data=""&amp;ENCODEURL(""https://wa.me/507""&amp;REGEXREPLACE(C779,""[^0-9]"","""")&amp;""?text=""&amp;ENCODEURL(""Ya llegue. Codigo: ""&amp;A779&amp;"". Ubicacion: ""&amp;""https://www.google.com/maps/search/?a"&amp;"pi=1&amp;query=""&amp;SUBSTITUTE(F779,"" "",""""))),"""")"),"")</f>
        <v/>
      </c>
      <c r="M779" s="5" t="str">
        <f t="shared" si="6"/>
        <v/>
      </c>
      <c r="N779" s="5" t="str">
        <f>IFERROR(__xludf.DUMMYFUNCTION("IF(AND(F779&lt;&gt;"""",REGEXMATCH(SUBSTITUTE(F779,"" "",""""),""^-?\d+(\.\d+)?,-?\d+(\.\d+)?$""),VALUE(REGEXEXTRACT(SUBSTITUTE(F779,"" "",""""),""^-?\d+(\.\d+)?""))&gt;=-90,VALUE(REGEXEXTRACT(SUBSTITUTE(F779,"" "",""""),""^-?\d+(\.\d+)?""))&lt;=90,VALUE(REGEXEXTRACT"&amp;"(SUBSTITUTE(F779,"" "",""""),""-?\d+(\.\d+)?$""))&gt;=-180,VALUE(REGEXEXTRACT(SUBSTITUTE(F779,"" "",""""),""-?\d+(\.\d+)?$""))&lt;=180),""OK"",""REVISAR"")"),"#N/A")</f>
        <v>#N/A</v>
      </c>
    </row>
    <row r="780" ht="15.75" customHeight="1">
      <c r="A780" s="5" t="str">
        <f t="shared" si="1"/>
        <v>AD507-0778</v>
      </c>
      <c r="C780" s="5"/>
      <c r="F780" s="5"/>
      <c r="G780" s="5" t="str">
        <f t="shared" si="2"/>
        <v/>
      </c>
      <c r="H780" s="5" t="str">
        <f t="shared" si="3"/>
        <v/>
      </c>
      <c r="I780" s="5" t="str">
        <f t="shared" si="4"/>
        <v/>
      </c>
      <c r="J780" s="5" t="str">
        <f t="shared" si="5"/>
        <v/>
      </c>
      <c r="K780" s="5" t="str">
        <f>IFERROR(__xludf.DUMMYFUNCTION("IF(C780&lt;&gt;"""",HYPERLINK(""https://wa.me/507""&amp;REGEXREPLACE(C780,""[^0-9]"","""")&amp;""?text=""&amp;ENCODEURL(""Ya llegue. Codigo: ""&amp;A780&amp;"". Ubicacion: ""&amp;""https://www.google.com/maps/search/?api=1&amp;query=""&amp;SUBSTITUTE(F780,"" "","""")),""📲 Avisar al cliente"""&amp;"),"""")"),"")</f>
        <v/>
      </c>
      <c r="L780" s="5" t="str">
        <f>IFERROR(__xludf.DUMMYFUNCTION("IF(C780&lt;&gt;"""",""https://api.qrserver.com/v1/create-qr-code/?size=200x200&amp;data=""&amp;ENCODEURL(""https://wa.me/507""&amp;REGEXREPLACE(C780,""[^0-9]"","""")&amp;""?text=""&amp;ENCODEURL(""Ya llegue. Codigo: ""&amp;A780&amp;"". Ubicacion: ""&amp;""https://www.google.com/maps/search/?a"&amp;"pi=1&amp;query=""&amp;SUBSTITUTE(F780,"" "",""""))),"""")"),"")</f>
        <v/>
      </c>
      <c r="M780" s="5" t="str">
        <f t="shared" si="6"/>
        <v/>
      </c>
      <c r="N780" s="5" t="str">
        <f>IFERROR(__xludf.DUMMYFUNCTION("IF(AND(F780&lt;&gt;"""",REGEXMATCH(SUBSTITUTE(F780,"" "",""""),""^-?\d+(\.\d+)?,-?\d+(\.\d+)?$""),VALUE(REGEXEXTRACT(SUBSTITUTE(F780,"" "",""""),""^-?\d+(\.\d+)?""))&gt;=-90,VALUE(REGEXEXTRACT(SUBSTITUTE(F780,"" "",""""),""^-?\d+(\.\d+)?""))&lt;=90,VALUE(REGEXEXTRACT"&amp;"(SUBSTITUTE(F780,"" "",""""),""-?\d+(\.\d+)?$""))&gt;=-180,VALUE(REGEXEXTRACT(SUBSTITUTE(F780,"" "",""""),""-?\d+(\.\d+)?$""))&lt;=180),""OK"",""REVISAR"")"),"#N/A")</f>
        <v>#N/A</v>
      </c>
    </row>
    <row r="781" ht="15.75" customHeight="1">
      <c r="A781" s="5" t="str">
        <f t="shared" si="1"/>
        <v>AD507-0779</v>
      </c>
      <c r="C781" s="5"/>
      <c r="F781" s="5"/>
      <c r="G781" s="5" t="str">
        <f t="shared" si="2"/>
        <v/>
      </c>
      <c r="H781" s="5" t="str">
        <f t="shared" si="3"/>
        <v/>
      </c>
      <c r="I781" s="5" t="str">
        <f t="shared" si="4"/>
        <v/>
      </c>
      <c r="J781" s="5" t="str">
        <f t="shared" si="5"/>
        <v/>
      </c>
      <c r="K781" s="5" t="str">
        <f>IFERROR(__xludf.DUMMYFUNCTION("IF(C781&lt;&gt;"""",HYPERLINK(""https://wa.me/507""&amp;REGEXREPLACE(C781,""[^0-9]"","""")&amp;""?text=""&amp;ENCODEURL(""Ya llegue. Codigo: ""&amp;A781&amp;"". Ubicacion: ""&amp;""https://www.google.com/maps/search/?api=1&amp;query=""&amp;SUBSTITUTE(F781,"" "","""")),""📲 Avisar al cliente"""&amp;"),"""")"),"")</f>
        <v/>
      </c>
      <c r="L781" s="5" t="str">
        <f>IFERROR(__xludf.DUMMYFUNCTION("IF(C781&lt;&gt;"""",""https://api.qrserver.com/v1/create-qr-code/?size=200x200&amp;data=""&amp;ENCODEURL(""https://wa.me/507""&amp;REGEXREPLACE(C781,""[^0-9]"","""")&amp;""?text=""&amp;ENCODEURL(""Ya llegue. Codigo: ""&amp;A781&amp;"". Ubicacion: ""&amp;""https://www.google.com/maps/search/?a"&amp;"pi=1&amp;query=""&amp;SUBSTITUTE(F781,"" "",""""))),"""")"),"")</f>
        <v/>
      </c>
      <c r="M781" s="5" t="str">
        <f t="shared" si="6"/>
        <v/>
      </c>
      <c r="N781" s="5" t="str">
        <f>IFERROR(__xludf.DUMMYFUNCTION("IF(AND(F781&lt;&gt;"""",REGEXMATCH(SUBSTITUTE(F781,"" "",""""),""^-?\d+(\.\d+)?,-?\d+(\.\d+)?$""),VALUE(REGEXEXTRACT(SUBSTITUTE(F781,"" "",""""),""^-?\d+(\.\d+)?""))&gt;=-90,VALUE(REGEXEXTRACT(SUBSTITUTE(F781,"" "",""""),""^-?\d+(\.\d+)?""))&lt;=90,VALUE(REGEXEXTRACT"&amp;"(SUBSTITUTE(F781,"" "",""""),""-?\d+(\.\d+)?$""))&gt;=-180,VALUE(REGEXEXTRACT(SUBSTITUTE(F781,"" "",""""),""-?\d+(\.\d+)?$""))&lt;=180),""OK"",""REVISAR"")"),"#N/A")</f>
        <v>#N/A</v>
      </c>
    </row>
    <row r="782" ht="15.75" customHeight="1">
      <c r="A782" s="5" t="str">
        <f t="shared" si="1"/>
        <v>AD507-0780</v>
      </c>
      <c r="C782" s="5"/>
      <c r="F782" s="5"/>
      <c r="G782" s="5" t="str">
        <f t="shared" si="2"/>
        <v/>
      </c>
      <c r="H782" s="5" t="str">
        <f t="shared" si="3"/>
        <v/>
      </c>
      <c r="I782" s="5" t="str">
        <f t="shared" si="4"/>
        <v/>
      </c>
      <c r="J782" s="5" t="str">
        <f t="shared" si="5"/>
        <v/>
      </c>
      <c r="K782" s="5" t="str">
        <f>IFERROR(__xludf.DUMMYFUNCTION("IF(C782&lt;&gt;"""",HYPERLINK(""https://wa.me/507""&amp;REGEXREPLACE(C782,""[^0-9]"","""")&amp;""?text=""&amp;ENCODEURL(""Ya llegue. Codigo: ""&amp;A782&amp;"". Ubicacion: ""&amp;""https://www.google.com/maps/search/?api=1&amp;query=""&amp;SUBSTITUTE(F782,"" "","""")),""📲 Avisar al cliente"""&amp;"),"""")"),"")</f>
        <v/>
      </c>
      <c r="L782" s="5" t="str">
        <f>IFERROR(__xludf.DUMMYFUNCTION("IF(C782&lt;&gt;"""",""https://api.qrserver.com/v1/create-qr-code/?size=200x200&amp;data=""&amp;ENCODEURL(""https://wa.me/507""&amp;REGEXREPLACE(C782,""[^0-9]"","""")&amp;""?text=""&amp;ENCODEURL(""Ya llegue. Codigo: ""&amp;A782&amp;"". Ubicacion: ""&amp;""https://www.google.com/maps/search/?a"&amp;"pi=1&amp;query=""&amp;SUBSTITUTE(F782,"" "",""""))),"""")"),"")</f>
        <v/>
      </c>
      <c r="M782" s="5" t="str">
        <f t="shared" si="6"/>
        <v/>
      </c>
      <c r="N782" s="5" t="str">
        <f>IFERROR(__xludf.DUMMYFUNCTION("IF(AND(F782&lt;&gt;"""",REGEXMATCH(SUBSTITUTE(F782,"" "",""""),""^-?\d+(\.\d+)?,-?\d+(\.\d+)?$""),VALUE(REGEXEXTRACT(SUBSTITUTE(F782,"" "",""""),""^-?\d+(\.\d+)?""))&gt;=-90,VALUE(REGEXEXTRACT(SUBSTITUTE(F782,"" "",""""),""^-?\d+(\.\d+)?""))&lt;=90,VALUE(REGEXEXTRACT"&amp;"(SUBSTITUTE(F782,"" "",""""),""-?\d+(\.\d+)?$""))&gt;=-180,VALUE(REGEXEXTRACT(SUBSTITUTE(F782,"" "",""""),""-?\d+(\.\d+)?$""))&lt;=180),""OK"",""REVISAR"")"),"#N/A")</f>
        <v>#N/A</v>
      </c>
    </row>
    <row r="783" ht="15.75" customHeight="1">
      <c r="A783" s="5" t="str">
        <f t="shared" si="1"/>
        <v>AD507-0781</v>
      </c>
      <c r="C783" s="5"/>
      <c r="F783" s="5"/>
      <c r="G783" s="5" t="str">
        <f t="shared" si="2"/>
        <v/>
      </c>
      <c r="H783" s="5" t="str">
        <f t="shared" si="3"/>
        <v/>
      </c>
      <c r="I783" s="5" t="str">
        <f t="shared" si="4"/>
        <v/>
      </c>
      <c r="J783" s="5" t="str">
        <f t="shared" si="5"/>
        <v/>
      </c>
      <c r="K783" s="5" t="str">
        <f>IFERROR(__xludf.DUMMYFUNCTION("IF(C783&lt;&gt;"""",HYPERLINK(""https://wa.me/507""&amp;REGEXREPLACE(C783,""[^0-9]"","""")&amp;""?text=""&amp;ENCODEURL(""Ya llegue. Codigo: ""&amp;A783&amp;"". Ubicacion: ""&amp;""https://www.google.com/maps/search/?api=1&amp;query=""&amp;SUBSTITUTE(F783,"" "","""")),""📲 Avisar al cliente"""&amp;"),"""")"),"")</f>
        <v/>
      </c>
      <c r="L783" s="5" t="str">
        <f>IFERROR(__xludf.DUMMYFUNCTION("IF(C783&lt;&gt;"""",""https://api.qrserver.com/v1/create-qr-code/?size=200x200&amp;data=""&amp;ENCODEURL(""https://wa.me/507""&amp;REGEXREPLACE(C783,""[^0-9]"","""")&amp;""?text=""&amp;ENCODEURL(""Ya llegue. Codigo: ""&amp;A783&amp;"". Ubicacion: ""&amp;""https://www.google.com/maps/search/?a"&amp;"pi=1&amp;query=""&amp;SUBSTITUTE(F783,"" "",""""))),"""")"),"")</f>
        <v/>
      </c>
      <c r="M783" s="5" t="str">
        <f t="shared" si="6"/>
        <v/>
      </c>
      <c r="N783" s="5" t="str">
        <f>IFERROR(__xludf.DUMMYFUNCTION("IF(AND(F783&lt;&gt;"""",REGEXMATCH(SUBSTITUTE(F783,"" "",""""),""^-?\d+(\.\d+)?,-?\d+(\.\d+)?$""),VALUE(REGEXEXTRACT(SUBSTITUTE(F783,"" "",""""),""^-?\d+(\.\d+)?""))&gt;=-90,VALUE(REGEXEXTRACT(SUBSTITUTE(F783,"" "",""""),""^-?\d+(\.\d+)?""))&lt;=90,VALUE(REGEXEXTRACT"&amp;"(SUBSTITUTE(F783,"" "",""""),""-?\d+(\.\d+)?$""))&gt;=-180,VALUE(REGEXEXTRACT(SUBSTITUTE(F783,"" "",""""),""-?\d+(\.\d+)?$""))&lt;=180),""OK"",""REVISAR"")"),"#N/A")</f>
        <v>#N/A</v>
      </c>
    </row>
    <row r="784" ht="15.75" customHeight="1">
      <c r="A784" s="5" t="str">
        <f t="shared" si="1"/>
        <v>AD507-0782</v>
      </c>
      <c r="C784" s="5"/>
      <c r="F784" s="5"/>
      <c r="G784" s="5" t="str">
        <f t="shared" si="2"/>
        <v/>
      </c>
      <c r="H784" s="5" t="str">
        <f t="shared" si="3"/>
        <v/>
      </c>
      <c r="I784" s="5" t="str">
        <f t="shared" si="4"/>
        <v/>
      </c>
      <c r="J784" s="5" t="str">
        <f t="shared" si="5"/>
        <v/>
      </c>
      <c r="K784" s="5" t="str">
        <f>IFERROR(__xludf.DUMMYFUNCTION("IF(C784&lt;&gt;"""",HYPERLINK(""https://wa.me/507""&amp;REGEXREPLACE(C784,""[^0-9]"","""")&amp;""?text=""&amp;ENCODEURL(""Ya llegue. Codigo: ""&amp;A784&amp;"". Ubicacion: ""&amp;""https://www.google.com/maps/search/?api=1&amp;query=""&amp;SUBSTITUTE(F784,"" "","""")),""📲 Avisar al cliente"""&amp;"),"""")"),"")</f>
        <v/>
      </c>
      <c r="L784" s="5" t="str">
        <f>IFERROR(__xludf.DUMMYFUNCTION("IF(C784&lt;&gt;"""",""https://api.qrserver.com/v1/create-qr-code/?size=200x200&amp;data=""&amp;ENCODEURL(""https://wa.me/507""&amp;REGEXREPLACE(C784,""[^0-9]"","""")&amp;""?text=""&amp;ENCODEURL(""Ya llegue. Codigo: ""&amp;A784&amp;"". Ubicacion: ""&amp;""https://www.google.com/maps/search/?a"&amp;"pi=1&amp;query=""&amp;SUBSTITUTE(F784,"" "",""""))),"""")"),"")</f>
        <v/>
      </c>
      <c r="M784" s="5" t="str">
        <f t="shared" si="6"/>
        <v/>
      </c>
      <c r="N784" s="5" t="str">
        <f>IFERROR(__xludf.DUMMYFUNCTION("IF(AND(F784&lt;&gt;"""",REGEXMATCH(SUBSTITUTE(F784,"" "",""""),""^-?\d+(\.\d+)?,-?\d+(\.\d+)?$""),VALUE(REGEXEXTRACT(SUBSTITUTE(F784,"" "",""""),""^-?\d+(\.\d+)?""))&gt;=-90,VALUE(REGEXEXTRACT(SUBSTITUTE(F784,"" "",""""),""^-?\d+(\.\d+)?""))&lt;=90,VALUE(REGEXEXTRACT"&amp;"(SUBSTITUTE(F784,"" "",""""),""-?\d+(\.\d+)?$""))&gt;=-180,VALUE(REGEXEXTRACT(SUBSTITUTE(F784,"" "",""""),""-?\d+(\.\d+)?$""))&lt;=180),""OK"",""REVISAR"")"),"#N/A")</f>
        <v>#N/A</v>
      </c>
    </row>
    <row r="785" ht="15.75" customHeight="1">
      <c r="A785" s="5" t="str">
        <f t="shared" si="1"/>
        <v>AD507-0783</v>
      </c>
      <c r="C785" s="5"/>
      <c r="F785" s="5"/>
      <c r="G785" s="5" t="str">
        <f t="shared" si="2"/>
        <v/>
      </c>
      <c r="H785" s="5" t="str">
        <f t="shared" si="3"/>
        <v/>
      </c>
      <c r="I785" s="5" t="str">
        <f t="shared" si="4"/>
        <v/>
      </c>
      <c r="J785" s="5" t="str">
        <f t="shared" si="5"/>
        <v/>
      </c>
      <c r="K785" s="5" t="str">
        <f>IFERROR(__xludf.DUMMYFUNCTION("IF(C785&lt;&gt;"""",HYPERLINK(""https://wa.me/507""&amp;REGEXREPLACE(C785,""[^0-9]"","""")&amp;""?text=""&amp;ENCODEURL(""Ya llegue. Codigo: ""&amp;A785&amp;"". Ubicacion: ""&amp;""https://www.google.com/maps/search/?api=1&amp;query=""&amp;SUBSTITUTE(F785,"" "","""")),""📲 Avisar al cliente"""&amp;"),"""")"),"")</f>
        <v/>
      </c>
      <c r="L785" s="5" t="str">
        <f>IFERROR(__xludf.DUMMYFUNCTION("IF(C785&lt;&gt;"""",""https://api.qrserver.com/v1/create-qr-code/?size=200x200&amp;data=""&amp;ENCODEURL(""https://wa.me/507""&amp;REGEXREPLACE(C785,""[^0-9]"","""")&amp;""?text=""&amp;ENCODEURL(""Ya llegue. Codigo: ""&amp;A785&amp;"". Ubicacion: ""&amp;""https://www.google.com/maps/search/?a"&amp;"pi=1&amp;query=""&amp;SUBSTITUTE(F785,"" "",""""))),"""")"),"")</f>
        <v/>
      </c>
      <c r="M785" s="5" t="str">
        <f t="shared" si="6"/>
        <v/>
      </c>
      <c r="N785" s="5" t="str">
        <f>IFERROR(__xludf.DUMMYFUNCTION("IF(AND(F785&lt;&gt;"""",REGEXMATCH(SUBSTITUTE(F785,"" "",""""),""^-?\d+(\.\d+)?,-?\d+(\.\d+)?$""),VALUE(REGEXEXTRACT(SUBSTITUTE(F785,"" "",""""),""^-?\d+(\.\d+)?""))&gt;=-90,VALUE(REGEXEXTRACT(SUBSTITUTE(F785,"" "",""""),""^-?\d+(\.\d+)?""))&lt;=90,VALUE(REGEXEXTRACT"&amp;"(SUBSTITUTE(F785,"" "",""""),""-?\d+(\.\d+)?$""))&gt;=-180,VALUE(REGEXEXTRACT(SUBSTITUTE(F785,"" "",""""),""-?\d+(\.\d+)?$""))&lt;=180),""OK"",""REVISAR"")"),"#N/A")</f>
        <v>#N/A</v>
      </c>
    </row>
    <row r="786" ht="15.75" customHeight="1">
      <c r="A786" s="5" t="str">
        <f t="shared" si="1"/>
        <v>AD507-0784</v>
      </c>
      <c r="C786" s="5"/>
      <c r="F786" s="5"/>
      <c r="G786" s="5" t="str">
        <f t="shared" si="2"/>
        <v/>
      </c>
      <c r="H786" s="5" t="str">
        <f t="shared" si="3"/>
        <v/>
      </c>
      <c r="I786" s="5" t="str">
        <f t="shared" si="4"/>
        <v/>
      </c>
      <c r="J786" s="5" t="str">
        <f t="shared" si="5"/>
        <v/>
      </c>
      <c r="K786" s="5" t="str">
        <f>IFERROR(__xludf.DUMMYFUNCTION("IF(C786&lt;&gt;"""",HYPERLINK(""https://wa.me/507""&amp;REGEXREPLACE(C786,""[^0-9]"","""")&amp;""?text=""&amp;ENCODEURL(""Ya llegue. Codigo: ""&amp;A786&amp;"". Ubicacion: ""&amp;""https://www.google.com/maps/search/?api=1&amp;query=""&amp;SUBSTITUTE(F786,"" "","""")),""📲 Avisar al cliente"""&amp;"),"""")"),"")</f>
        <v/>
      </c>
      <c r="L786" s="5" t="str">
        <f>IFERROR(__xludf.DUMMYFUNCTION("IF(C786&lt;&gt;"""",""https://api.qrserver.com/v1/create-qr-code/?size=200x200&amp;data=""&amp;ENCODEURL(""https://wa.me/507""&amp;REGEXREPLACE(C786,""[^0-9]"","""")&amp;""?text=""&amp;ENCODEURL(""Ya llegue. Codigo: ""&amp;A786&amp;"". Ubicacion: ""&amp;""https://www.google.com/maps/search/?a"&amp;"pi=1&amp;query=""&amp;SUBSTITUTE(F786,"" "",""""))),"""")"),"")</f>
        <v/>
      </c>
      <c r="M786" s="5" t="str">
        <f t="shared" si="6"/>
        <v/>
      </c>
      <c r="N786" s="5" t="str">
        <f>IFERROR(__xludf.DUMMYFUNCTION("IF(AND(F786&lt;&gt;"""",REGEXMATCH(SUBSTITUTE(F786,"" "",""""),""^-?\d+(\.\d+)?,-?\d+(\.\d+)?$""),VALUE(REGEXEXTRACT(SUBSTITUTE(F786,"" "",""""),""^-?\d+(\.\d+)?""))&gt;=-90,VALUE(REGEXEXTRACT(SUBSTITUTE(F786,"" "",""""),""^-?\d+(\.\d+)?""))&lt;=90,VALUE(REGEXEXTRACT"&amp;"(SUBSTITUTE(F786,"" "",""""),""-?\d+(\.\d+)?$""))&gt;=-180,VALUE(REGEXEXTRACT(SUBSTITUTE(F786,"" "",""""),""-?\d+(\.\d+)?$""))&lt;=180),""OK"",""REVISAR"")"),"#N/A")</f>
        <v>#N/A</v>
      </c>
    </row>
    <row r="787" ht="15.75" customHeight="1">
      <c r="A787" s="5" t="str">
        <f t="shared" si="1"/>
        <v>AD507-0785</v>
      </c>
      <c r="C787" s="5"/>
      <c r="F787" s="5"/>
      <c r="G787" s="5" t="str">
        <f t="shared" si="2"/>
        <v/>
      </c>
      <c r="H787" s="5" t="str">
        <f t="shared" si="3"/>
        <v/>
      </c>
      <c r="I787" s="5" t="str">
        <f t="shared" si="4"/>
        <v/>
      </c>
      <c r="J787" s="5" t="str">
        <f t="shared" si="5"/>
        <v/>
      </c>
      <c r="K787" s="5" t="str">
        <f>IFERROR(__xludf.DUMMYFUNCTION("IF(C787&lt;&gt;"""",HYPERLINK(""https://wa.me/507""&amp;REGEXREPLACE(C787,""[^0-9]"","""")&amp;""?text=""&amp;ENCODEURL(""Ya llegue. Codigo: ""&amp;A787&amp;"". Ubicacion: ""&amp;""https://www.google.com/maps/search/?api=1&amp;query=""&amp;SUBSTITUTE(F787,"" "","""")),""📲 Avisar al cliente"""&amp;"),"""")"),"")</f>
        <v/>
      </c>
      <c r="L787" s="5" t="str">
        <f>IFERROR(__xludf.DUMMYFUNCTION("IF(C787&lt;&gt;"""",""https://api.qrserver.com/v1/create-qr-code/?size=200x200&amp;data=""&amp;ENCODEURL(""https://wa.me/507""&amp;REGEXREPLACE(C787,""[^0-9]"","""")&amp;""?text=""&amp;ENCODEURL(""Ya llegue. Codigo: ""&amp;A787&amp;"". Ubicacion: ""&amp;""https://www.google.com/maps/search/?a"&amp;"pi=1&amp;query=""&amp;SUBSTITUTE(F787,"" "",""""))),"""")"),"")</f>
        <v/>
      </c>
      <c r="M787" s="5" t="str">
        <f t="shared" si="6"/>
        <v/>
      </c>
      <c r="N787" s="5" t="str">
        <f>IFERROR(__xludf.DUMMYFUNCTION("IF(AND(F787&lt;&gt;"""",REGEXMATCH(SUBSTITUTE(F787,"" "",""""),""^-?\d+(\.\d+)?,-?\d+(\.\d+)?$""),VALUE(REGEXEXTRACT(SUBSTITUTE(F787,"" "",""""),""^-?\d+(\.\d+)?""))&gt;=-90,VALUE(REGEXEXTRACT(SUBSTITUTE(F787,"" "",""""),""^-?\d+(\.\d+)?""))&lt;=90,VALUE(REGEXEXTRACT"&amp;"(SUBSTITUTE(F787,"" "",""""),""-?\d+(\.\d+)?$""))&gt;=-180,VALUE(REGEXEXTRACT(SUBSTITUTE(F787,"" "",""""),""-?\d+(\.\d+)?$""))&lt;=180),""OK"",""REVISAR"")"),"#N/A")</f>
        <v>#N/A</v>
      </c>
    </row>
    <row r="788" ht="15.75" customHeight="1">
      <c r="A788" s="5" t="str">
        <f t="shared" si="1"/>
        <v>AD507-0786</v>
      </c>
      <c r="C788" s="5"/>
      <c r="F788" s="5"/>
      <c r="G788" s="5" t="str">
        <f t="shared" si="2"/>
        <v/>
      </c>
      <c r="H788" s="5" t="str">
        <f t="shared" si="3"/>
        <v/>
      </c>
      <c r="I788" s="5" t="str">
        <f t="shared" si="4"/>
        <v/>
      </c>
      <c r="J788" s="5" t="str">
        <f t="shared" si="5"/>
        <v/>
      </c>
      <c r="K788" s="5" t="str">
        <f>IFERROR(__xludf.DUMMYFUNCTION("IF(C788&lt;&gt;"""",HYPERLINK(""https://wa.me/507""&amp;REGEXREPLACE(C788,""[^0-9]"","""")&amp;""?text=""&amp;ENCODEURL(""Ya llegue. Codigo: ""&amp;A788&amp;"". Ubicacion: ""&amp;""https://www.google.com/maps/search/?api=1&amp;query=""&amp;SUBSTITUTE(F788,"" "","""")),""📲 Avisar al cliente"""&amp;"),"""")"),"")</f>
        <v/>
      </c>
      <c r="L788" s="5" t="str">
        <f>IFERROR(__xludf.DUMMYFUNCTION("IF(C788&lt;&gt;"""",""https://api.qrserver.com/v1/create-qr-code/?size=200x200&amp;data=""&amp;ENCODEURL(""https://wa.me/507""&amp;REGEXREPLACE(C788,""[^0-9]"","""")&amp;""?text=""&amp;ENCODEURL(""Ya llegue. Codigo: ""&amp;A788&amp;"". Ubicacion: ""&amp;""https://www.google.com/maps/search/?a"&amp;"pi=1&amp;query=""&amp;SUBSTITUTE(F788,"" "",""""))),"""")"),"")</f>
        <v/>
      </c>
      <c r="M788" s="5" t="str">
        <f t="shared" si="6"/>
        <v/>
      </c>
      <c r="N788" s="5" t="str">
        <f>IFERROR(__xludf.DUMMYFUNCTION("IF(AND(F788&lt;&gt;"""",REGEXMATCH(SUBSTITUTE(F788,"" "",""""),""^-?\d+(\.\d+)?,-?\d+(\.\d+)?$""),VALUE(REGEXEXTRACT(SUBSTITUTE(F788,"" "",""""),""^-?\d+(\.\d+)?""))&gt;=-90,VALUE(REGEXEXTRACT(SUBSTITUTE(F788,"" "",""""),""^-?\d+(\.\d+)?""))&lt;=90,VALUE(REGEXEXTRACT"&amp;"(SUBSTITUTE(F788,"" "",""""),""-?\d+(\.\d+)?$""))&gt;=-180,VALUE(REGEXEXTRACT(SUBSTITUTE(F788,"" "",""""),""-?\d+(\.\d+)?$""))&lt;=180),""OK"",""REVISAR"")"),"#N/A")</f>
        <v>#N/A</v>
      </c>
    </row>
    <row r="789" ht="15.75" customHeight="1">
      <c r="A789" s="5" t="str">
        <f t="shared" si="1"/>
        <v>AD507-0787</v>
      </c>
      <c r="C789" s="5"/>
      <c r="F789" s="5"/>
      <c r="G789" s="5" t="str">
        <f t="shared" si="2"/>
        <v/>
      </c>
      <c r="H789" s="5" t="str">
        <f t="shared" si="3"/>
        <v/>
      </c>
      <c r="I789" s="5" t="str">
        <f t="shared" si="4"/>
        <v/>
      </c>
      <c r="J789" s="5" t="str">
        <f t="shared" si="5"/>
        <v/>
      </c>
      <c r="K789" s="5" t="str">
        <f>IFERROR(__xludf.DUMMYFUNCTION("IF(C789&lt;&gt;"""",HYPERLINK(""https://wa.me/507""&amp;REGEXREPLACE(C789,""[^0-9]"","""")&amp;""?text=""&amp;ENCODEURL(""Ya llegue. Codigo: ""&amp;A789&amp;"". Ubicacion: ""&amp;""https://www.google.com/maps/search/?api=1&amp;query=""&amp;SUBSTITUTE(F789,"" "","""")),""📲 Avisar al cliente"""&amp;"),"""")"),"")</f>
        <v/>
      </c>
      <c r="L789" s="5" t="str">
        <f>IFERROR(__xludf.DUMMYFUNCTION("IF(C789&lt;&gt;"""",""https://api.qrserver.com/v1/create-qr-code/?size=200x200&amp;data=""&amp;ENCODEURL(""https://wa.me/507""&amp;REGEXREPLACE(C789,""[^0-9]"","""")&amp;""?text=""&amp;ENCODEURL(""Ya llegue. Codigo: ""&amp;A789&amp;"". Ubicacion: ""&amp;""https://www.google.com/maps/search/?a"&amp;"pi=1&amp;query=""&amp;SUBSTITUTE(F789,"" "",""""))),"""")"),"")</f>
        <v/>
      </c>
      <c r="M789" s="5" t="str">
        <f t="shared" si="6"/>
        <v/>
      </c>
      <c r="N789" s="5" t="str">
        <f>IFERROR(__xludf.DUMMYFUNCTION("IF(AND(F789&lt;&gt;"""",REGEXMATCH(SUBSTITUTE(F789,"" "",""""),""^-?\d+(\.\d+)?,-?\d+(\.\d+)?$""),VALUE(REGEXEXTRACT(SUBSTITUTE(F789,"" "",""""),""^-?\d+(\.\d+)?""))&gt;=-90,VALUE(REGEXEXTRACT(SUBSTITUTE(F789,"" "",""""),""^-?\d+(\.\d+)?""))&lt;=90,VALUE(REGEXEXTRACT"&amp;"(SUBSTITUTE(F789,"" "",""""),""-?\d+(\.\d+)?$""))&gt;=-180,VALUE(REGEXEXTRACT(SUBSTITUTE(F789,"" "",""""),""-?\d+(\.\d+)?$""))&lt;=180),""OK"",""REVISAR"")"),"#N/A")</f>
        <v>#N/A</v>
      </c>
    </row>
    <row r="790" ht="15.75" customHeight="1">
      <c r="A790" s="5" t="str">
        <f t="shared" si="1"/>
        <v>AD507-0788</v>
      </c>
      <c r="C790" s="5"/>
      <c r="F790" s="5"/>
      <c r="G790" s="5" t="str">
        <f t="shared" si="2"/>
        <v/>
      </c>
      <c r="H790" s="5" t="str">
        <f t="shared" si="3"/>
        <v/>
      </c>
      <c r="I790" s="5" t="str">
        <f t="shared" si="4"/>
        <v/>
      </c>
      <c r="J790" s="5" t="str">
        <f t="shared" si="5"/>
        <v/>
      </c>
      <c r="K790" s="5" t="str">
        <f>IFERROR(__xludf.DUMMYFUNCTION("IF(C790&lt;&gt;"""",HYPERLINK(""https://wa.me/507""&amp;REGEXREPLACE(C790,""[^0-9]"","""")&amp;""?text=""&amp;ENCODEURL(""Ya llegue. Codigo: ""&amp;A790&amp;"". Ubicacion: ""&amp;""https://www.google.com/maps/search/?api=1&amp;query=""&amp;SUBSTITUTE(F790,"" "","""")),""📲 Avisar al cliente"""&amp;"),"""")"),"")</f>
        <v/>
      </c>
      <c r="L790" s="5" t="str">
        <f>IFERROR(__xludf.DUMMYFUNCTION("IF(C790&lt;&gt;"""",""https://api.qrserver.com/v1/create-qr-code/?size=200x200&amp;data=""&amp;ENCODEURL(""https://wa.me/507""&amp;REGEXREPLACE(C790,""[^0-9]"","""")&amp;""?text=""&amp;ENCODEURL(""Ya llegue. Codigo: ""&amp;A790&amp;"". Ubicacion: ""&amp;""https://www.google.com/maps/search/?a"&amp;"pi=1&amp;query=""&amp;SUBSTITUTE(F790,"" "",""""))),"""")"),"")</f>
        <v/>
      </c>
      <c r="M790" s="5" t="str">
        <f t="shared" si="6"/>
        <v/>
      </c>
      <c r="N790" s="5" t="str">
        <f>IFERROR(__xludf.DUMMYFUNCTION("IF(AND(F790&lt;&gt;"""",REGEXMATCH(SUBSTITUTE(F790,"" "",""""),""^-?\d+(\.\d+)?,-?\d+(\.\d+)?$""),VALUE(REGEXEXTRACT(SUBSTITUTE(F790,"" "",""""),""^-?\d+(\.\d+)?""))&gt;=-90,VALUE(REGEXEXTRACT(SUBSTITUTE(F790,"" "",""""),""^-?\d+(\.\d+)?""))&lt;=90,VALUE(REGEXEXTRACT"&amp;"(SUBSTITUTE(F790,"" "",""""),""-?\d+(\.\d+)?$""))&gt;=-180,VALUE(REGEXEXTRACT(SUBSTITUTE(F790,"" "",""""),""-?\d+(\.\d+)?$""))&lt;=180),""OK"",""REVISAR"")"),"#N/A")</f>
        <v>#N/A</v>
      </c>
    </row>
    <row r="791" ht="15.75" customHeight="1">
      <c r="A791" s="5" t="str">
        <f t="shared" si="1"/>
        <v>AD507-0789</v>
      </c>
      <c r="C791" s="5"/>
      <c r="F791" s="5"/>
      <c r="G791" s="5" t="str">
        <f t="shared" si="2"/>
        <v/>
      </c>
      <c r="H791" s="5" t="str">
        <f t="shared" si="3"/>
        <v/>
      </c>
      <c r="I791" s="5" t="str">
        <f t="shared" si="4"/>
        <v/>
      </c>
      <c r="J791" s="5" t="str">
        <f t="shared" si="5"/>
        <v/>
      </c>
      <c r="K791" s="5" t="str">
        <f>IFERROR(__xludf.DUMMYFUNCTION("IF(C791&lt;&gt;"""",HYPERLINK(""https://wa.me/507""&amp;REGEXREPLACE(C791,""[^0-9]"","""")&amp;""?text=""&amp;ENCODEURL(""Ya llegue. Codigo: ""&amp;A791&amp;"". Ubicacion: ""&amp;""https://www.google.com/maps/search/?api=1&amp;query=""&amp;SUBSTITUTE(F791,"" "","""")),""📲 Avisar al cliente"""&amp;"),"""")"),"")</f>
        <v/>
      </c>
      <c r="L791" s="5" t="str">
        <f>IFERROR(__xludf.DUMMYFUNCTION("IF(C791&lt;&gt;"""",""https://api.qrserver.com/v1/create-qr-code/?size=200x200&amp;data=""&amp;ENCODEURL(""https://wa.me/507""&amp;REGEXREPLACE(C791,""[^0-9]"","""")&amp;""?text=""&amp;ENCODEURL(""Ya llegue. Codigo: ""&amp;A791&amp;"". Ubicacion: ""&amp;""https://www.google.com/maps/search/?a"&amp;"pi=1&amp;query=""&amp;SUBSTITUTE(F791,"" "",""""))),"""")"),"")</f>
        <v/>
      </c>
      <c r="M791" s="5" t="str">
        <f t="shared" si="6"/>
        <v/>
      </c>
      <c r="N791" s="5" t="str">
        <f>IFERROR(__xludf.DUMMYFUNCTION("IF(AND(F791&lt;&gt;"""",REGEXMATCH(SUBSTITUTE(F791,"" "",""""),""^-?\d+(\.\d+)?,-?\d+(\.\d+)?$""),VALUE(REGEXEXTRACT(SUBSTITUTE(F791,"" "",""""),""^-?\d+(\.\d+)?""))&gt;=-90,VALUE(REGEXEXTRACT(SUBSTITUTE(F791,"" "",""""),""^-?\d+(\.\d+)?""))&lt;=90,VALUE(REGEXEXTRACT"&amp;"(SUBSTITUTE(F791,"" "",""""),""-?\d+(\.\d+)?$""))&gt;=-180,VALUE(REGEXEXTRACT(SUBSTITUTE(F791,"" "",""""),""-?\d+(\.\d+)?$""))&lt;=180),""OK"",""REVISAR"")"),"#N/A")</f>
        <v>#N/A</v>
      </c>
    </row>
    <row r="792" ht="15.75" customHeight="1">
      <c r="A792" s="5" t="str">
        <f t="shared" si="1"/>
        <v>AD507-0790</v>
      </c>
      <c r="C792" s="5"/>
      <c r="F792" s="5"/>
      <c r="G792" s="5" t="str">
        <f t="shared" si="2"/>
        <v/>
      </c>
      <c r="H792" s="5" t="str">
        <f t="shared" si="3"/>
        <v/>
      </c>
      <c r="I792" s="5" t="str">
        <f t="shared" si="4"/>
        <v/>
      </c>
      <c r="J792" s="5" t="str">
        <f t="shared" si="5"/>
        <v/>
      </c>
      <c r="K792" s="5" t="str">
        <f>IFERROR(__xludf.DUMMYFUNCTION("IF(C792&lt;&gt;"""",HYPERLINK(""https://wa.me/507""&amp;REGEXREPLACE(C792,""[^0-9]"","""")&amp;""?text=""&amp;ENCODEURL(""Ya llegue. Codigo: ""&amp;A792&amp;"". Ubicacion: ""&amp;""https://www.google.com/maps/search/?api=1&amp;query=""&amp;SUBSTITUTE(F792,"" "","""")),""📲 Avisar al cliente"""&amp;"),"""")"),"")</f>
        <v/>
      </c>
      <c r="L792" s="5" t="str">
        <f>IFERROR(__xludf.DUMMYFUNCTION("IF(C792&lt;&gt;"""",""https://api.qrserver.com/v1/create-qr-code/?size=200x200&amp;data=""&amp;ENCODEURL(""https://wa.me/507""&amp;REGEXREPLACE(C792,""[^0-9]"","""")&amp;""?text=""&amp;ENCODEURL(""Ya llegue. Codigo: ""&amp;A792&amp;"". Ubicacion: ""&amp;""https://www.google.com/maps/search/?a"&amp;"pi=1&amp;query=""&amp;SUBSTITUTE(F792,"" "",""""))),"""")"),"")</f>
        <v/>
      </c>
      <c r="M792" s="5" t="str">
        <f t="shared" si="6"/>
        <v/>
      </c>
      <c r="N792" s="5" t="str">
        <f>IFERROR(__xludf.DUMMYFUNCTION("IF(AND(F792&lt;&gt;"""",REGEXMATCH(SUBSTITUTE(F792,"" "",""""),""^-?\d+(\.\d+)?,-?\d+(\.\d+)?$""),VALUE(REGEXEXTRACT(SUBSTITUTE(F792,"" "",""""),""^-?\d+(\.\d+)?""))&gt;=-90,VALUE(REGEXEXTRACT(SUBSTITUTE(F792,"" "",""""),""^-?\d+(\.\d+)?""))&lt;=90,VALUE(REGEXEXTRACT"&amp;"(SUBSTITUTE(F792,"" "",""""),""-?\d+(\.\d+)?$""))&gt;=-180,VALUE(REGEXEXTRACT(SUBSTITUTE(F792,"" "",""""),""-?\d+(\.\d+)?$""))&lt;=180),""OK"",""REVISAR"")"),"#N/A")</f>
        <v>#N/A</v>
      </c>
    </row>
    <row r="793" ht="15.75" customHeight="1">
      <c r="A793" s="5" t="str">
        <f t="shared" si="1"/>
        <v>AD507-0791</v>
      </c>
      <c r="C793" s="5"/>
      <c r="F793" s="5"/>
      <c r="G793" s="5" t="str">
        <f t="shared" si="2"/>
        <v/>
      </c>
      <c r="H793" s="5" t="str">
        <f t="shared" si="3"/>
        <v/>
      </c>
      <c r="I793" s="5" t="str">
        <f t="shared" si="4"/>
        <v/>
      </c>
      <c r="J793" s="5" t="str">
        <f t="shared" si="5"/>
        <v/>
      </c>
      <c r="K793" s="5" t="str">
        <f>IFERROR(__xludf.DUMMYFUNCTION("IF(C793&lt;&gt;"""",HYPERLINK(""https://wa.me/507""&amp;REGEXREPLACE(C793,""[^0-9]"","""")&amp;""?text=""&amp;ENCODEURL(""Ya llegue. Codigo: ""&amp;A793&amp;"". Ubicacion: ""&amp;""https://www.google.com/maps/search/?api=1&amp;query=""&amp;SUBSTITUTE(F793,"" "","""")),""📲 Avisar al cliente"""&amp;"),"""")"),"")</f>
        <v/>
      </c>
      <c r="L793" s="5" t="str">
        <f>IFERROR(__xludf.DUMMYFUNCTION("IF(C793&lt;&gt;"""",""https://api.qrserver.com/v1/create-qr-code/?size=200x200&amp;data=""&amp;ENCODEURL(""https://wa.me/507""&amp;REGEXREPLACE(C793,""[^0-9]"","""")&amp;""?text=""&amp;ENCODEURL(""Ya llegue. Codigo: ""&amp;A793&amp;"". Ubicacion: ""&amp;""https://www.google.com/maps/search/?a"&amp;"pi=1&amp;query=""&amp;SUBSTITUTE(F793,"" "",""""))),"""")"),"")</f>
        <v/>
      </c>
      <c r="M793" s="5" t="str">
        <f t="shared" si="6"/>
        <v/>
      </c>
      <c r="N793" s="5" t="str">
        <f>IFERROR(__xludf.DUMMYFUNCTION("IF(AND(F793&lt;&gt;"""",REGEXMATCH(SUBSTITUTE(F793,"" "",""""),""^-?\d+(\.\d+)?,-?\d+(\.\d+)?$""),VALUE(REGEXEXTRACT(SUBSTITUTE(F793,"" "",""""),""^-?\d+(\.\d+)?""))&gt;=-90,VALUE(REGEXEXTRACT(SUBSTITUTE(F793,"" "",""""),""^-?\d+(\.\d+)?""))&lt;=90,VALUE(REGEXEXTRACT"&amp;"(SUBSTITUTE(F793,"" "",""""),""-?\d+(\.\d+)?$""))&gt;=-180,VALUE(REGEXEXTRACT(SUBSTITUTE(F793,"" "",""""),""-?\d+(\.\d+)?$""))&lt;=180),""OK"",""REVISAR"")"),"#N/A")</f>
        <v>#N/A</v>
      </c>
    </row>
    <row r="794" ht="15.75" customHeight="1">
      <c r="A794" s="5" t="str">
        <f t="shared" si="1"/>
        <v>AD507-0792</v>
      </c>
      <c r="C794" s="5"/>
      <c r="F794" s="5"/>
      <c r="G794" s="5" t="str">
        <f t="shared" si="2"/>
        <v/>
      </c>
      <c r="H794" s="5" t="str">
        <f t="shared" si="3"/>
        <v/>
      </c>
      <c r="I794" s="5" t="str">
        <f t="shared" si="4"/>
        <v/>
      </c>
      <c r="J794" s="5" t="str">
        <f t="shared" si="5"/>
        <v/>
      </c>
      <c r="K794" s="5" t="str">
        <f>IFERROR(__xludf.DUMMYFUNCTION("IF(C794&lt;&gt;"""",HYPERLINK(""https://wa.me/507""&amp;REGEXREPLACE(C794,""[^0-9]"","""")&amp;""?text=""&amp;ENCODEURL(""Ya llegue. Codigo: ""&amp;A794&amp;"". Ubicacion: ""&amp;""https://www.google.com/maps/search/?api=1&amp;query=""&amp;SUBSTITUTE(F794,"" "","""")),""📲 Avisar al cliente"""&amp;"),"""")"),"")</f>
        <v/>
      </c>
      <c r="L794" s="5" t="str">
        <f>IFERROR(__xludf.DUMMYFUNCTION("IF(C794&lt;&gt;"""",""https://api.qrserver.com/v1/create-qr-code/?size=200x200&amp;data=""&amp;ENCODEURL(""https://wa.me/507""&amp;REGEXREPLACE(C794,""[^0-9]"","""")&amp;""?text=""&amp;ENCODEURL(""Ya llegue. Codigo: ""&amp;A794&amp;"". Ubicacion: ""&amp;""https://www.google.com/maps/search/?a"&amp;"pi=1&amp;query=""&amp;SUBSTITUTE(F794,"" "",""""))),"""")"),"")</f>
        <v/>
      </c>
      <c r="M794" s="5" t="str">
        <f t="shared" si="6"/>
        <v/>
      </c>
      <c r="N794" s="5" t="str">
        <f>IFERROR(__xludf.DUMMYFUNCTION("IF(AND(F794&lt;&gt;"""",REGEXMATCH(SUBSTITUTE(F794,"" "",""""),""^-?\d+(\.\d+)?,-?\d+(\.\d+)?$""),VALUE(REGEXEXTRACT(SUBSTITUTE(F794,"" "",""""),""^-?\d+(\.\d+)?""))&gt;=-90,VALUE(REGEXEXTRACT(SUBSTITUTE(F794,"" "",""""),""^-?\d+(\.\d+)?""))&lt;=90,VALUE(REGEXEXTRACT"&amp;"(SUBSTITUTE(F794,"" "",""""),""-?\d+(\.\d+)?$""))&gt;=-180,VALUE(REGEXEXTRACT(SUBSTITUTE(F794,"" "",""""),""-?\d+(\.\d+)?$""))&lt;=180),""OK"",""REVISAR"")"),"#N/A")</f>
        <v>#N/A</v>
      </c>
    </row>
    <row r="795" ht="15.75" customHeight="1">
      <c r="A795" s="5" t="str">
        <f t="shared" si="1"/>
        <v>AD507-0793</v>
      </c>
      <c r="C795" s="5"/>
      <c r="F795" s="5"/>
      <c r="G795" s="5" t="str">
        <f t="shared" si="2"/>
        <v/>
      </c>
      <c r="H795" s="5" t="str">
        <f t="shared" si="3"/>
        <v/>
      </c>
      <c r="I795" s="5" t="str">
        <f t="shared" si="4"/>
        <v/>
      </c>
      <c r="J795" s="5" t="str">
        <f t="shared" si="5"/>
        <v/>
      </c>
      <c r="K795" s="5" t="str">
        <f>IFERROR(__xludf.DUMMYFUNCTION("IF(C795&lt;&gt;"""",HYPERLINK(""https://wa.me/507""&amp;REGEXREPLACE(C795,""[^0-9]"","""")&amp;""?text=""&amp;ENCODEURL(""Ya llegue. Codigo: ""&amp;A795&amp;"". Ubicacion: ""&amp;""https://www.google.com/maps/search/?api=1&amp;query=""&amp;SUBSTITUTE(F795,"" "","""")),""📲 Avisar al cliente"""&amp;"),"""")"),"")</f>
        <v/>
      </c>
      <c r="L795" s="5" t="str">
        <f>IFERROR(__xludf.DUMMYFUNCTION("IF(C795&lt;&gt;"""",""https://api.qrserver.com/v1/create-qr-code/?size=200x200&amp;data=""&amp;ENCODEURL(""https://wa.me/507""&amp;REGEXREPLACE(C795,""[^0-9]"","""")&amp;""?text=""&amp;ENCODEURL(""Ya llegue. Codigo: ""&amp;A795&amp;"". Ubicacion: ""&amp;""https://www.google.com/maps/search/?a"&amp;"pi=1&amp;query=""&amp;SUBSTITUTE(F795,"" "",""""))),"""")"),"")</f>
        <v/>
      </c>
      <c r="M795" s="5" t="str">
        <f t="shared" si="6"/>
        <v/>
      </c>
      <c r="N795" s="5" t="str">
        <f>IFERROR(__xludf.DUMMYFUNCTION("IF(AND(F795&lt;&gt;"""",REGEXMATCH(SUBSTITUTE(F795,"" "",""""),""^-?\d+(\.\d+)?,-?\d+(\.\d+)?$""),VALUE(REGEXEXTRACT(SUBSTITUTE(F795,"" "",""""),""^-?\d+(\.\d+)?""))&gt;=-90,VALUE(REGEXEXTRACT(SUBSTITUTE(F795,"" "",""""),""^-?\d+(\.\d+)?""))&lt;=90,VALUE(REGEXEXTRACT"&amp;"(SUBSTITUTE(F795,"" "",""""),""-?\d+(\.\d+)?$""))&gt;=-180,VALUE(REGEXEXTRACT(SUBSTITUTE(F795,"" "",""""),""-?\d+(\.\d+)?$""))&lt;=180),""OK"",""REVISAR"")"),"#N/A")</f>
        <v>#N/A</v>
      </c>
    </row>
    <row r="796" ht="15.75" customHeight="1">
      <c r="A796" s="5" t="str">
        <f t="shared" si="1"/>
        <v>AD507-0794</v>
      </c>
      <c r="C796" s="5"/>
      <c r="F796" s="5"/>
      <c r="G796" s="5" t="str">
        <f t="shared" si="2"/>
        <v/>
      </c>
      <c r="H796" s="5" t="str">
        <f t="shared" si="3"/>
        <v/>
      </c>
      <c r="I796" s="5" t="str">
        <f t="shared" si="4"/>
        <v/>
      </c>
      <c r="J796" s="5" t="str">
        <f t="shared" si="5"/>
        <v/>
      </c>
      <c r="K796" s="5" t="str">
        <f>IFERROR(__xludf.DUMMYFUNCTION("IF(C796&lt;&gt;"""",HYPERLINK(""https://wa.me/507""&amp;REGEXREPLACE(C796,""[^0-9]"","""")&amp;""?text=""&amp;ENCODEURL(""Ya llegue. Codigo: ""&amp;A796&amp;"". Ubicacion: ""&amp;""https://www.google.com/maps/search/?api=1&amp;query=""&amp;SUBSTITUTE(F796,"" "","""")),""📲 Avisar al cliente"""&amp;"),"""")"),"")</f>
        <v/>
      </c>
      <c r="L796" s="5" t="str">
        <f>IFERROR(__xludf.DUMMYFUNCTION("IF(C796&lt;&gt;"""",""https://api.qrserver.com/v1/create-qr-code/?size=200x200&amp;data=""&amp;ENCODEURL(""https://wa.me/507""&amp;REGEXREPLACE(C796,""[^0-9]"","""")&amp;""?text=""&amp;ENCODEURL(""Ya llegue. Codigo: ""&amp;A796&amp;"". Ubicacion: ""&amp;""https://www.google.com/maps/search/?a"&amp;"pi=1&amp;query=""&amp;SUBSTITUTE(F796,"" "",""""))),"""")"),"")</f>
        <v/>
      </c>
      <c r="M796" s="5" t="str">
        <f t="shared" si="6"/>
        <v/>
      </c>
      <c r="N796" s="5" t="str">
        <f>IFERROR(__xludf.DUMMYFUNCTION("IF(AND(F796&lt;&gt;"""",REGEXMATCH(SUBSTITUTE(F796,"" "",""""),""^-?\d+(\.\d+)?,-?\d+(\.\d+)?$""),VALUE(REGEXEXTRACT(SUBSTITUTE(F796,"" "",""""),""^-?\d+(\.\d+)?""))&gt;=-90,VALUE(REGEXEXTRACT(SUBSTITUTE(F796,"" "",""""),""^-?\d+(\.\d+)?""))&lt;=90,VALUE(REGEXEXTRACT"&amp;"(SUBSTITUTE(F796,"" "",""""),""-?\d+(\.\d+)?$""))&gt;=-180,VALUE(REGEXEXTRACT(SUBSTITUTE(F796,"" "",""""),""-?\d+(\.\d+)?$""))&lt;=180),""OK"",""REVISAR"")"),"#N/A")</f>
        <v>#N/A</v>
      </c>
    </row>
    <row r="797" ht="15.75" customHeight="1">
      <c r="A797" s="5" t="str">
        <f t="shared" si="1"/>
        <v>AD507-0795</v>
      </c>
      <c r="C797" s="5"/>
      <c r="F797" s="5"/>
      <c r="G797" s="5" t="str">
        <f t="shared" si="2"/>
        <v/>
      </c>
      <c r="H797" s="5" t="str">
        <f t="shared" si="3"/>
        <v/>
      </c>
      <c r="I797" s="5" t="str">
        <f t="shared" si="4"/>
        <v/>
      </c>
      <c r="J797" s="5" t="str">
        <f t="shared" si="5"/>
        <v/>
      </c>
      <c r="K797" s="5" t="str">
        <f>IFERROR(__xludf.DUMMYFUNCTION("IF(C797&lt;&gt;"""",HYPERLINK(""https://wa.me/507""&amp;REGEXREPLACE(C797,""[^0-9]"","""")&amp;""?text=""&amp;ENCODEURL(""Ya llegue. Codigo: ""&amp;A797&amp;"". Ubicacion: ""&amp;""https://www.google.com/maps/search/?api=1&amp;query=""&amp;SUBSTITUTE(F797,"" "","""")),""📲 Avisar al cliente"""&amp;"),"""")"),"")</f>
        <v/>
      </c>
      <c r="L797" s="5" t="str">
        <f>IFERROR(__xludf.DUMMYFUNCTION("IF(C797&lt;&gt;"""",""https://api.qrserver.com/v1/create-qr-code/?size=200x200&amp;data=""&amp;ENCODEURL(""https://wa.me/507""&amp;REGEXREPLACE(C797,""[^0-9]"","""")&amp;""?text=""&amp;ENCODEURL(""Ya llegue. Codigo: ""&amp;A797&amp;"". Ubicacion: ""&amp;""https://www.google.com/maps/search/?a"&amp;"pi=1&amp;query=""&amp;SUBSTITUTE(F797,"" "",""""))),"""")"),"")</f>
        <v/>
      </c>
      <c r="M797" s="5" t="str">
        <f t="shared" si="6"/>
        <v/>
      </c>
      <c r="N797" s="5" t="str">
        <f>IFERROR(__xludf.DUMMYFUNCTION("IF(AND(F797&lt;&gt;"""",REGEXMATCH(SUBSTITUTE(F797,"" "",""""),""^-?\d+(\.\d+)?,-?\d+(\.\d+)?$""),VALUE(REGEXEXTRACT(SUBSTITUTE(F797,"" "",""""),""^-?\d+(\.\d+)?""))&gt;=-90,VALUE(REGEXEXTRACT(SUBSTITUTE(F797,"" "",""""),""^-?\d+(\.\d+)?""))&lt;=90,VALUE(REGEXEXTRACT"&amp;"(SUBSTITUTE(F797,"" "",""""),""-?\d+(\.\d+)?$""))&gt;=-180,VALUE(REGEXEXTRACT(SUBSTITUTE(F797,"" "",""""),""-?\d+(\.\d+)?$""))&lt;=180),""OK"",""REVISAR"")"),"#N/A")</f>
        <v>#N/A</v>
      </c>
    </row>
    <row r="798" ht="15.75" customHeight="1">
      <c r="A798" s="5" t="str">
        <f t="shared" si="1"/>
        <v>AD507-0796</v>
      </c>
      <c r="C798" s="5"/>
      <c r="F798" s="5"/>
      <c r="G798" s="5" t="str">
        <f t="shared" si="2"/>
        <v/>
      </c>
      <c r="H798" s="5" t="str">
        <f t="shared" si="3"/>
        <v/>
      </c>
      <c r="I798" s="5" t="str">
        <f t="shared" si="4"/>
        <v/>
      </c>
      <c r="J798" s="5" t="str">
        <f t="shared" si="5"/>
        <v/>
      </c>
      <c r="K798" s="5" t="str">
        <f>IFERROR(__xludf.DUMMYFUNCTION("IF(C798&lt;&gt;"""",HYPERLINK(""https://wa.me/507""&amp;REGEXREPLACE(C798,""[^0-9]"","""")&amp;""?text=""&amp;ENCODEURL(""Ya llegue. Codigo: ""&amp;A798&amp;"". Ubicacion: ""&amp;""https://www.google.com/maps/search/?api=1&amp;query=""&amp;SUBSTITUTE(F798,"" "","""")),""📲 Avisar al cliente"""&amp;"),"""")"),"")</f>
        <v/>
      </c>
      <c r="L798" s="5" t="str">
        <f>IFERROR(__xludf.DUMMYFUNCTION("IF(C798&lt;&gt;"""",""https://api.qrserver.com/v1/create-qr-code/?size=200x200&amp;data=""&amp;ENCODEURL(""https://wa.me/507""&amp;REGEXREPLACE(C798,""[^0-9]"","""")&amp;""?text=""&amp;ENCODEURL(""Ya llegue. Codigo: ""&amp;A798&amp;"". Ubicacion: ""&amp;""https://www.google.com/maps/search/?a"&amp;"pi=1&amp;query=""&amp;SUBSTITUTE(F798,"" "",""""))),"""")"),"")</f>
        <v/>
      </c>
      <c r="M798" s="5" t="str">
        <f t="shared" si="6"/>
        <v/>
      </c>
      <c r="N798" s="5" t="str">
        <f>IFERROR(__xludf.DUMMYFUNCTION("IF(AND(F798&lt;&gt;"""",REGEXMATCH(SUBSTITUTE(F798,"" "",""""),""^-?\d+(\.\d+)?,-?\d+(\.\d+)?$""),VALUE(REGEXEXTRACT(SUBSTITUTE(F798,"" "",""""),""^-?\d+(\.\d+)?""))&gt;=-90,VALUE(REGEXEXTRACT(SUBSTITUTE(F798,"" "",""""),""^-?\d+(\.\d+)?""))&lt;=90,VALUE(REGEXEXTRACT"&amp;"(SUBSTITUTE(F798,"" "",""""),""-?\d+(\.\d+)?$""))&gt;=-180,VALUE(REGEXEXTRACT(SUBSTITUTE(F798,"" "",""""),""-?\d+(\.\d+)?$""))&lt;=180),""OK"",""REVISAR"")"),"#N/A")</f>
        <v>#N/A</v>
      </c>
    </row>
    <row r="799" ht="15.75" customHeight="1">
      <c r="A799" s="5" t="str">
        <f t="shared" si="1"/>
        <v>AD507-0797</v>
      </c>
      <c r="C799" s="5"/>
      <c r="F799" s="5"/>
      <c r="G799" s="5" t="str">
        <f t="shared" si="2"/>
        <v/>
      </c>
      <c r="H799" s="5" t="str">
        <f t="shared" si="3"/>
        <v/>
      </c>
      <c r="I799" s="5" t="str">
        <f t="shared" si="4"/>
        <v/>
      </c>
      <c r="J799" s="5" t="str">
        <f t="shared" si="5"/>
        <v/>
      </c>
      <c r="K799" s="5" t="str">
        <f>IFERROR(__xludf.DUMMYFUNCTION("IF(C799&lt;&gt;"""",HYPERLINK(""https://wa.me/507""&amp;REGEXREPLACE(C799,""[^0-9]"","""")&amp;""?text=""&amp;ENCODEURL(""Ya llegue. Codigo: ""&amp;A799&amp;"". Ubicacion: ""&amp;""https://www.google.com/maps/search/?api=1&amp;query=""&amp;SUBSTITUTE(F799,"" "","""")),""📲 Avisar al cliente"""&amp;"),"""")"),"")</f>
        <v/>
      </c>
      <c r="L799" s="5" t="str">
        <f>IFERROR(__xludf.DUMMYFUNCTION("IF(C799&lt;&gt;"""",""https://api.qrserver.com/v1/create-qr-code/?size=200x200&amp;data=""&amp;ENCODEURL(""https://wa.me/507""&amp;REGEXREPLACE(C799,""[^0-9]"","""")&amp;""?text=""&amp;ENCODEURL(""Ya llegue. Codigo: ""&amp;A799&amp;"". Ubicacion: ""&amp;""https://www.google.com/maps/search/?a"&amp;"pi=1&amp;query=""&amp;SUBSTITUTE(F799,"" "",""""))),"""")"),"")</f>
        <v/>
      </c>
      <c r="M799" s="5" t="str">
        <f t="shared" si="6"/>
        <v/>
      </c>
      <c r="N799" s="5" t="str">
        <f>IFERROR(__xludf.DUMMYFUNCTION("IF(AND(F799&lt;&gt;"""",REGEXMATCH(SUBSTITUTE(F799,"" "",""""),""^-?\d+(\.\d+)?,-?\d+(\.\d+)?$""),VALUE(REGEXEXTRACT(SUBSTITUTE(F799,"" "",""""),""^-?\d+(\.\d+)?""))&gt;=-90,VALUE(REGEXEXTRACT(SUBSTITUTE(F799,"" "",""""),""^-?\d+(\.\d+)?""))&lt;=90,VALUE(REGEXEXTRACT"&amp;"(SUBSTITUTE(F799,"" "",""""),""-?\d+(\.\d+)?$""))&gt;=-180,VALUE(REGEXEXTRACT(SUBSTITUTE(F799,"" "",""""),""-?\d+(\.\d+)?$""))&lt;=180),""OK"",""REVISAR"")"),"#N/A")</f>
        <v>#N/A</v>
      </c>
    </row>
    <row r="800" ht="15.75" customHeight="1">
      <c r="A800" s="5" t="str">
        <f t="shared" si="1"/>
        <v>AD507-0798</v>
      </c>
      <c r="C800" s="5"/>
      <c r="F800" s="5"/>
      <c r="G800" s="5" t="str">
        <f t="shared" si="2"/>
        <v/>
      </c>
      <c r="H800" s="5" t="str">
        <f t="shared" si="3"/>
        <v/>
      </c>
      <c r="I800" s="5" t="str">
        <f t="shared" si="4"/>
        <v/>
      </c>
      <c r="J800" s="5" t="str">
        <f t="shared" si="5"/>
        <v/>
      </c>
      <c r="K800" s="5" t="str">
        <f>IFERROR(__xludf.DUMMYFUNCTION("IF(C800&lt;&gt;"""",HYPERLINK(""https://wa.me/507""&amp;REGEXREPLACE(C800,""[^0-9]"","""")&amp;""?text=""&amp;ENCODEURL(""Ya llegue. Codigo: ""&amp;A800&amp;"". Ubicacion: ""&amp;""https://www.google.com/maps/search/?api=1&amp;query=""&amp;SUBSTITUTE(F800,"" "","""")),""📲 Avisar al cliente"""&amp;"),"""")"),"")</f>
        <v/>
      </c>
      <c r="L800" s="5" t="str">
        <f>IFERROR(__xludf.DUMMYFUNCTION("IF(C800&lt;&gt;"""",""https://api.qrserver.com/v1/create-qr-code/?size=200x200&amp;data=""&amp;ENCODEURL(""https://wa.me/507""&amp;REGEXREPLACE(C800,""[^0-9]"","""")&amp;""?text=""&amp;ENCODEURL(""Ya llegue. Codigo: ""&amp;A800&amp;"". Ubicacion: ""&amp;""https://www.google.com/maps/search/?a"&amp;"pi=1&amp;query=""&amp;SUBSTITUTE(F800,"" "",""""))),"""")"),"")</f>
        <v/>
      </c>
      <c r="M800" s="5" t="str">
        <f t="shared" si="6"/>
        <v/>
      </c>
      <c r="N800" s="5" t="str">
        <f>IFERROR(__xludf.DUMMYFUNCTION("IF(AND(F800&lt;&gt;"""",REGEXMATCH(SUBSTITUTE(F800,"" "",""""),""^-?\d+(\.\d+)?,-?\d+(\.\d+)?$""),VALUE(REGEXEXTRACT(SUBSTITUTE(F800,"" "",""""),""^-?\d+(\.\d+)?""))&gt;=-90,VALUE(REGEXEXTRACT(SUBSTITUTE(F800,"" "",""""),""^-?\d+(\.\d+)?""))&lt;=90,VALUE(REGEXEXTRACT"&amp;"(SUBSTITUTE(F800,"" "",""""),""-?\d+(\.\d+)?$""))&gt;=-180,VALUE(REGEXEXTRACT(SUBSTITUTE(F800,"" "",""""),""-?\d+(\.\d+)?$""))&lt;=180),""OK"",""REVISAR"")"),"#N/A")</f>
        <v>#N/A</v>
      </c>
    </row>
    <row r="801" ht="15.75" customHeight="1">
      <c r="A801" s="5" t="str">
        <f t="shared" si="1"/>
        <v>AD507-0799</v>
      </c>
      <c r="C801" s="5"/>
      <c r="F801" s="5"/>
      <c r="G801" s="5" t="str">
        <f t="shared" si="2"/>
        <v/>
      </c>
      <c r="H801" s="5" t="str">
        <f t="shared" si="3"/>
        <v/>
      </c>
      <c r="I801" s="5" t="str">
        <f t="shared" si="4"/>
        <v/>
      </c>
      <c r="J801" s="5" t="str">
        <f t="shared" si="5"/>
        <v/>
      </c>
      <c r="K801" s="5" t="str">
        <f>IFERROR(__xludf.DUMMYFUNCTION("IF(C801&lt;&gt;"""",HYPERLINK(""https://wa.me/507""&amp;REGEXREPLACE(C801,""[^0-9]"","""")&amp;""?text=""&amp;ENCODEURL(""Ya llegue. Codigo: ""&amp;A801&amp;"". Ubicacion: ""&amp;""https://www.google.com/maps/search/?api=1&amp;query=""&amp;SUBSTITUTE(F801,"" "","""")),""📲 Avisar al cliente"""&amp;"),"""")"),"")</f>
        <v/>
      </c>
      <c r="L801" s="5" t="str">
        <f>IFERROR(__xludf.DUMMYFUNCTION("IF(C801&lt;&gt;"""",""https://api.qrserver.com/v1/create-qr-code/?size=200x200&amp;data=""&amp;ENCODEURL(""https://wa.me/507""&amp;REGEXREPLACE(C801,""[^0-9]"","""")&amp;""?text=""&amp;ENCODEURL(""Ya llegue. Codigo: ""&amp;A801&amp;"". Ubicacion: ""&amp;""https://www.google.com/maps/search/?a"&amp;"pi=1&amp;query=""&amp;SUBSTITUTE(F801,"" "",""""))),"""")"),"")</f>
        <v/>
      </c>
      <c r="M801" s="5" t="str">
        <f t="shared" si="6"/>
        <v/>
      </c>
      <c r="N801" s="5" t="str">
        <f>IFERROR(__xludf.DUMMYFUNCTION("IF(AND(F801&lt;&gt;"""",REGEXMATCH(SUBSTITUTE(F801,"" "",""""),""^-?\d+(\.\d+)?,-?\d+(\.\d+)?$""),VALUE(REGEXEXTRACT(SUBSTITUTE(F801,"" "",""""),""^-?\d+(\.\d+)?""))&gt;=-90,VALUE(REGEXEXTRACT(SUBSTITUTE(F801,"" "",""""),""^-?\d+(\.\d+)?""))&lt;=90,VALUE(REGEXEXTRACT"&amp;"(SUBSTITUTE(F801,"" "",""""),""-?\d+(\.\d+)?$""))&gt;=-180,VALUE(REGEXEXTRACT(SUBSTITUTE(F801,"" "",""""),""-?\d+(\.\d+)?$""))&lt;=180),""OK"",""REVISAR"")"),"#N/A")</f>
        <v>#N/A</v>
      </c>
    </row>
    <row r="802" ht="15.75" customHeight="1">
      <c r="A802" s="5" t="str">
        <f t="shared" si="1"/>
        <v>AD507-0800</v>
      </c>
      <c r="C802" s="5"/>
      <c r="F802" s="5"/>
      <c r="G802" s="5" t="str">
        <f t="shared" si="2"/>
        <v/>
      </c>
      <c r="H802" s="5" t="str">
        <f t="shared" si="3"/>
        <v/>
      </c>
      <c r="I802" s="5" t="str">
        <f t="shared" si="4"/>
        <v/>
      </c>
      <c r="J802" s="5" t="str">
        <f t="shared" si="5"/>
        <v/>
      </c>
      <c r="K802" s="5" t="str">
        <f>IFERROR(__xludf.DUMMYFUNCTION("IF(C802&lt;&gt;"""",HYPERLINK(""https://wa.me/507""&amp;REGEXREPLACE(C802,""[^0-9]"","""")&amp;""?text=""&amp;ENCODEURL(""Ya llegue. Codigo: ""&amp;A802&amp;"". Ubicacion: ""&amp;""https://www.google.com/maps/search/?api=1&amp;query=""&amp;SUBSTITUTE(F802,"" "","""")),""📲 Avisar al cliente"""&amp;"),"""")"),"")</f>
        <v/>
      </c>
      <c r="L802" s="5" t="str">
        <f>IFERROR(__xludf.DUMMYFUNCTION("IF(C802&lt;&gt;"""",""https://api.qrserver.com/v1/create-qr-code/?size=200x200&amp;data=""&amp;ENCODEURL(""https://wa.me/507""&amp;REGEXREPLACE(C802,""[^0-9]"","""")&amp;""?text=""&amp;ENCODEURL(""Ya llegue. Codigo: ""&amp;A802&amp;"". Ubicacion: ""&amp;""https://www.google.com/maps/search/?a"&amp;"pi=1&amp;query=""&amp;SUBSTITUTE(F802,"" "",""""))),"""")"),"")</f>
        <v/>
      </c>
      <c r="M802" s="5" t="str">
        <f t="shared" si="6"/>
        <v/>
      </c>
      <c r="N802" s="5" t="str">
        <f>IFERROR(__xludf.DUMMYFUNCTION("IF(AND(F802&lt;&gt;"""",REGEXMATCH(SUBSTITUTE(F802,"" "",""""),""^-?\d+(\.\d+)?,-?\d+(\.\d+)?$""),VALUE(REGEXEXTRACT(SUBSTITUTE(F802,"" "",""""),""^-?\d+(\.\d+)?""))&gt;=-90,VALUE(REGEXEXTRACT(SUBSTITUTE(F802,"" "",""""),""^-?\d+(\.\d+)?""))&lt;=90,VALUE(REGEXEXTRACT"&amp;"(SUBSTITUTE(F802,"" "",""""),""-?\d+(\.\d+)?$""))&gt;=-180,VALUE(REGEXEXTRACT(SUBSTITUTE(F802,"" "",""""),""-?\d+(\.\d+)?$""))&lt;=180),""OK"",""REVISAR"")"),"#N/A")</f>
        <v>#N/A</v>
      </c>
    </row>
    <row r="803" ht="15.75" customHeight="1">
      <c r="A803" s="5" t="str">
        <f t="shared" si="1"/>
        <v>AD507-0801</v>
      </c>
      <c r="C803" s="5"/>
      <c r="F803" s="5"/>
      <c r="G803" s="5" t="str">
        <f t="shared" si="2"/>
        <v/>
      </c>
      <c r="H803" s="5" t="str">
        <f t="shared" si="3"/>
        <v/>
      </c>
      <c r="I803" s="5" t="str">
        <f t="shared" si="4"/>
        <v/>
      </c>
      <c r="J803" s="5" t="str">
        <f t="shared" si="5"/>
        <v/>
      </c>
      <c r="K803" s="5" t="str">
        <f>IFERROR(__xludf.DUMMYFUNCTION("IF(C803&lt;&gt;"""",HYPERLINK(""https://wa.me/507""&amp;REGEXREPLACE(C803,""[^0-9]"","""")&amp;""?text=""&amp;ENCODEURL(""Ya llegue. Codigo: ""&amp;A803&amp;"". Ubicacion: ""&amp;""https://www.google.com/maps/search/?api=1&amp;query=""&amp;SUBSTITUTE(F803,"" "","""")),""📲 Avisar al cliente"""&amp;"),"""")"),"")</f>
        <v/>
      </c>
      <c r="L803" s="5" t="str">
        <f>IFERROR(__xludf.DUMMYFUNCTION("IF(C803&lt;&gt;"""",""https://api.qrserver.com/v1/create-qr-code/?size=200x200&amp;data=""&amp;ENCODEURL(""https://wa.me/507""&amp;REGEXREPLACE(C803,""[^0-9]"","""")&amp;""?text=""&amp;ENCODEURL(""Ya llegue. Codigo: ""&amp;A803&amp;"". Ubicacion: ""&amp;""https://www.google.com/maps/search/?a"&amp;"pi=1&amp;query=""&amp;SUBSTITUTE(F803,"" "",""""))),"""")"),"")</f>
        <v/>
      </c>
      <c r="M803" s="5" t="str">
        <f t="shared" si="6"/>
        <v/>
      </c>
      <c r="N803" s="5" t="str">
        <f>IFERROR(__xludf.DUMMYFUNCTION("IF(AND(F803&lt;&gt;"""",REGEXMATCH(SUBSTITUTE(F803,"" "",""""),""^-?\d+(\.\d+)?,-?\d+(\.\d+)?$""),VALUE(REGEXEXTRACT(SUBSTITUTE(F803,"" "",""""),""^-?\d+(\.\d+)?""))&gt;=-90,VALUE(REGEXEXTRACT(SUBSTITUTE(F803,"" "",""""),""^-?\d+(\.\d+)?""))&lt;=90,VALUE(REGEXEXTRACT"&amp;"(SUBSTITUTE(F803,"" "",""""),""-?\d+(\.\d+)?$""))&gt;=-180,VALUE(REGEXEXTRACT(SUBSTITUTE(F803,"" "",""""),""-?\d+(\.\d+)?$""))&lt;=180),""OK"",""REVISAR"")"),"#N/A")</f>
        <v>#N/A</v>
      </c>
    </row>
    <row r="804" ht="15.75" customHeight="1">
      <c r="A804" s="5" t="str">
        <f t="shared" si="1"/>
        <v>AD507-0802</v>
      </c>
      <c r="C804" s="5"/>
      <c r="F804" s="5"/>
      <c r="G804" s="5" t="str">
        <f t="shared" si="2"/>
        <v/>
      </c>
      <c r="H804" s="5" t="str">
        <f t="shared" si="3"/>
        <v/>
      </c>
      <c r="I804" s="5" t="str">
        <f t="shared" si="4"/>
        <v/>
      </c>
      <c r="J804" s="5" t="str">
        <f t="shared" si="5"/>
        <v/>
      </c>
      <c r="K804" s="5" t="str">
        <f>IFERROR(__xludf.DUMMYFUNCTION("IF(C804&lt;&gt;"""",HYPERLINK(""https://wa.me/507""&amp;REGEXREPLACE(C804,""[^0-9]"","""")&amp;""?text=""&amp;ENCODEURL(""Ya llegue. Codigo: ""&amp;A804&amp;"". Ubicacion: ""&amp;""https://www.google.com/maps/search/?api=1&amp;query=""&amp;SUBSTITUTE(F804,"" "","""")),""📲 Avisar al cliente"""&amp;"),"""")"),"")</f>
        <v/>
      </c>
      <c r="L804" s="5" t="str">
        <f>IFERROR(__xludf.DUMMYFUNCTION("IF(C804&lt;&gt;"""",""https://api.qrserver.com/v1/create-qr-code/?size=200x200&amp;data=""&amp;ENCODEURL(""https://wa.me/507""&amp;REGEXREPLACE(C804,""[^0-9]"","""")&amp;""?text=""&amp;ENCODEURL(""Ya llegue. Codigo: ""&amp;A804&amp;"". Ubicacion: ""&amp;""https://www.google.com/maps/search/?a"&amp;"pi=1&amp;query=""&amp;SUBSTITUTE(F804,"" "",""""))),"""")"),"")</f>
        <v/>
      </c>
      <c r="M804" s="5" t="str">
        <f t="shared" si="6"/>
        <v/>
      </c>
      <c r="N804" s="5" t="str">
        <f>IFERROR(__xludf.DUMMYFUNCTION("IF(AND(F804&lt;&gt;"""",REGEXMATCH(SUBSTITUTE(F804,"" "",""""),""^-?\d+(\.\d+)?,-?\d+(\.\d+)?$""),VALUE(REGEXEXTRACT(SUBSTITUTE(F804,"" "",""""),""^-?\d+(\.\d+)?""))&gt;=-90,VALUE(REGEXEXTRACT(SUBSTITUTE(F804,"" "",""""),""^-?\d+(\.\d+)?""))&lt;=90,VALUE(REGEXEXTRACT"&amp;"(SUBSTITUTE(F804,"" "",""""),""-?\d+(\.\d+)?$""))&gt;=-180,VALUE(REGEXEXTRACT(SUBSTITUTE(F804,"" "",""""),""-?\d+(\.\d+)?$""))&lt;=180),""OK"",""REVISAR"")"),"#N/A")</f>
        <v>#N/A</v>
      </c>
    </row>
    <row r="805" ht="15.75" customHeight="1">
      <c r="A805" s="5" t="str">
        <f t="shared" si="1"/>
        <v>AD507-0803</v>
      </c>
      <c r="C805" s="5"/>
      <c r="F805" s="5"/>
      <c r="G805" s="5" t="str">
        <f t="shared" si="2"/>
        <v/>
      </c>
      <c r="H805" s="5" t="str">
        <f t="shared" si="3"/>
        <v/>
      </c>
      <c r="I805" s="5" t="str">
        <f t="shared" si="4"/>
        <v/>
      </c>
      <c r="J805" s="5" t="str">
        <f t="shared" si="5"/>
        <v/>
      </c>
      <c r="K805" s="5" t="str">
        <f>IFERROR(__xludf.DUMMYFUNCTION("IF(C805&lt;&gt;"""",HYPERLINK(""https://wa.me/507""&amp;REGEXREPLACE(C805,""[^0-9]"","""")&amp;""?text=""&amp;ENCODEURL(""Ya llegue. Codigo: ""&amp;A805&amp;"". Ubicacion: ""&amp;""https://www.google.com/maps/search/?api=1&amp;query=""&amp;SUBSTITUTE(F805,"" "","""")),""📲 Avisar al cliente"""&amp;"),"""")"),"")</f>
        <v/>
      </c>
      <c r="L805" s="5" t="str">
        <f>IFERROR(__xludf.DUMMYFUNCTION("IF(C805&lt;&gt;"""",""https://api.qrserver.com/v1/create-qr-code/?size=200x200&amp;data=""&amp;ENCODEURL(""https://wa.me/507""&amp;REGEXREPLACE(C805,""[^0-9]"","""")&amp;""?text=""&amp;ENCODEURL(""Ya llegue. Codigo: ""&amp;A805&amp;"". Ubicacion: ""&amp;""https://www.google.com/maps/search/?a"&amp;"pi=1&amp;query=""&amp;SUBSTITUTE(F805,"" "",""""))),"""")"),"")</f>
        <v/>
      </c>
      <c r="M805" s="5" t="str">
        <f t="shared" si="6"/>
        <v/>
      </c>
      <c r="N805" s="5" t="str">
        <f>IFERROR(__xludf.DUMMYFUNCTION("IF(AND(F805&lt;&gt;"""",REGEXMATCH(SUBSTITUTE(F805,"" "",""""),""^-?\d+(\.\d+)?,-?\d+(\.\d+)?$""),VALUE(REGEXEXTRACT(SUBSTITUTE(F805,"" "",""""),""^-?\d+(\.\d+)?""))&gt;=-90,VALUE(REGEXEXTRACT(SUBSTITUTE(F805,"" "",""""),""^-?\d+(\.\d+)?""))&lt;=90,VALUE(REGEXEXTRACT"&amp;"(SUBSTITUTE(F805,"" "",""""),""-?\d+(\.\d+)?$""))&gt;=-180,VALUE(REGEXEXTRACT(SUBSTITUTE(F805,"" "",""""),""-?\d+(\.\d+)?$""))&lt;=180),""OK"",""REVISAR"")"),"#N/A")</f>
        <v>#N/A</v>
      </c>
    </row>
    <row r="806" ht="15.75" customHeight="1">
      <c r="A806" s="5" t="str">
        <f t="shared" si="1"/>
        <v>AD507-0804</v>
      </c>
      <c r="C806" s="5"/>
      <c r="F806" s="5"/>
      <c r="G806" s="5" t="str">
        <f t="shared" si="2"/>
        <v/>
      </c>
      <c r="H806" s="5" t="str">
        <f t="shared" si="3"/>
        <v/>
      </c>
      <c r="I806" s="5" t="str">
        <f t="shared" si="4"/>
        <v/>
      </c>
      <c r="J806" s="5" t="str">
        <f t="shared" si="5"/>
        <v/>
      </c>
      <c r="K806" s="5" t="str">
        <f>IFERROR(__xludf.DUMMYFUNCTION("IF(C806&lt;&gt;"""",HYPERLINK(""https://wa.me/507""&amp;REGEXREPLACE(C806,""[^0-9]"","""")&amp;""?text=""&amp;ENCODEURL(""Ya llegue. Codigo: ""&amp;A806&amp;"". Ubicacion: ""&amp;""https://www.google.com/maps/search/?api=1&amp;query=""&amp;SUBSTITUTE(F806,"" "","""")),""📲 Avisar al cliente"""&amp;"),"""")"),"")</f>
        <v/>
      </c>
      <c r="L806" s="5" t="str">
        <f>IFERROR(__xludf.DUMMYFUNCTION("IF(C806&lt;&gt;"""",""https://api.qrserver.com/v1/create-qr-code/?size=200x200&amp;data=""&amp;ENCODEURL(""https://wa.me/507""&amp;REGEXREPLACE(C806,""[^0-9]"","""")&amp;""?text=""&amp;ENCODEURL(""Ya llegue. Codigo: ""&amp;A806&amp;"". Ubicacion: ""&amp;""https://www.google.com/maps/search/?a"&amp;"pi=1&amp;query=""&amp;SUBSTITUTE(F806,"" "",""""))),"""")"),"")</f>
        <v/>
      </c>
      <c r="M806" s="5" t="str">
        <f t="shared" si="6"/>
        <v/>
      </c>
      <c r="N806" s="5" t="str">
        <f>IFERROR(__xludf.DUMMYFUNCTION("IF(AND(F806&lt;&gt;"""",REGEXMATCH(SUBSTITUTE(F806,"" "",""""),""^-?\d+(\.\d+)?,-?\d+(\.\d+)?$""),VALUE(REGEXEXTRACT(SUBSTITUTE(F806,"" "",""""),""^-?\d+(\.\d+)?""))&gt;=-90,VALUE(REGEXEXTRACT(SUBSTITUTE(F806,"" "",""""),""^-?\d+(\.\d+)?""))&lt;=90,VALUE(REGEXEXTRACT"&amp;"(SUBSTITUTE(F806,"" "",""""),""-?\d+(\.\d+)?$""))&gt;=-180,VALUE(REGEXEXTRACT(SUBSTITUTE(F806,"" "",""""),""-?\d+(\.\d+)?$""))&lt;=180),""OK"",""REVISAR"")"),"#N/A")</f>
        <v>#N/A</v>
      </c>
    </row>
    <row r="807" ht="15.75" customHeight="1">
      <c r="A807" s="5" t="str">
        <f t="shared" si="1"/>
        <v>AD507-0805</v>
      </c>
      <c r="C807" s="5"/>
      <c r="F807" s="5"/>
      <c r="G807" s="5" t="str">
        <f t="shared" si="2"/>
        <v/>
      </c>
      <c r="H807" s="5" t="str">
        <f t="shared" si="3"/>
        <v/>
      </c>
      <c r="I807" s="5" t="str">
        <f t="shared" si="4"/>
        <v/>
      </c>
      <c r="J807" s="5" t="str">
        <f t="shared" si="5"/>
        <v/>
      </c>
      <c r="K807" s="5" t="str">
        <f>IFERROR(__xludf.DUMMYFUNCTION("IF(C807&lt;&gt;"""",HYPERLINK(""https://wa.me/507""&amp;REGEXREPLACE(C807,""[^0-9]"","""")&amp;""?text=""&amp;ENCODEURL(""Ya llegue. Codigo: ""&amp;A807&amp;"". Ubicacion: ""&amp;""https://www.google.com/maps/search/?api=1&amp;query=""&amp;SUBSTITUTE(F807,"" "","""")),""📲 Avisar al cliente"""&amp;"),"""")"),"")</f>
        <v/>
      </c>
      <c r="L807" s="5" t="str">
        <f>IFERROR(__xludf.DUMMYFUNCTION("IF(C807&lt;&gt;"""",""https://api.qrserver.com/v1/create-qr-code/?size=200x200&amp;data=""&amp;ENCODEURL(""https://wa.me/507""&amp;REGEXREPLACE(C807,""[^0-9]"","""")&amp;""?text=""&amp;ENCODEURL(""Ya llegue. Codigo: ""&amp;A807&amp;"". Ubicacion: ""&amp;""https://www.google.com/maps/search/?a"&amp;"pi=1&amp;query=""&amp;SUBSTITUTE(F807,"" "",""""))),"""")"),"")</f>
        <v/>
      </c>
      <c r="M807" s="5" t="str">
        <f t="shared" si="6"/>
        <v/>
      </c>
      <c r="N807" s="5" t="str">
        <f>IFERROR(__xludf.DUMMYFUNCTION("IF(AND(F807&lt;&gt;"""",REGEXMATCH(SUBSTITUTE(F807,"" "",""""),""^-?\d+(\.\d+)?,-?\d+(\.\d+)?$""),VALUE(REGEXEXTRACT(SUBSTITUTE(F807,"" "",""""),""^-?\d+(\.\d+)?""))&gt;=-90,VALUE(REGEXEXTRACT(SUBSTITUTE(F807,"" "",""""),""^-?\d+(\.\d+)?""))&lt;=90,VALUE(REGEXEXTRACT"&amp;"(SUBSTITUTE(F807,"" "",""""),""-?\d+(\.\d+)?$""))&gt;=-180,VALUE(REGEXEXTRACT(SUBSTITUTE(F807,"" "",""""),""-?\d+(\.\d+)?$""))&lt;=180),""OK"",""REVISAR"")"),"#N/A")</f>
        <v>#N/A</v>
      </c>
    </row>
    <row r="808" ht="15.75" customHeight="1">
      <c r="A808" s="5" t="str">
        <f t="shared" si="1"/>
        <v>AD507-0806</v>
      </c>
      <c r="C808" s="5"/>
      <c r="F808" s="5"/>
      <c r="G808" s="5" t="str">
        <f t="shared" si="2"/>
        <v/>
      </c>
      <c r="H808" s="5" t="str">
        <f t="shared" si="3"/>
        <v/>
      </c>
      <c r="I808" s="5" t="str">
        <f t="shared" si="4"/>
        <v/>
      </c>
      <c r="J808" s="5" t="str">
        <f t="shared" si="5"/>
        <v/>
      </c>
      <c r="K808" s="5" t="str">
        <f>IFERROR(__xludf.DUMMYFUNCTION("IF(C808&lt;&gt;"""",HYPERLINK(""https://wa.me/507""&amp;REGEXREPLACE(C808,""[^0-9]"","""")&amp;""?text=""&amp;ENCODEURL(""Ya llegue. Codigo: ""&amp;A808&amp;"". Ubicacion: ""&amp;""https://www.google.com/maps/search/?api=1&amp;query=""&amp;SUBSTITUTE(F808,"" "","""")),""📲 Avisar al cliente"""&amp;"),"""")"),"")</f>
        <v/>
      </c>
      <c r="L808" s="5" t="str">
        <f>IFERROR(__xludf.DUMMYFUNCTION("IF(C808&lt;&gt;"""",""https://api.qrserver.com/v1/create-qr-code/?size=200x200&amp;data=""&amp;ENCODEURL(""https://wa.me/507""&amp;REGEXREPLACE(C808,""[^0-9]"","""")&amp;""?text=""&amp;ENCODEURL(""Ya llegue. Codigo: ""&amp;A808&amp;"". Ubicacion: ""&amp;""https://www.google.com/maps/search/?a"&amp;"pi=1&amp;query=""&amp;SUBSTITUTE(F808,"" "",""""))),"""")"),"")</f>
        <v/>
      </c>
      <c r="M808" s="5" t="str">
        <f t="shared" si="6"/>
        <v/>
      </c>
      <c r="N808" s="5" t="str">
        <f>IFERROR(__xludf.DUMMYFUNCTION("IF(AND(F808&lt;&gt;"""",REGEXMATCH(SUBSTITUTE(F808,"" "",""""),""^-?\d+(\.\d+)?,-?\d+(\.\d+)?$""),VALUE(REGEXEXTRACT(SUBSTITUTE(F808,"" "",""""),""^-?\d+(\.\d+)?""))&gt;=-90,VALUE(REGEXEXTRACT(SUBSTITUTE(F808,"" "",""""),""^-?\d+(\.\d+)?""))&lt;=90,VALUE(REGEXEXTRACT"&amp;"(SUBSTITUTE(F808,"" "",""""),""-?\d+(\.\d+)?$""))&gt;=-180,VALUE(REGEXEXTRACT(SUBSTITUTE(F808,"" "",""""),""-?\d+(\.\d+)?$""))&lt;=180),""OK"",""REVISAR"")"),"#N/A")</f>
        <v>#N/A</v>
      </c>
    </row>
    <row r="809" ht="15.75" customHeight="1">
      <c r="A809" s="5" t="str">
        <f t="shared" si="1"/>
        <v>AD507-0807</v>
      </c>
      <c r="C809" s="5"/>
      <c r="F809" s="5"/>
      <c r="G809" s="5" t="str">
        <f t="shared" si="2"/>
        <v/>
      </c>
      <c r="H809" s="5" t="str">
        <f t="shared" si="3"/>
        <v/>
      </c>
      <c r="I809" s="5" t="str">
        <f t="shared" si="4"/>
        <v/>
      </c>
      <c r="J809" s="5" t="str">
        <f t="shared" si="5"/>
        <v/>
      </c>
      <c r="K809" s="5" t="str">
        <f>IFERROR(__xludf.DUMMYFUNCTION("IF(C809&lt;&gt;"""",HYPERLINK(""https://wa.me/507""&amp;REGEXREPLACE(C809,""[^0-9]"","""")&amp;""?text=""&amp;ENCODEURL(""Ya llegue. Codigo: ""&amp;A809&amp;"". Ubicacion: ""&amp;""https://www.google.com/maps/search/?api=1&amp;query=""&amp;SUBSTITUTE(F809,"" "","""")),""📲 Avisar al cliente"""&amp;"),"""")"),"")</f>
        <v/>
      </c>
      <c r="L809" s="5" t="str">
        <f>IFERROR(__xludf.DUMMYFUNCTION("IF(C809&lt;&gt;"""",""https://api.qrserver.com/v1/create-qr-code/?size=200x200&amp;data=""&amp;ENCODEURL(""https://wa.me/507""&amp;REGEXREPLACE(C809,""[^0-9]"","""")&amp;""?text=""&amp;ENCODEURL(""Ya llegue. Codigo: ""&amp;A809&amp;"". Ubicacion: ""&amp;""https://www.google.com/maps/search/?a"&amp;"pi=1&amp;query=""&amp;SUBSTITUTE(F809,"" "",""""))),"""")"),"")</f>
        <v/>
      </c>
      <c r="M809" s="5" t="str">
        <f t="shared" si="6"/>
        <v/>
      </c>
      <c r="N809" s="5" t="str">
        <f>IFERROR(__xludf.DUMMYFUNCTION("IF(AND(F809&lt;&gt;"""",REGEXMATCH(SUBSTITUTE(F809,"" "",""""),""^-?\d+(\.\d+)?,-?\d+(\.\d+)?$""),VALUE(REGEXEXTRACT(SUBSTITUTE(F809,"" "",""""),""^-?\d+(\.\d+)?""))&gt;=-90,VALUE(REGEXEXTRACT(SUBSTITUTE(F809,"" "",""""),""^-?\d+(\.\d+)?""))&lt;=90,VALUE(REGEXEXTRACT"&amp;"(SUBSTITUTE(F809,"" "",""""),""-?\d+(\.\d+)?$""))&gt;=-180,VALUE(REGEXEXTRACT(SUBSTITUTE(F809,"" "",""""),""-?\d+(\.\d+)?$""))&lt;=180),""OK"",""REVISAR"")"),"#N/A")</f>
        <v>#N/A</v>
      </c>
    </row>
    <row r="810" ht="15.75" customHeight="1">
      <c r="A810" s="5" t="str">
        <f t="shared" si="1"/>
        <v>AD507-0808</v>
      </c>
      <c r="C810" s="5"/>
      <c r="F810" s="5"/>
      <c r="G810" s="5" t="str">
        <f t="shared" si="2"/>
        <v/>
      </c>
      <c r="H810" s="5" t="str">
        <f t="shared" si="3"/>
        <v/>
      </c>
      <c r="I810" s="5" t="str">
        <f t="shared" si="4"/>
        <v/>
      </c>
      <c r="J810" s="5" t="str">
        <f t="shared" si="5"/>
        <v/>
      </c>
      <c r="K810" s="5" t="str">
        <f>IFERROR(__xludf.DUMMYFUNCTION("IF(C810&lt;&gt;"""",HYPERLINK(""https://wa.me/507""&amp;REGEXREPLACE(C810,""[^0-9]"","""")&amp;""?text=""&amp;ENCODEURL(""Ya llegue. Codigo: ""&amp;A810&amp;"". Ubicacion: ""&amp;""https://www.google.com/maps/search/?api=1&amp;query=""&amp;SUBSTITUTE(F810,"" "","""")),""📲 Avisar al cliente"""&amp;"),"""")"),"")</f>
        <v/>
      </c>
      <c r="L810" s="5" t="str">
        <f>IFERROR(__xludf.DUMMYFUNCTION("IF(C810&lt;&gt;"""",""https://api.qrserver.com/v1/create-qr-code/?size=200x200&amp;data=""&amp;ENCODEURL(""https://wa.me/507""&amp;REGEXREPLACE(C810,""[^0-9]"","""")&amp;""?text=""&amp;ENCODEURL(""Ya llegue. Codigo: ""&amp;A810&amp;"". Ubicacion: ""&amp;""https://www.google.com/maps/search/?a"&amp;"pi=1&amp;query=""&amp;SUBSTITUTE(F810,"" "",""""))),"""")"),"")</f>
        <v/>
      </c>
      <c r="M810" s="5" t="str">
        <f t="shared" si="6"/>
        <v/>
      </c>
      <c r="N810" s="5" t="str">
        <f>IFERROR(__xludf.DUMMYFUNCTION("IF(AND(F810&lt;&gt;"""",REGEXMATCH(SUBSTITUTE(F810,"" "",""""),""^-?\d+(\.\d+)?,-?\d+(\.\d+)?$""),VALUE(REGEXEXTRACT(SUBSTITUTE(F810,"" "",""""),""^-?\d+(\.\d+)?""))&gt;=-90,VALUE(REGEXEXTRACT(SUBSTITUTE(F810,"" "",""""),""^-?\d+(\.\d+)?""))&lt;=90,VALUE(REGEXEXTRACT"&amp;"(SUBSTITUTE(F810,"" "",""""),""-?\d+(\.\d+)?$""))&gt;=-180,VALUE(REGEXEXTRACT(SUBSTITUTE(F810,"" "",""""),""-?\d+(\.\d+)?$""))&lt;=180),""OK"",""REVISAR"")"),"#N/A")</f>
        <v>#N/A</v>
      </c>
    </row>
    <row r="811" ht="15.75" customHeight="1">
      <c r="A811" s="5" t="str">
        <f t="shared" si="1"/>
        <v>AD507-0809</v>
      </c>
      <c r="C811" s="5"/>
      <c r="F811" s="5"/>
      <c r="G811" s="5" t="str">
        <f t="shared" si="2"/>
        <v/>
      </c>
      <c r="H811" s="5" t="str">
        <f t="shared" si="3"/>
        <v/>
      </c>
      <c r="I811" s="5" t="str">
        <f t="shared" si="4"/>
        <v/>
      </c>
      <c r="J811" s="5" t="str">
        <f t="shared" si="5"/>
        <v/>
      </c>
      <c r="K811" s="5" t="str">
        <f>IFERROR(__xludf.DUMMYFUNCTION("IF(C811&lt;&gt;"""",HYPERLINK(""https://wa.me/507""&amp;REGEXREPLACE(C811,""[^0-9]"","""")&amp;""?text=""&amp;ENCODEURL(""Ya llegue. Codigo: ""&amp;A811&amp;"". Ubicacion: ""&amp;""https://www.google.com/maps/search/?api=1&amp;query=""&amp;SUBSTITUTE(F811,"" "","""")),""📲 Avisar al cliente"""&amp;"),"""")"),"")</f>
        <v/>
      </c>
      <c r="L811" s="5" t="str">
        <f>IFERROR(__xludf.DUMMYFUNCTION("IF(C811&lt;&gt;"""",""https://api.qrserver.com/v1/create-qr-code/?size=200x200&amp;data=""&amp;ENCODEURL(""https://wa.me/507""&amp;REGEXREPLACE(C811,""[^0-9]"","""")&amp;""?text=""&amp;ENCODEURL(""Ya llegue. Codigo: ""&amp;A811&amp;"". Ubicacion: ""&amp;""https://www.google.com/maps/search/?a"&amp;"pi=1&amp;query=""&amp;SUBSTITUTE(F811,"" "",""""))),"""")"),"")</f>
        <v/>
      </c>
      <c r="M811" s="5" t="str">
        <f t="shared" si="6"/>
        <v/>
      </c>
      <c r="N811" s="5" t="str">
        <f>IFERROR(__xludf.DUMMYFUNCTION("IF(AND(F811&lt;&gt;"""",REGEXMATCH(SUBSTITUTE(F811,"" "",""""),""^-?\d+(\.\d+)?,-?\d+(\.\d+)?$""),VALUE(REGEXEXTRACT(SUBSTITUTE(F811,"" "",""""),""^-?\d+(\.\d+)?""))&gt;=-90,VALUE(REGEXEXTRACT(SUBSTITUTE(F811,"" "",""""),""^-?\d+(\.\d+)?""))&lt;=90,VALUE(REGEXEXTRACT"&amp;"(SUBSTITUTE(F811,"" "",""""),""-?\d+(\.\d+)?$""))&gt;=-180,VALUE(REGEXEXTRACT(SUBSTITUTE(F811,"" "",""""),""-?\d+(\.\d+)?$""))&lt;=180),""OK"",""REVISAR"")"),"#N/A")</f>
        <v>#N/A</v>
      </c>
    </row>
    <row r="812" ht="15.75" customHeight="1">
      <c r="A812" s="5" t="str">
        <f t="shared" si="1"/>
        <v>AD507-0810</v>
      </c>
      <c r="C812" s="5"/>
      <c r="F812" s="5"/>
      <c r="G812" s="5" t="str">
        <f t="shared" si="2"/>
        <v/>
      </c>
      <c r="H812" s="5" t="str">
        <f t="shared" si="3"/>
        <v/>
      </c>
      <c r="I812" s="5" t="str">
        <f t="shared" si="4"/>
        <v/>
      </c>
      <c r="J812" s="5" t="str">
        <f t="shared" si="5"/>
        <v/>
      </c>
      <c r="K812" s="5" t="str">
        <f>IFERROR(__xludf.DUMMYFUNCTION("IF(C812&lt;&gt;"""",HYPERLINK(""https://wa.me/507""&amp;REGEXREPLACE(C812,""[^0-9]"","""")&amp;""?text=""&amp;ENCODEURL(""Ya llegue. Codigo: ""&amp;A812&amp;"". Ubicacion: ""&amp;""https://www.google.com/maps/search/?api=1&amp;query=""&amp;SUBSTITUTE(F812,"" "","""")),""📲 Avisar al cliente"""&amp;"),"""")"),"")</f>
        <v/>
      </c>
      <c r="L812" s="5" t="str">
        <f>IFERROR(__xludf.DUMMYFUNCTION("IF(C812&lt;&gt;"""",""https://api.qrserver.com/v1/create-qr-code/?size=200x200&amp;data=""&amp;ENCODEURL(""https://wa.me/507""&amp;REGEXREPLACE(C812,""[^0-9]"","""")&amp;""?text=""&amp;ENCODEURL(""Ya llegue. Codigo: ""&amp;A812&amp;"". Ubicacion: ""&amp;""https://www.google.com/maps/search/?a"&amp;"pi=1&amp;query=""&amp;SUBSTITUTE(F812,"" "",""""))),"""")"),"")</f>
        <v/>
      </c>
      <c r="M812" s="5" t="str">
        <f t="shared" si="6"/>
        <v/>
      </c>
      <c r="N812" s="5" t="str">
        <f>IFERROR(__xludf.DUMMYFUNCTION("IF(AND(F812&lt;&gt;"""",REGEXMATCH(SUBSTITUTE(F812,"" "",""""),""^-?\d+(\.\d+)?,-?\d+(\.\d+)?$""),VALUE(REGEXEXTRACT(SUBSTITUTE(F812,"" "",""""),""^-?\d+(\.\d+)?""))&gt;=-90,VALUE(REGEXEXTRACT(SUBSTITUTE(F812,"" "",""""),""^-?\d+(\.\d+)?""))&lt;=90,VALUE(REGEXEXTRACT"&amp;"(SUBSTITUTE(F812,"" "",""""),""-?\d+(\.\d+)?$""))&gt;=-180,VALUE(REGEXEXTRACT(SUBSTITUTE(F812,"" "",""""),""-?\d+(\.\d+)?$""))&lt;=180),""OK"",""REVISAR"")"),"#N/A")</f>
        <v>#N/A</v>
      </c>
    </row>
    <row r="813" ht="15.75" customHeight="1">
      <c r="A813" s="5" t="str">
        <f t="shared" si="1"/>
        <v>AD507-0811</v>
      </c>
      <c r="C813" s="5"/>
      <c r="F813" s="5"/>
      <c r="G813" s="5" t="str">
        <f t="shared" si="2"/>
        <v/>
      </c>
      <c r="H813" s="5" t="str">
        <f t="shared" si="3"/>
        <v/>
      </c>
      <c r="I813" s="5" t="str">
        <f t="shared" si="4"/>
        <v/>
      </c>
      <c r="J813" s="5" t="str">
        <f t="shared" si="5"/>
        <v/>
      </c>
      <c r="K813" s="5" t="str">
        <f>IFERROR(__xludf.DUMMYFUNCTION("IF(C813&lt;&gt;"""",HYPERLINK(""https://wa.me/507""&amp;REGEXREPLACE(C813,""[^0-9]"","""")&amp;""?text=""&amp;ENCODEURL(""Ya llegue. Codigo: ""&amp;A813&amp;"". Ubicacion: ""&amp;""https://www.google.com/maps/search/?api=1&amp;query=""&amp;SUBSTITUTE(F813,"" "","""")),""📲 Avisar al cliente"""&amp;"),"""")"),"")</f>
        <v/>
      </c>
      <c r="L813" s="5" t="str">
        <f>IFERROR(__xludf.DUMMYFUNCTION("IF(C813&lt;&gt;"""",""https://api.qrserver.com/v1/create-qr-code/?size=200x200&amp;data=""&amp;ENCODEURL(""https://wa.me/507""&amp;REGEXREPLACE(C813,""[^0-9]"","""")&amp;""?text=""&amp;ENCODEURL(""Ya llegue. Codigo: ""&amp;A813&amp;"". Ubicacion: ""&amp;""https://www.google.com/maps/search/?a"&amp;"pi=1&amp;query=""&amp;SUBSTITUTE(F813,"" "",""""))),"""")"),"")</f>
        <v/>
      </c>
      <c r="M813" s="5" t="str">
        <f t="shared" si="6"/>
        <v/>
      </c>
      <c r="N813" s="5" t="str">
        <f>IFERROR(__xludf.DUMMYFUNCTION("IF(AND(F813&lt;&gt;"""",REGEXMATCH(SUBSTITUTE(F813,"" "",""""),""^-?\d+(\.\d+)?,-?\d+(\.\d+)?$""),VALUE(REGEXEXTRACT(SUBSTITUTE(F813,"" "",""""),""^-?\d+(\.\d+)?""))&gt;=-90,VALUE(REGEXEXTRACT(SUBSTITUTE(F813,"" "",""""),""^-?\d+(\.\d+)?""))&lt;=90,VALUE(REGEXEXTRACT"&amp;"(SUBSTITUTE(F813,"" "",""""),""-?\d+(\.\d+)?$""))&gt;=-180,VALUE(REGEXEXTRACT(SUBSTITUTE(F813,"" "",""""),""-?\d+(\.\d+)?$""))&lt;=180),""OK"",""REVISAR"")"),"#N/A")</f>
        <v>#N/A</v>
      </c>
    </row>
    <row r="814" ht="15.75" customHeight="1">
      <c r="A814" s="5" t="str">
        <f t="shared" si="1"/>
        <v>AD507-0812</v>
      </c>
      <c r="C814" s="5"/>
      <c r="F814" s="5"/>
      <c r="G814" s="5" t="str">
        <f t="shared" si="2"/>
        <v/>
      </c>
      <c r="H814" s="5" t="str">
        <f t="shared" si="3"/>
        <v/>
      </c>
      <c r="I814" s="5" t="str">
        <f t="shared" si="4"/>
        <v/>
      </c>
      <c r="J814" s="5" t="str">
        <f t="shared" si="5"/>
        <v/>
      </c>
      <c r="K814" s="5" t="str">
        <f>IFERROR(__xludf.DUMMYFUNCTION("IF(C814&lt;&gt;"""",HYPERLINK(""https://wa.me/507""&amp;REGEXREPLACE(C814,""[^0-9]"","""")&amp;""?text=""&amp;ENCODEURL(""Ya llegue. Codigo: ""&amp;A814&amp;"". Ubicacion: ""&amp;""https://www.google.com/maps/search/?api=1&amp;query=""&amp;SUBSTITUTE(F814,"" "","""")),""📲 Avisar al cliente"""&amp;"),"""")"),"")</f>
        <v/>
      </c>
      <c r="L814" s="5" t="str">
        <f>IFERROR(__xludf.DUMMYFUNCTION("IF(C814&lt;&gt;"""",""https://api.qrserver.com/v1/create-qr-code/?size=200x200&amp;data=""&amp;ENCODEURL(""https://wa.me/507""&amp;REGEXREPLACE(C814,""[^0-9]"","""")&amp;""?text=""&amp;ENCODEURL(""Ya llegue. Codigo: ""&amp;A814&amp;"". Ubicacion: ""&amp;""https://www.google.com/maps/search/?a"&amp;"pi=1&amp;query=""&amp;SUBSTITUTE(F814,"" "",""""))),"""")"),"")</f>
        <v/>
      </c>
      <c r="M814" s="5" t="str">
        <f t="shared" si="6"/>
        <v/>
      </c>
      <c r="N814" s="5" t="str">
        <f>IFERROR(__xludf.DUMMYFUNCTION("IF(AND(F814&lt;&gt;"""",REGEXMATCH(SUBSTITUTE(F814,"" "",""""),""^-?\d+(\.\d+)?,-?\d+(\.\d+)?$""),VALUE(REGEXEXTRACT(SUBSTITUTE(F814,"" "",""""),""^-?\d+(\.\d+)?""))&gt;=-90,VALUE(REGEXEXTRACT(SUBSTITUTE(F814,"" "",""""),""^-?\d+(\.\d+)?""))&lt;=90,VALUE(REGEXEXTRACT"&amp;"(SUBSTITUTE(F814,"" "",""""),""-?\d+(\.\d+)?$""))&gt;=-180,VALUE(REGEXEXTRACT(SUBSTITUTE(F814,"" "",""""),""-?\d+(\.\d+)?$""))&lt;=180),""OK"",""REVISAR"")"),"#N/A")</f>
        <v>#N/A</v>
      </c>
    </row>
    <row r="815" ht="15.75" customHeight="1">
      <c r="A815" s="5" t="str">
        <f t="shared" si="1"/>
        <v>AD507-0813</v>
      </c>
      <c r="C815" s="5"/>
      <c r="F815" s="5"/>
      <c r="G815" s="5" t="str">
        <f t="shared" si="2"/>
        <v/>
      </c>
      <c r="H815" s="5" t="str">
        <f t="shared" si="3"/>
        <v/>
      </c>
      <c r="I815" s="5" t="str">
        <f t="shared" si="4"/>
        <v/>
      </c>
      <c r="J815" s="5" t="str">
        <f t="shared" si="5"/>
        <v/>
      </c>
      <c r="K815" s="5" t="str">
        <f>IFERROR(__xludf.DUMMYFUNCTION("IF(C815&lt;&gt;"""",HYPERLINK(""https://wa.me/507""&amp;REGEXREPLACE(C815,""[^0-9]"","""")&amp;""?text=""&amp;ENCODEURL(""Ya llegue. Codigo: ""&amp;A815&amp;"". Ubicacion: ""&amp;""https://www.google.com/maps/search/?api=1&amp;query=""&amp;SUBSTITUTE(F815,"" "","""")),""📲 Avisar al cliente"""&amp;"),"""")"),"")</f>
        <v/>
      </c>
      <c r="L815" s="5" t="str">
        <f>IFERROR(__xludf.DUMMYFUNCTION("IF(C815&lt;&gt;"""",""https://api.qrserver.com/v1/create-qr-code/?size=200x200&amp;data=""&amp;ENCODEURL(""https://wa.me/507""&amp;REGEXREPLACE(C815,""[^0-9]"","""")&amp;""?text=""&amp;ENCODEURL(""Ya llegue. Codigo: ""&amp;A815&amp;"". Ubicacion: ""&amp;""https://www.google.com/maps/search/?a"&amp;"pi=1&amp;query=""&amp;SUBSTITUTE(F815,"" "",""""))),"""")"),"")</f>
        <v/>
      </c>
      <c r="M815" s="5" t="str">
        <f t="shared" si="6"/>
        <v/>
      </c>
      <c r="N815" s="5" t="str">
        <f>IFERROR(__xludf.DUMMYFUNCTION("IF(AND(F815&lt;&gt;"""",REGEXMATCH(SUBSTITUTE(F815,"" "",""""),""^-?\d+(\.\d+)?,-?\d+(\.\d+)?$""),VALUE(REGEXEXTRACT(SUBSTITUTE(F815,"" "",""""),""^-?\d+(\.\d+)?""))&gt;=-90,VALUE(REGEXEXTRACT(SUBSTITUTE(F815,"" "",""""),""^-?\d+(\.\d+)?""))&lt;=90,VALUE(REGEXEXTRACT"&amp;"(SUBSTITUTE(F815,"" "",""""),""-?\d+(\.\d+)?$""))&gt;=-180,VALUE(REGEXEXTRACT(SUBSTITUTE(F815,"" "",""""),""-?\d+(\.\d+)?$""))&lt;=180),""OK"",""REVISAR"")"),"#N/A")</f>
        <v>#N/A</v>
      </c>
    </row>
    <row r="816" ht="15.75" customHeight="1">
      <c r="A816" s="5" t="str">
        <f t="shared" si="1"/>
        <v>AD507-0814</v>
      </c>
      <c r="C816" s="5"/>
      <c r="F816" s="5"/>
      <c r="G816" s="5" t="str">
        <f t="shared" si="2"/>
        <v/>
      </c>
      <c r="H816" s="5" t="str">
        <f t="shared" si="3"/>
        <v/>
      </c>
      <c r="I816" s="5" t="str">
        <f t="shared" si="4"/>
        <v/>
      </c>
      <c r="J816" s="5" t="str">
        <f t="shared" si="5"/>
        <v/>
      </c>
      <c r="K816" s="5" t="str">
        <f>IFERROR(__xludf.DUMMYFUNCTION("IF(C816&lt;&gt;"""",HYPERLINK(""https://wa.me/507""&amp;REGEXREPLACE(C816,""[^0-9]"","""")&amp;""?text=""&amp;ENCODEURL(""Ya llegue. Codigo: ""&amp;A816&amp;"". Ubicacion: ""&amp;""https://www.google.com/maps/search/?api=1&amp;query=""&amp;SUBSTITUTE(F816,"" "","""")),""📲 Avisar al cliente"""&amp;"),"""")"),"")</f>
        <v/>
      </c>
      <c r="L816" s="5" t="str">
        <f>IFERROR(__xludf.DUMMYFUNCTION("IF(C816&lt;&gt;"""",""https://api.qrserver.com/v1/create-qr-code/?size=200x200&amp;data=""&amp;ENCODEURL(""https://wa.me/507""&amp;REGEXREPLACE(C816,""[^0-9]"","""")&amp;""?text=""&amp;ENCODEURL(""Ya llegue. Codigo: ""&amp;A816&amp;"". Ubicacion: ""&amp;""https://www.google.com/maps/search/?a"&amp;"pi=1&amp;query=""&amp;SUBSTITUTE(F816,"" "",""""))),"""")"),"")</f>
        <v/>
      </c>
      <c r="M816" s="5" t="str">
        <f t="shared" si="6"/>
        <v/>
      </c>
      <c r="N816" s="5" t="str">
        <f>IFERROR(__xludf.DUMMYFUNCTION("IF(AND(F816&lt;&gt;"""",REGEXMATCH(SUBSTITUTE(F816,"" "",""""),""^-?\d+(\.\d+)?,-?\d+(\.\d+)?$""),VALUE(REGEXEXTRACT(SUBSTITUTE(F816,"" "",""""),""^-?\d+(\.\d+)?""))&gt;=-90,VALUE(REGEXEXTRACT(SUBSTITUTE(F816,"" "",""""),""^-?\d+(\.\d+)?""))&lt;=90,VALUE(REGEXEXTRACT"&amp;"(SUBSTITUTE(F816,"" "",""""),""-?\d+(\.\d+)?$""))&gt;=-180,VALUE(REGEXEXTRACT(SUBSTITUTE(F816,"" "",""""),""-?\d+(\.\d+)?$""))&lt;=180),""OK"",""REVISAR"")"),"#N/A")</f>
        <v>#N/A</v>
      </c>
    </row>
    <row r="817" ht="15.75" customHeight="1">
      <c r="A817" s="5" t="str">
        <f t="shared" si="1"/>
        <v>AD507-0815</v>
      </c>
      <c r="C817" s="5"/>
      <c r="F817" s="5"/>
      <c r="G817" s="5" t="str">
        <f t="shared" si="2"/>
        <v/>
      </c>
      <c r="H817" s="5" t="str">
        <f t="shared" si="3"/>
        <v/>
      </c>
      <c r="I817" s="5" t="str">
        <f t="shared" si="4"/>
        <v/>
      </c>
      <c r="J817" s="5" t="str">
        <f t="shared" si="5"/>
        <v/>
      </c>
      <c r="K817" s="5" t="str">
        <f>IFERROR(__xludf.DUMMYFUNCTION("IF(C817&lt;&gt;"""",HYPERLINK(""https://wa.me/507""&amp;REGEXREPLACE(C817,""[^0-9]"","""")&amp;""?text=""&amp;ENCODEURL(""Ya llegue. Codigo: ""&amp;A817&amp;"". Ubicacion: ""&amp;""https://www.google.com/maps/search/?api=1&amp;query=""&amp;SUBSTITUTE(F817,"" "","""")),""📲 Avisar al cliente"""&amp;"),"""")"),"")</f>
        <v/>
      </c>
      <c r="L817" s="5" t="str">
        <f>IFERROR(__xludf.DUMMYFUNCTION("IF(C817&lt;&gt;"""",""https://api.qrserver.com/v1/create-qr-code/?size=200x200&amp;data=""&amp;ENCODEURL(""https://wa.me/507""&amp;REGEXREPLACE(C817,""[^0-9]"","""")&amp;""?text=""&amp;ENCODEURL(""Ya llegue. Codigo: ""&amp;A817&amp;"". Ubicacion: ""&amp;""https://www.google.com/maps/search/?a"&amp;"pi=1&amp;query=""&amp;SUBSTITUTE(F817,"" "",""""))),"""")"),"")</f>
        <v/>
      </c>
      <c r="M817" s="5" t="str">
        <f t="shared" si="6"/>
        <v/>
      </c>
      <c r="N817" s="5" t="str">
        <f>IFERROR(__xludf.DUMMYFUNCTION("IF(AND(F817&lt;&gt;"""",REGEXMATCH(SUBSTITUTE(F817,"" "",""""),""^-?\d+(\.\d+)?,-?\d+(\.\d+)?$""),VALUE(REGEXEXTRACT(SUBSTITUTE(F817,"" "",""""),""^-?\d+(\.\d+)?""))&gt;=-90,VALUE(REGEXEXTRACT(SUBSTITUTE(F817,"" "",""""),""^-?\d+(\.\d+)?""))&lt;=90,VALUE(REGEXEXTRACT"&amp;"(SUBSTITUTE(F817,"" "",""""),""-?\d+(\.\d+)?$""))&gt;=-180,VALUE(REGEXEXTRACT(SUBSTITUTE(F817,"" "",""""),""-?\d+(\.\d+)?$""))&lt;=180),""OK"",""REVISAR"")"),"#N/A")</f>
        <v>#N/A</v>
      </c>
    </row>
    <row r="818" ht="15.75" customHeight="1">
      <c r="A818" s="5" t="str">
        <f t="shared" si="1"/>
        <v>AD507-0816</v>
      </c>
      <c r="C818" s="5"/>
      <c r="F818" s="5"/>
      <c r="G818" s="5" t="str">
        <f t="shared" si="2"/>
        <v/>
      </c>
      <c r="H818" s="5" t="str">
        <f t="shared" si="3"/>
        <v/>
      </c>
      <c r="I818" s="5" t="str">
        <f t="shared" si="4"/>
        <v/>
      </c>
      <c r="J818" s="5" t="str">
        <f t="shared" si="5"/>
        <v/>
      </c>
      <c r="K818" s="5" t="str">
        <f>IFERROR(__xludf.DUMMYFUNCTION("IF(C818&lt;&gt;"""",HYPERLINK(""https://wa.me/507""&amp;REGEXREPLACE(C818,""[^0-9]"","""")&amp;""?text=""&amp;ENCODEURL(""Ya llegue. Codigo: ""&amp;A818&amp;"". Ubicacion: ""&amp;""https://www.google.com/maps/search/?api=1&amp;query=""&amp;SUBSTITUTE(F818,"" "","""")),""📲 Avisar al cliente"""&amp;"),"""")"),"")</f>
        <v/>
      </c>
      <c r="L818" s="5" t="str">
        <f>IFERROR(__xludf.DUMMYFUNCTION("IF(C818&lt;&gt;"""",""https://api.qrserver.com/v1/create-qr-code/?size=200x200&amp;data=""&amp;ENCODEURL(""https://wa.me/507""&amp;REGEXREPLACE(C818,""[^0-9]"","""")&amp;""?text=""&amp;ENCODEURL(""Ya llegue. Codigo: ""&amp;A818&amp;"". Ubicacion: ""&amp;""https://www.google.com/maps/search/?a"&amp;"pi=1&amp;query=""&amp;SUBSTITUTE(F818,"" "",""""))),"""")"),"")</f>
        <v/>
      </c>
      <c r="M818" s="5" t="str">
        <f t="shared" si="6"/>
        <v/>
      </c>
      <c r="N818" s="5" t="str">
        <f>IFERROR(__xludf.DUMMYFUNCTION("IF(AND(F818&lt;&gt;"""",REGEXMATCH(SUBSTITUTE(F818,"" "",""""),""^-?\d+(\.\d+)?,-?\d+(\.\d+)?$""),VALUE(REGEXEXTRACT(SUBSTITUTE(F818,"" "",""""),""^-?\d+(\.\d+)?""))&gt;=-90,VALUE(REGEXEXTRACT(SUBSTITUTE(F818,"" "",""""),""^-?\d+(\.\d+)?""))&lt;=90,VALUE(REGEXEXTRACT"&amp;"(SUBSTITUTE(F818,"" "",""""),""-?\d+(\.\d+)?$""))&gt;=-180,VALUE(REGEXEXTRACT(SUBSTITUTE(F818,"" "",""""),""-?\d+(\.\d+)?$""))&lt;=180),""OK"",""REVISAR"")"),"#N/A")</f>
        <v>#N/A</v>
      </c>
    </row>
    <row r="819" ht="15.75" customHeight="1">
      <c r="A819" s="5" t="str">
        <f t="shared" si="1"/>
        <v>AD507-0817</v>
      </c>
      <c r="C819" s="5"/>
      <c r="F819" s="5"/>
      <c r="G819" s="5" t="str">
        <f t="shared" si="2"/>
        <v/>
      </c>
      <c r="H819" s="5" t="str">
        <f t="shared" si="3"/>
        <v/>
      </c>
      <c r="I819" s="5" t="str">
        <f t="shared" si="4"/>
        <v/>
      </c>
      <c r="J819" s="5" t="str">
        <f t="shared" si="5"/>
        <v/>
      </c>
      <c r="K819" s="5" t="str">
        <f>IFERROR(__xludf.DUMMYFUNCTION("IF(C819&lt;&gt;"""",HYPERLINK(""https://wa.me/507""&amp;REGEXREPLACE(C819,""[^0-9]"","""")&amp;""?text=""&amp;ENCODEURL(""Ya llegue. Codigo: ""&amp;A819&amp;"". Ubicacion: ""&amp;""https://www.google.com/maps/search/?api=1&amp;query=""&amp;SUBSTITUTE(F819,"" "","""")),""📲 Avisar al cliente"""&amp;"),"""")"),"")</f>
        <v/>
      </c>
      <c r="L819" s="5" t="str">
        <f>IFERROR(__xludf.DUMMYFUNCTION("IF(C819&lt;&gt;"""",""https://api.qrserver.com/v1/create-qr-code/?size=200x200&amp;data=""&amp;ENCODEURL(""https://wa.me/507""&amp;REGEXREPLACE(C819,""[^0-9]"","""")&amp;""?text=""&amp;ENCODEURL(""Ya llegue. Codigo: ""&amp;A819&amp;"". Ubicacion: ""&amp;""https://www.google.com/maps/search/?a"&amp;"pi=1&amp;query=""&amp;SUBSTITUTE(F819,"" "",""""))),"""")"),"")</f>
        <v/>
      </c>
      <c r="M819" s="5" t="str">
        <f t="shared" si="6"/>
        <v/>
      </c>
      <c r="N819" s="5" t="str">
        <f>IFERROR(__xludf.DUMMYFUNCTION("IF(AND(F819&lt;&gt;"""",REGEXMATCH(SUBSTITUTE(F819,"" "",""""),""^-?\d+(\.\d+)?,-?\d+(\.\d+)?$""),VALUE(REGEXEXTRACT(SUBSTITUTE(F819,"" "",""""),""^-?\d+(\.\d+)?""))&gt;=-90,VALUE(REGEXEXTRACT(SUBSTITUTE(F819,"" "",""""),""^-?\d+(\.\d+)?""))&lt;=90,VALUE(REGEXEXTRACT"&amp;"(SUBSTITUTE(F819,"" "",""""),""-?\d+(\.\d+)?$""))&gt;=-180,VALUE(REGEXEXTRACT(SUBSTITUTE(F819,"" "",""""),""-?\d+(\.\d+)?$""))&lt;=180),""OK"",""REVISAR"")"),"#N/A")</f>
        <v>#N/A</v>
      </c>
    </row>
    <row r="820" ht="15.75" customHeight="1">
      <c r="A820" s="5" t="str">
        <f t="shared" si="1"/>
        <v>AD507-0818</v>
      </c>
      <c r="C820" s="5"/>
      <c r="F820" s="5"/>
      <c r="G820" s="5" t="str">
        <f t="shared" si="2"/>
        <v/>
      </c>
      <c r="H820" s="5" t="str">
        <f t="shared" si="3"/>
        <v/>
      </c>
      <c r="I820" s="5" t="str">
        <f t="shared" si="4"/>
        <v/>
      </c>
      <c r="J820" s="5" t="str">
        <f t="shared" si="5"/>
        <v/>
      </c>
      <c r="K820" s="5" t="str">
        <f>IFERROR(__xludf.DUMMYFUNCTION("IF(C820&lt;&gt;"""",HYPERLINK(""https://wa.me/507""&amp;REGEXREPLACE(C820,""[^0-9]"","""")&amp;""?text=""&amp;ENCODEURL(""Ya llegue. Codigo: ""&amp;A820&amp;"". Ubicacion: ""&amp;""https://www.google.com/maps/search/?api=1&amp;query=""&amp;SUBSTITUTE(F820,"" "","""")),""📲 Avisar al cliente"""&amp;"),"""")"),"")</f>
        <v/>
      </c>
      <c r="L820" s="5" t="str">
        <f>IFERROR(__xludf.DUMMYFUNCTION("IF(C820&lt;&gt;"""",""https://api.qrserver.com/v1/create-qr-code/?size=200x200&amp;data=""&amp;ENCODEURL(""https://wa.me/507""&amp;REGEXREPLACE(C820,""[^0-9]"","""")&amp;""?text=""&amp;ENCODEURL(""Ya llegue. Codigo: ""&amp;A820&amp;"". Ubicacion: ""&amp;""https://www.google.com/maps/search/?a"&amp;"pi=1&amp;query=""&amp;SUBSTITUTE(F820,"" "",""""))),"""")"),"")</f>
        <v/>
      </c>
      <c r="M820" s="5" t="str">
        <f t="shared" si="6"/>
        <v/>
      </c>
      <c r="N820" s="5" t="str">
        <f>IFERROR(__xludf.DUMMYFUNCTION("IF(AND(F820&lt;&gt;"""",REGEXMATCH(SUBSTITUTE(F820,"" "",""""),""^-?\d+(\.\d+)?,-?\d+(\.\d+)?$""),VALUE(REGEXEXTRACT(SUBSTITUTE(F820,"" "",""""),""^-?\d+(\.\d+)?""))&gt;=-90,VALUE(REGEXEXTRACT(SUBSTITUTE(F820,"" "",""""),""^-?\d+(\.\d+)?""))&lt;=90,VALUE(REGEXEXTRACT"&amp;"(SUBSTITUTE(F820,"" "",""""),""-?\d+(\.\d+)?$""))&gt;=-180,VALUE(REGEXEXTRACT(SUBSTITUTE(F820,"" "",""""),""-?\d+(\.\d+)?$""))&lt;=180),""OK"",""REVISAR"")"),"#N/A")</f>
        <v>#N/A</v>
      </c>
    </row>
    <row r="821" ht="15.75" customHeight="1">
      <c r="A821" s="5" t="str">
        <f t="shared" si="1"/>
        <v>AD507-0819</v>
      </c>
      <c r="C821" s="5"/>
      <c r="F821" s="5"/>
      <c r="G821" s="5" t="str">
        <f t="shared" si="2"/>
        <v/>
      </c>
      <c r="H821" s="5" t="str">
        <f t="shared" si="3"/>
        <v/>
      </c>
      <c r="I821" s="5" t="str">
        <f t="shared" si="4"/>
        <v/>
      </c>
      <c r="J821" s="5" t="str">
        <f t="shared" si="5"/>
        <v/>
      </c>
      <c r="K821" s="5" t="str">
        <f>IFERROR(__xludf.DUMMYFUNCTION("IF(C821&lt;&gt;"""",HYPERLINK(""https://wa.me/507""&amp;REGEXREPLACE(C821,""[^0-9]"","""")&amp;""?text=""&amp;ENCODEURL(""Ya llegue. Codigo: ""&amp;A821&amp;"". Ubicacion: ""&amp;""https://www.google.com/maps/search/?api=1&amp;query=""&amp;SUBSTITUTE(F821,"" "","""")),""📲 Avisar al cliente"""&amp;"),"""")"),"")</f>
        <v/>
      </c>
      <c r="L821" s="5" t="str">
        <f>IFERROR(__xludf.DUMMYFUNCTION("IF(C821&lt;&gt;"""",""https://api.qrserver.com/v1/create-qr-code/?size=200x200&amp;data=""&amp;ENCODEURL(""https://wa.me/507""&amp;REGEXREPLACE(C821,""[^0-9]"","""")&amp;""?text=""&amp;ENCODEURL(""Ya llegue. Codigo: ""&amp;A821&amp;"". Ubicacion: ""&amp;""https://www.google.com/maps/search/?a"&amp;"pi=1&amp;query=""&amp;SUBSTITUTE(F821,"" "",""""))),"""")"),"")</f>
        <v/>
      </c>
      <c r="M821" s="5" t="str">
        <f t="shared" si="6"/>
        <v/>
      </c>
      <c r="N821" s="5" t="str">
        <f>IFERROR(__xludf.DUMMYFUNCTION("IF(AND(F821&lt;&gt;"""",REGEXMATCH(SUBSTITUTE(F821,"" "",""""),""^-?\d+(\.\d+)?,-?\d+(\.\d+)?$""),VALUE(REGEXEXTRACT(SUBSTITUTE(F821,"" "",""""),""^-?\d+(\.\d+)?""))&gt;=-90,VALUE(REGEXEXTRACT(SUBSTITUTE(F821,"" "",""""),""^-?\d+(\.\d+)?""))&lt;=90,VALUE(REGEXEXTRACT"&amp;"(SUBSTITUTE(F821,"" "",""""),""-?\d+(\.\d+)?$""))&gt;=-180,VALUE(REGEXEXTRACT(SUBSTITUTE(F821,"" "",""""),""-?\d+(\.\d+)?$""))&lt;=180),""OK"",""REVISAR"")"),"#N/A")</f>
        <v>#N/A</v>
      </c>
    </row>
    <row r="822" ht="15.75" customHeight="1">
      <c r="A822" s="5" t="str">
        <f t="shared" si="1"/>
        <v>AD507-0820</v>
      </c>
      <c r="C822" s="5"/>
      <c r="F822" s="5"/>
      <c r="G822" s="5" t="str">
        <f t="shared" si="2"/>
        <v/>
      </c>
      <c r="H822" s="5" t="str">
        <f t="shared" si="3"/>
        <v/>
      </c>
      <c r="I822" s="5" t="str">
        <f t="shared" si="4"/>
        <v/>
      </c>
      <c r="J822" s="5" t="str">
        <f t="shared" si="5"/>
        <v/>
      </c>
      <c r="K822" s="5" t="str">
        <f>IFERROR(__xludf.DUMMYFUNCTION("IF(C822&lt;&gt;"""",HYPERLINK(""https://wa.me/507""&amp;REGEXREPLACE(C822,""[^0-9]"","""")&amp;""?text=""&amp;ENCODEURL(""Ya llegue. Codigo: ""&amp;A822&amp;"". Ubicacion: ""&amp;""https://www.google.com/maps/search/?api=1&amp;query=""&amp;SUBSTITUTE(F822,"" "","""")),""📲 Avisar al cliente"""&amp;"),"""")"),"")</f>
        <v/>
      </c>
      <c r="L822" s="5" t="str">
        <f>IFERROR(__xludf.DUMMYFUNCTION("IF(C822&lt;&gt;"""",""https://api.qrserver.com/v1/create-qr-code/?size=200x200&amp;data=""&amp;ENCODEURL(""https://wa.me/507""&amp;REGEXREPLACE(C822,""[^0-9]"","""")&amp;""?text=""&amp;ENCODEURL(""Ya llegue. Codigo: ""&amp;A822&amp;"". Ubicacion: ""&amp;""https://www.google.com/maps/search/?a"&amp;"pi=1&amp;query=""&amp;SUBSTITUTE(F822,"" "",""""))),"""")"),"")</f>
        <v/>
      </c>
      <c r="M822" s="5" t="str">
        <f t="shared" si="6"/>
        <v/>
      </c>
      <c r="N822" s="5" t="str">
        <f>IFERROR(__xludf.DUMMYFUNCTION("IF(AND(F822&lt;&gt;"""",REGEXMATCH(SUBSTITUTE(F822,"" "",""""),""^-?\d+(\.\d+)?,-?\d+(\.\d+)?$""),VALUE(REGEXEXTRACT(SUBSTITUTE(F822,"" "",""""),""^-?\d+(\.\d+)?""))&gt;=-90,VALUE(REGEXEXTRACT(SUBSTITUTE(F822,"" "",""""),""^-?\d+(\.\d+)?""))&lt;=90,VALUE(REGEXEXTRACT"&amp;"(SUBSTITUTE(F822,"" "",""""),""-?\d+(\.\d+)?$""))&gt;=-180,VALUE(REGEXEXTRACT(SUBSTITUTE(F822,"" "",""""),""-?\d+(\.\d+)?$""))&lt;=180),""OK"",""REVISAR"")"),"#N/A")</f>
        <v>#N/A</v>
      </c>
    </row>
    <row r="823" ht="15.75" customHeight="1">
      <c r="A823" s="5" t="str">
        <f t="shared" si="1"/>
        <v>AD507-0821</v>
      </c>
      <c r="C823" s="5"/>
      <c r="F823" s="5"/>
      <c r="G823" s="5" t="str">
        <f t="shared" si="2"/>
        <v/>
      </c>
      <c r="H823" s="5" t="str">
        <f t="shared" si="3"/>
        <v/>
      </c>
      <c r="I823" s="5" t="str">
        <f t="shared" si="4"/>
        <v/>
      </c>
      <c r="J823" s="5" t="str">
        <f t="shared" si="5"/>
        <v/>
      </c>
      <c r="K823" s="5" t="str">
        <f>IFERROR(__xludf.DUMMYFUNCTION("IF(C823&lt;&gt;"""",HYPERLINK(""https://wa.me/507""&amp;REGEXREPLACE(C823,""[^0-9]"","""")&amp;""?text=""&amp;ENCODEURL(""Ya llegue. Codigo: ""&amp;A823&amp;"". Ubicacion: ""&amp;""https://www.google.com/maps/search/?api=1&amp;query=""&amp;SUBSTITUTE(F823,"" "","""")),""📲 Avisar al cliente"""&amp;"),"""")"),"")</f>
        <v/>
      </c>
      <c r="L823" s="5" t="str">
        <f>IFERROR(__xludf.DUMMYFUNCTION("IF(C823&lt;&gt;"""",""https://api.qrserver.com/v1/create-qr-code/?size=200x200&amp;data=""&amp;ENCODEURL(""https://wa.me/507""&amp;REGEXREPLACE(C823,""[^0-9]"","""")&amp;""?text=""&amp;ENCODEURL(""Ya llegue. Codigo: ""&amp;A823&amp;"". Ubicacion: ""&amp;""https://www.google.com/maps/search/?a"&amp;"pi=1&amp;query=""&amp;SUBSTITUTE(F823,"" "",""""))),"""")"),"")</f>
        <v/>
      </c>
      <c r="M823" s="5" t="str">
        <f t="shared" si="6"/>
        <v/>
      </c>
      <c r="N823" s="5" t="str">
        <f>IFERROR(__xludf.DUMMYFUNCTION("IF(AND(F823&lt;&gt;"""",REGEXMATCH(SUBSTITUTE(F823,"" "",""""),""^-?\d+(\.\d+)?,-?\d+(\.\d+)?$""),VALUE(REGEXEXTRACT(SUBSTITUTE(F823,"" "",""""),""^-?\d+(\.\d+)?""))&gt;=-90,VALUE(REGEXEXTRACT(SUBSTITUTE(F823,"" "",""""),""^-?\d+(\.\d+)?""))&lt;=90,VALUE(REGEXEXTRACT"&amp;"(SUBSTITUTE(F823,"" "",""""),""-?\d+(\.\d+)?$""))&gt;=-180,VALUE(REGEXEXTRACT(SUBSTITUTE(F823,"" "",""""),""-?\d+(\.\d+)?$""))&lt;=180),""OK"",""REVISAR"")"),"#N/A")</f>
        <v>#N/A</v>
      </c>
    </row>
    <row r="824" ht="15.75" customHeight="1">
      <c r="A824" s="5" t="str">
        <f t="shared" si="1"/>
        <v>AD507-0822</v>
      </c>
      <c r="C824" s="5"/>
      <c r="F824" s="5"/>
      <c r="G824" s="5" t="str">
        <f t="shared" si="2"/>
        <v/>
      </c>
      <c r="H824" s="5" t="str">
        <f t="shared" si="3"/>
        <v/>
      </c>
      <c r="I824" s="5" t="str">
        <f t="shared" si="4"/>
        <v/>
      </c>
      <c r="J824" s="5" t="str">
        <f t="shared" si="5"/>
        <v/>
      </c>
      <c r="K824" s="5" t="str">
        <f>IFERROR(__xludf.DUMMYFUNCTION("IF(C824&lt;&gt;"""",HYPERLINK(""https://wa.me/507""&amp;REGEXREPLACE(C824,""[^0-9]"","""")&amp;""?text=""&amp;ENCODEURL(""Ya llegue. Codigo: ""&amp;A824&amp;"". Ubicacion: ""&amp;""https://www.google.com/maps/search/?api=1&amp;query=""&amp;SUBSTITUTE(F824,"" "","""")),""📲 Avisar al cliente"""&amp;"),"""")"),"")</f>
        <v/>
      </c>
      <c r="L824" s="5" t="str">
        <f>IFERROR(__xludf.DUMMYFUNCTION("IF(C824&lt;&gt;"""",""https://api.qrserver.com/v1/create-qr-code/?size=200x200&amp;data=""&amp;ENCODEURL(""https://wa.me/507""&amp;REGEXREPLACE(C824,""[^0-9]"","""")&amp;""?text=""&amp;ENCODEURL(""Ya llegue. Codigo: ""&amp;A824&amp;"". Ubicacion: ""&amp;""https://www.google.com/maps/search/?a"&amp;"pi=1&amp;query=""&amp;SUBSTITUTE(F824,"" "",""""))),"""")"),"")</f>
        <v/>
      </c>
      <c r="M824" s="5" t="str">
        <f t="shared" si="6"/>
        <v/>
      </c>
      <c r="N824" s="5" t="str">
        <f>IFERROR(__xludf.DUMMYFUNCTION("IF(AND(F824&lt;&gt;"""",REGEXMATCH(SUBSTITUTE(F824,"" "",""""),""^-?\d+(\.\d+)?,-?\d+(\.\d+)?$""),VALUE(REGEXEXTRACT(SUBSTITUTE(F824,"" "",""""),""^-?\d+(\.\d+)?""))&gt;=-90,VALUE(REGEXEXTRACT(SUBSTITUTE(F824,"" "",""""),""^-?\d+(\.\d+)?""))&lt;=90,VALUE(REGEXEXTRACT"&amp;"(SUBSTITUTE(F824,"" "",""""),""-?\d+(\.\d+)?$""))&gt;=-180,VALUE(REGEXEXTRACT(SUBSTITUTE(F824,"" "",""""),""-?\d+(\.\d+)?$""))&lt;=180),""OK"",""REVISAR"")"),"#N/A")</f>
        <v>#N/A</v>
      </c>
    </row>
    <row r="825" ht="15.75" customHeight="1">
      <c r="A825" s="5" t="str">
        <f t="shared" si="1"/>
        <v>AD507-0823</v>
      </c>
      <c r="C825" s="5"/>
      <c r="F825" s="5"/>
      <c r="G825" s="5" t="str">
        <f t="shared" si="2"/>
        <v/>
      </c>
      <c r="H825" s="5" t="str">
        <f t="shared" si="3"/>
        <v/>
      </c>
      <c r="I825" s="5" t="str">
        <f t="shared" si="4"/>
        <v/>
      </c>
      <c r="J825" s="5" t="str">
        <f t="shared" si="5"/>
        <v/>
      </c>
      <c r="K825" s="5" t="str">
        <f>IFERROR(__xludf.DUMMYFUNCTION("IF(C825&lt;&gt;"""",HYPERLINK(""https://wa.me/507""&amp;REGEXREPLACE(C825,""[^0-9]"","""")&amp;""?text=""&amp;ENCODEURL(""Ya llegue. Codigo: ""&amp;A825&amp;"". Ubicacion: ""&amp;""https://www.google.com/maps/search/?api=1&amp;query=""&amp;SUBSTITUTE(F825,"" "","""")),""📲 Avisar al cliente"""&amp;"),"""")"),"")</f>
        <v/>
      </c>
      <c r="L825" s="5" t="str">
        <f>IFERROR(__xludf.DUMMYFUNCTION("IF(C825&lt;&gt;"""",""https://api.qrserver.com/v1/create-qr-code/?size=200x200&amp;data=""&amp;ENCODEURL(""https://wa.me/507""&amp;REGEXREPLACE(C825,""[^0-9]"","""")&amp;""?text=""&amp;ENCODEURL(""Ya llegue. Codigo: ""&amp;A825&amp;"". Ubicacion: ""&amp;""https://www.google.com/maps/search/?a"&amp;"pi=1&amp;query=""&amp;SUBSTITUTE(F825,"" "",""""))),"""")"),"")</f>
        <v/>
      </c>
      <c r="M825" s="5" t="str">
        <f t="shared" si="6"/>
        <v/>
      </c>
      <c r="N825" s="5" t="str">
        <f>IFERROR(__xludf.DUMMYFUNCTION("IF(AND(F825&lt;&gt;"""",REGEXMATCH(SUBSTITUTE(F825,"" "",""""),""^-?\d+(\.\d+)?,-?\d+(\.\d+)?$""),VALUE(REGEXEXTRACT(SUBSTITUTE(F825,"" "",""""),""^-?\d+(\.\d+)?""))&gt;=-90,VALUE(REGEXEXTRACT(SUBSTITUTE(F825,"" "",""""),""^-?\d+(\.\d+)?""))&lt;=90,VALUE(REGEXEXTRACT"&amp;"(SUBSTITUTE(F825,"" "",""""),""-?\d+(\.\d+)?$""))&gt;=-180,VALUE(REGEXEXTRACT(SUBSTITUTE(F825,"" "",""""),""-?\d+(\.\d+)?$""))&lt;=180),""OK"",""REVISAR"")"),"#N/A")</f>
        <v>#N/A</v>
      </c>
    </row>
    <row r="826" ht="15.75" customHeight="1">
      <c r="A826" s="5" t="str">
        <f t="shared" si="1"/>
        <v>AD507-0824</v>
      </c>
      <c r="C826" s="5"/>
      <c r="F826" s="5"/>
      <c r="G826" s="5" t="str">
        <f t="shared" si="2"/>
        <v/>
      </c>
      <c r="H826" s="5" t="str">
        <f t="shared" si="3"/>
        <v/>
      </c>
      <c r="I826" s="5" t="str">
        <f t="shared" si="4"/>
        <v/>
      </c>
      <c r="J826" s="5" t="str">
        <f t="shared" si="5"/>
        <v/>
      </c>
      <c r="K826" s="5" t="str">
        <f>IFERROR(__xludf.DUMMYFUNCTION("IF(C826&lt;&gt;"""",HYPERLINK(""https://wa.me/507""&amp;REGEXREPLACE(C826,""[^0-9]"","""")&amp;""?text=""&amp;ENCODEURL(""Ya llegue. Codigo: ""&amp;A826&amp;"". Ubicacion: ""&amp;""https://www.google.com/maps/search/?api=1&amp;query=""&amp;SUBSTITUTE(F826,"" "","""")),""📲 Avisar al cliente"""&amp;"),"""")"),"")</f>
        <v/>
      </c>
      <c r="L826" s="5" t="str">
        <f>IFERROR(__xludf.DUMMYFUNCTION("IF(C826&lt;&gt;"""",""https://api.qrserver.com/v1/create-qr-code/?size=200x200&amp;data=""&amp;ENCODEURL(""https://wa.me/507""&amp;REGEXREPLACE(C826,""[^0-9]"","""")&amp;""?text=""&amp;ENCODEURL(""Ya llegue. Codigo: ""&amp;A826&amp;"". Ubicacion: ""&amp;""https://www.google.com/maps/search/?a"&amp;"pi=1&amp;query=""&amp;SUBSTITUTE(F826,"" "",""""))),"""")"),"")</f>
        <v/>
      </c>
      <c r="M826" s="5" t="str">
        <f t="shared" si="6"/>
        <v/>
      </c>
      <c r="N826" s="5" t="str">
        <f>IFERROR(__xludf.DUMMYFUNCTION("IF(AND(F826&lt;&gt;"""",REGEXMATCH(SUBSTITUTE(F826,"" "",""""),""^-?\d+(\.\d+)?,-?\d+(\.\d+)?$""),VALUE(REGEXEXTRACT(SUBSTITUTE(F826,"" "",""""),""^-?\d+(\.\d+)?""))&gt;=-90,VALUE(REGEXEXTRACT(SUBSTITUTE(F826,"" "",""""),""^-?\d+(\.\d+)?""))&lt;=90,VALUE(REGEXEXTRACT"&amp;"(SUBSTITUTE(F826,"" "",""""),""-?\d+(\.\d+)?$""))&gt;=-180,VALUE(REGEXEXTRACT(SUBSTITUTE(F826,"" "",""""),""-?\d+(\.\d+)?$""))&lt;=180),""OK"",""REVISAR"")"),"#N/A")</f>
        <v>#N/A</v>
      </c>
    </row>
    <row r="827" ht="15.75" customHeight="1">
      <c r="A827" s="5" t="str">
        <f t="shared" si="1"/>
        <v>AD507-0825</v>
      </c>
      <c r="C827" s="5"/>
      <c r="F827" s="5"/>
      <c r="G827" s="5" t="str">
        <f t="shared" si="2"/>
        <v/>
      </c>
      <c r="H827" s="5" t="str">
        <f t="shared" si="3"/>
        <v/>
      </c>
      <c r="I827" s="5" t="str">
        <f t="shared" si="4"/>
        <v/>
      </c>
      <c r="J827" s="5" t="str">
        <f t="shared" si="5"/>
        <v/>
      </c>
      <c r="K827" s="5" t="str">
        <f>IFERROR(__xludf.DUMMYFUNCTION("IF(C827&lt;&gt;"""",HYPERLINK(""https://wa.me/507""&amp;REGEXREPLACE(C827,""[^0-9]"","""")&amp;""?text=""&amp;ENCODEURL(""Ya llegue. Codigo: ""&amp;A827&amp;"". Ubicacion: ""&amp;""https://www.google.com/maps/search/?api=1&amp;query=""&amp;SUBSTITUTE(F827,"" "","""")),""📲 Avisar al cliente"""&amp;"),"""")"),"")</f>
        <v/>
      </c>
      <c r="L827" s="5" t="str">
        <f>IFERROR(__xludf.DUMMYFUNCTION("IF(C827&lt;&gt;"""",""https://api.qrserver.com/v1/create-qr-code/?size=200x200&amp;data=""&amp;ENCODEURL(""https://wa.me/507""&amp;REGEXREPLACE(C827,""[^0-9]"","""")&amp;""?text=""&amp;ENCODEURL(""Ya llegue. Codigo: ""&amp;A827&amp;"". Ubicacion: ""&amp;""https://www.google.com/maps/search/?a"&amp;"pi=1&amp;query=""&amp;SUBSTITUTE(F827,"" "",""""))),"""")"),"")</f>
        <v/>
      </c>
      <c r="M827" s="5" t="str">
        <f t="shared" si="6"/>
        <v/>
      </c>
      <c r="N827" s="5" t="str">
        <f>IFERROR(__xludf.DUMMYFUNCTION("IF(AND(F827&lt;&gt;"""",REGEXMATCH(SUBSTITUTE(F827,"" "",""""),""^-?\d+(\.\d+)?,-?\d+(\.\d+)?$""),VALUE(REGEXEXTRACT(SUBSTITUTE(F827,"" "",""""),""^-?\d+(\.\d+)?""))&gt;=-90,VALUE(REGEXEXTRACT(SUBSTITUTE(F827,"" "",""""),""^-?\d+(\.\d+)?""))&lt;=90,VALUE(REGEXEXTRACT"&amp;"(SUBSTITUTE(F827,"" "",""""),""-?\d+(\.\d+)?$""))&gt;=-180,VALUE(REGEXEXTRACT(SUBSTITUTE(F827,"" "",""""),""-?\d+(\.\d+)?$""))&lt;=180),""OK"",""REVISAR"")"),"#N/A")</f>
        <v>#N/A</v>
      </c>
    </row>
    <row r="828" ht="15.75" customHeight="1">
      <c r="A828" s="5" t="str">
        <f t="shared" si="1"/>
        <v>AD507-0826</v>
      </c>
      <c r="C828" s="5"/>
      <c r="F828" s="5"/>
      <c r="G828" s="5" t="str">
        <f t="shared" si="2"/>
        <v/>
      </c>
      <c r="H828" s="5" t="str">
        <f t="shared" si="3"/>
        <v/>
      </c>
      <c r="I828" s="5" t="str">
        <f t="shared" si="4"/>
        <v/>
      </c>
      <c r="J828" s="5" t="str">
        <f t="shared" si="5"/>
        <v/>
      </c>
      <c r="K828" s="5" t="str">
        <f>IFERROR(__xludf.DUMMYFUNCTION("IF(C828&lt;&gt;"""",HYPERLINK(""https://wa.me/507""&amp;REGEXREPLACE(C828,""[^0-9]"","""")&amp;""?text=""&amp;ENCODEURL(""Ya llegue. Codigo: ""&amp;A828&amp;"". Ubicacion: ""&amp;""https://www.google.com/maps/search/?api=1&amp;query=""&amp;SUBSTITUTE(F828,"" "","""")),""📲 Avisar al cliente"""&amp;"),"""")"),"")</f>
        <v/>
      </c>
      <c r="L828" s="5" t="str">
        <f>IFERROR(__xludf.DUMMYFUNCTION("IF(C828&lt;&gt;"""",""https://api.qrserver.com/v1/create-qr-code/?size=200x200&amp;data=""&amp;ENCODEURL(""https://wa.me/507""&amp;REGEXREPLACE(C828,""[^0-9]"","""")&amp;""?text=""&amp;ENCODEURL(""Ya llegue. Codigo: ""&amp;A828&amp;"". Ubicacion: ""&amp;""https://www.google.com/maps/search/?a"&amp;"pi=1&amp;query=""&amp;SUBSTITUTE(F828,"" "",""""))),"""")"),"")</f>
        <v/>
      </c>
      <c r="M828" s="5" t="str">
        <f t="shared" si="6"/>
        <v/>
      </c>
      <c r="N828" s="5" t="str">
        <f>IFERROR(__xludf.DUMMYFUNCTION("IF(AND(F828&lt;&gt;"""",REGEXMATCH(SUBSTITUTE(F828,"" "",""""),""^-?\d+(\.\d+)?,-?\d+(\.\d+)?$""),VALUE(REGEXEXTRACT(SUBSTITUTE(F828,"" "",""""),""^-?\d+(\.\d+)?""))&gt;=-90,VALUE(REGEXEXTRACT(SUBSTITUTE(F828,"" "",""""),""^-?\d+(\.\d+)?""))&lt;=90,VALUE(REGEXEXTRACT"&amp;"(SUBSTITUTE(F828,"" "",""""),""-?\d+(\.\d+)?$""))&gt;=-180,VALUE(REGEXEXTRACT(SUBSTITUTE(F828,"" "",""""),""-?\d+(\.\d+)?$""))&lt;=180),""OK"",""REVISAR"")"),"#N/A")</f>
        <v>#N/A</v>
      </c>
    </row>
    <row r="829" ht="15.75" customHeight="1">
      <c r="A829" s="5" t="str">
        <f t="shared" si="1"/>
        <v>AD507-0827</v>
      </c>
      <c r="C829" s="5"/>
      <c r="F829" s="5"/>
      <c r="G829" s="5" t="str">
        <f t="shared" si="2"/>
        <v/>
      </c>
      <c r="H829" s="5" t="str">
        <f t="shared" si="3"/>
        <v/>
      </c>
      <c r="I829" s="5" t="str">
        <f t="shared" si="4"/>
        <v/>
      </c>
      <c r="J829" s="5" t="str">
        <f t="shared" si="5"/>
        <v/>
      </c>
      <c r="K829" s="5" t="str">
        <f>IFERROR(__xludf.DUMMYFUNCTION("IF(C829&lt;&gt;"""",HYPERLINK(""https://wa.me/507""&amp;REGEXREPLACE(C829,""[^0-9]"","""")&amp;""?text=""&amp;ENCODEURL(""Ya llegue. Codigo: ""&amp;A829&amp;"". Ubicacion: ""&amp;""https://www.google.com/maps/search/?api=1&amp;query=""&amp;SUBSTITUTE(F829,"" "","""")),""📲 Avisar al cliente"""&amp;"),"""")"),"")</f>
        <v/>
      </c>
      <c r="L829" s="5" t="str">
        <f>IFERROR(__xludf.DUMMYFUNCTION("IF(C829&lt;&gt;"""",""https://api.qrserver.com/v1/create-qr-code/?size=200x200&amp;data=""&amp;ENCODEURL(""https://wa.me/507""&amp;REGEXREPLACE(C829,""[^0-9]"","""")&amp;""?text=""&amp;ENCODEURL(""Ya llegue. Codigo: ""&amp;A829&amp;"". Ubicacion: ""&amp;""https://www.google.com/maps/search/?a"&amp;"pi=1&amp;query=""&amp;SUBSTITUTE(F829,"" "",""""))),"""")"),"")</f>
        <v/>
      </c>
      <c r="M829" s="5" t="str">
        <f t="shared" si="6"/>
        <v/>
      </c>
      <c r="N829" s="5" t="str">
        <f>IFERROR(__xludf.DUMMYFUNCTION("IF(AND(F829&lt;&gt;"""",REGEXMATCH(SUBSTITUTE(F829,"" "",""""),""^-?\d+(\.\d+)?,-?\d+(\.\d+)?$""),VALUE(REGEXEXTRACT(SUBSTITUTE(F829,"" "",""""),""^-?\d+(\.\d+)?""))&gt;=-90,VALUE(REGEXEXTRACT(SUBSTITUTE(F829,"" "",""""),""^-?\d+(\.\d+)?""))&lt;=90,VALUE(REGEXEXTRACT"&amp;"(SUBSTITUTE(F829,"" "",""""),""-?\d+(\.\d+)?$""))&gt;=-180,VALUE(REGEXEXTRACT(SUBSTITUTE(F829,"" "",""""),""-?\d+(\.\d+)?$""))&lt;=180),""OK"",""REVISAR"")"),"#N/A")</f>
        <v>#N/A</v>
      </c>
    </row>
    <row r="830" ht="15.75" customHeight="1">
      <c r="A830" s="5" t="str">
        <f t="shared" si="1"/>
        <v>AD507-0828</v>
      </c>
      <c r="C830" s="5"/>
      <c r="F830" s="5"/>
      <c r="G830" s="5" t="str">
        <f t="shared" si="2"/>
        <v/>
      </c>
      <c r="H830" s="5" t="str">
        <f t="shared" si="3"/>
        <v/>
      </c>
      <c r="I830" s="5" t="str">
        <f t="shared" si="4"/>
        <v/>
      </c>
      <c r="J830" s="5" t="str">
        <f t="shared" si="5"/>
        <v/>
      </c>
      <c r="K830" s="5" t="str">
        <f>IFERROR(__xludf.DUMMYFUNCTION("IF(C830&lt;&gt;"""",HYPERLINK(""https://wa.me/507""&amp;REGEXREPLACE(C830,""[^0-9]"","""")&amp;""?text=""&amp;ENCODEURL(""Ya llegue. Codigo: ""&amp;A830&amp;"". Ubicacion: ""&amp;""https://www.google.com/maps/search/?api=1&amp;query=""&amp;SUBSTITUTE(F830,"" "","""")),""📲 Avisar al cliente"""&amp;"),"""")"),"")</f>
        <v/>
      </c>
      <c r="L830" s="5" t="str">
        <f>IFERROR(__xludf.DUMMYFUNCTION("IF(C830&lt;&gt;"""",""https://api.qrserver.com/v1/create-qr-code/?size=200x200&amp;data=""&amp;ENCODEURL(""https://wa.me/507""&amp;REGEXREPLACE(C830,""[^0-9]"","""")&amp;""?text=""&amp;ENCODEURL(""Ya llegue. Codigo: ""&amp;A830&amp;"". Ubicacion: ""&amp;""https://www.google.com/maps/search/?a"&amp;"pi=1&amp;query=""&amp;SUBSTITUTE(F830,"" "",""""))),"""")"),"")</f>
        <v/>
      </c>
      <c r="M830" s="5" t="str">
        <f t="shared" si="6"/>
        <v/>
      </c>
      <c r="N830" s="5" t="str">
        <f>IFERROR(__xludf.DUMMYFUNCTION("IF(AND(F830&lt;&gt;"""",REGEXMATCH(SUBSTITUTE(F830,"" "",""""),""^-?\d+(\.\d+)?,-?\d+(\.\d+)?$""),VALUE(REGEXEXTRACT(SUBSTITUTE(F830,"" "",""""),""^-?\d+(\.\d+)?""))&gt;=-90,VALUE(REGEXEXTRACT(SUBSTITUTE(F830,"" "",""""),""^-?\d+(\.\d+)?""))&lt;=90,VALUE(REGEXEXTRACT"&amp;"(SUBSTITUTE(F830,"" "",""""),""-?\d+(\.\d+)?$""))&gt;=-180,VALUE(REGEXEXTRACT(SUBSTITUTE(F830,"" "",""""),""-?\d+(\.\d+)?$""))&lt;=180),""OK"",""REVISAR"")"),"#N/A")</f>
        <v>#N/A</v>
      </c>
    </row>
    <row r="831" ht="15.75" customHeight="1">
      <c r="A831" s="5" t="str">
        <f t="shared" si="1"/>
        <v>AD507-0829</v>
      </c>
      <c r="C831" s="5"/>
      <c r="F831" s="5"/>
      <c r="G831" s="5" t="str">
        <f t="shared" si="2"/>
        <v/>
      </c>
      <c r="H831" s="5" t="str">
        <f t="shared" si="3"/>
        <v/>
      </c>
      <c r="I831" s="5" t="str">
        <f t="shared" si="4"/>
        <v/>
      </c>
      <c r="J831" s="5" t="str">
        <f t="shared" si="5"/>
        <v/>
      </c>
      <c r="K831" s="5" t="str">
        <f>IFERROR(__xludf.DUMMYFUNCTION("IF(C831&lt;&gt;"""",HYPERLINK(""https://wa.me/507""&amp;REGEXREPLACE(C831,""[^0-9]"","""")&amp;""?text=""&amp;ENCODEURL(""Ya llegue. Codigo: ""&amp;A831&amp;"". Ubicacion: ""&amp;""https://www.google.com/maps/search/?api=1&amp;query=""&amp;SUBSTITUTE(F831,"" "","""")),""📲 Avisar al cliente"""&amp;"),"""")"),"")</f>
        <v/>
      </c>
      <c r="L831" s="5" t="str">
        <f>IFERROR(__xludf.DUMMYFUNCTION("IF(C831&lt;&gt;"""",""https://api.qrserver.com/v1/create-qr-code/?size=200x200&amp;data=""&amp;ENCODEURL(""https://wa.me/507""&amp;REGEXREPLACE(C831,""[^0-9]"","""")&amp;""?text=""&amp;ENCODEURL(""Ya llegue. Codigo: ""&amp;A831&amp;"". Ubicacion: ""&amp;""https://www.google.com/maps/search/?a"&amp;"pi=1&amp;query=""&amp;SUBSTITUTE(F831,"" "",""""))),"""")"),"")</f>
        <v/>
      </c>
      <c r="M831" s="5" t="str">
        <f t="shared" si="6"/>
        <v/>
      </c>
      <c r="N831" s="5" t="str">
        <f>IFERROR(__xludf.DUMMYFUNCTION("IF(AND(F831&lt;&gt;"""",REGEXMATCH(SUBSTITUTE(F831,"" "",""""),""^-?\d+(\.\d+)?,-?\d+(\.\d+)?$""),VALUE(REGEXEXTRACT(SUBSTITUTE(F831,"" "",""""),""^-?\d+(\.\d+)?""))&gt;=-90,VALUE(REGEXEXTRACT(SUBSTITUTE(F831,"" "",""""),""^-?\d+(\.\d+)?""))&lt;=90,VALUE(REGEXEXTRACT"&amp;"(SUBSTITUTE(F831,"" "",""""),""-?\d+(\.\d+)?$""))&gt;=-180,VALUE(REGEXEXTRACT(SUBSTITUTE(F831,"" "",""""),""-?\d+(\.\d+)?$""))&lt;=180),""OK"",""REVISAR"")"),"#N/A")</f>
        <v>#N/A</v>
      </c>
    </row>
    <row r="832" ht="15.75" customHeight="1">
      <c r="A832" s="5" t="str">
        <f t="shared" si="1"/>
        <v>AD507-0830</v>
      </c>
      <c r="C832" s="5"/>
      <c r="F832" s="5"/>
      <c r="G832" s="5" t="str">
        <f t="shared" si="2"/>
        <v/>
      </c>
      <c r="H832" s="5" t="str">
        <f t="shared" si="3"/>
        <v/>
      </c>
      <c r="I832" s="5" t="str">
        <f t="shared" si="4"/>
        <v/>
      </c>
      <c r="J832" s="5" t="str">
        <f t="shared" si="5"/>
        <v/>
      </c>
      <c r="K832" s="5" t="str">
        <f>IFERROR(__xludf.DUMMYFUNCTION("IF(C832&lt;&gt;"""",HYPERLINK(""https://wa.me/507""&amp;REGEXREPLACE(C832,""[^0-9]"","""")&amp;""?text=""&amp;ENCODEURL(""Ya llegue. Codigo: ""&amp;A832&amp;"". Ubicacion: ""&amp;""https://www.google.com/maps/search/?api=1&amp;query=""&amp;SUBSTITUTE(F832,"" "","""")),""📲 Avisar al cliente"""&amp;"),"""")"),"")</f>
        <v/>
      </c>
      <c r="L832" s="5" t="str">
        <f>IFERROR(__xludf.DUMMYFUNCTION("IF(C832&lt;&gt;"""",""https://api.qrserver.com/v1/create-qr-code/?size=200x200&amp;data=""&amp;ENCODEURL(""https://wa.me/507""&amp;REGEXREPLACE(C832,""[^0-9]"","""")&amp;""?text=""&amp;ENCODEURL(""Ya llegue. Codigo: ""&amp;A832&amp;"". Ubicacion: ""&amp;""https://www.google.com/maps/search/?a"&amp;"pi=1&amp;query=""&amp;SUBSTITUTE(F832,"" "",""""))),"""")"),"")</f>
        <v/>
      </c>
      <c r="M832" s="5" t="str">
        <f t="shared" si="6"/>
        <v/>
      </c>
      <c r="N832" s="5" t="str">
        <f>IFERROR(__xludf.DUMMYFUNCTION("IF(AND(F832&lt;&gt;"""",REGEXMATCH(SUBSTITUTE(F832,"" "",""""),""^-?\d+(\.\d+)?,-?\d+(\.\d+)?$""),VALUE(REGEXEXTRACT(SUBSTITUTE(F832,"" "",""""),""^-?\d+(\.\d+)?""))&gt;=-90,VALUE(REGEXEXTRACT(SUBSTITUTE(F832,"" "",""""),""^-?\d+(\.\d+)?""))&lt;=90,VALUE(REGEXEXTRACT"&amp;"(SUBSTITUTE(F832,"" "",""""),""-?\d+(\.\d+)?$""))&gt;=-180,VALUE(REGEXEXTRACT(SUBSTITUTE(F832,"" "",""""),""-?\d+(\.\d+)?$""))&lt;=180),""OK"",""REVISAR"")"),"#N/A")</f>
        <v>#N/A</v>
      </c>
    </row>
    <row r="833" ht="15.75" customHeight="1">
      <c r="A833" s="5" t="str">
        <f t="shared" si="1"/>
        <v>AD507-0831</v>
      </c>
      <c r="C833" s="5"/>
      <c r="F833" s="5"/>
      <c r="G833" s="5" t="str">
        <f t="shared" si="2"/>
        <v/>
      </c>
      <c r="H833" s="5" t="str">
        <f t="shared" si="3"/>
        <v/>
      </c>
      <c r="I833" s="5" t="str">
        <f t="shared" si="4"/>
        <v/>
      </c>
      <c r="J833" s="5" t="str">
        <f t="shared" si="5"/>
        <v/>
      </c>
      <c r="K833" s="5" t="str">
        <f>IFERROR(__xludf.DUMMYFUNCTION("IF(C833&lt;&gt;"""",HYPERLINK(""https://wa.me/507""&amp;REGEXREPLACE(C833,""[^0-9]"","""")&amp;""?text=""&amp;ENCODEURL(""Ya llegue. Codigo: ""&amp;A833&amp;"". Ubicacion: ""&amp;""https://www.google.com/maps/search/?api=1&amp;query=""&amp;SUBSTITUTE(F833,"" "","""")),""📲 Avisar al cliente"""&amp;"),"""")"),"")</f>
        <v/>
      </c>
      <c r="L833" s="5" t="str">
        <f>IFERROR(__xludf.DUMMYFUNCTION("IF(C833&lt;&gt;"""",""https://api.qrserver.com/v1/create-qr-code/?size=200x200&amp;data=""&amp;ENCODEURL(""https://wa.me/507""&amp;REGEXREPLACE(C833,""[^0-9]"","""")&amp;""?text=""&amp;ENCODEURL(""Ya llegue. Codigo: ""&amp;A833&amp;"". Ubicacion: ""&amp;""https://www.google.com/maps/search/?a"&amp;"pi=1&amp;query=""&amp;SUBSTITUTE(F833,"" "",""""))),"""")"),"")</f>
        <v/>
      </c>
      <c r="M833" s="5" t="str">
        <f t="shared" si="6"/>
        <v/>
      </c>
      <c r="N833" s="5" t="str">
        <f>IFERROR(__xludf.DUMMYFUNCTION("IF(AND(F833&lt;&gt;"""",REGEXMATCH(SUBSTITUTE(F833,"" "",""""),""^-?\d+(\.\d+)?,-?\d+(\.\d+)?$""),VALUE(REGEXEXTRACT(SUBSTITUTE(F833,"" "",""""),""^-?\d+(\.\d+)?""))&gt;=-90,VALUE(REGEXEXTRACT(SUBSTITUTE(F833,"" "",""""),""^-?\d+(\.\d+)?""))&lt;=90,VALUE(REGEXEXTRACT"&amp;"(SUBSTITUTE(F833,"" "",""""),""-?\d+(\.\d+)?$""))&gt;=-180,VALUE(REGEXEXTRACT(SUBSTITUTE(F833,"" "",""""),""-?\d+(\.\d+)?$""))&lt;=180),""OK"",""REVISAR"")"),"#N/A")</f>
        <v>#N/A</v>
      </c>
    </row>
    <row r="834" ht="15.75" customHeight="1">
      <c r="A834" s="5" t="str">
        <f t="shared" si="1"/>
        <v>AD507-0832</v>
      </c>
      <c r="C834" s="5"/>
      <c r="F834" s="5"/>
      <c r="G834" s="5" t="str">
        <f t="shared" si="2"/>
        <v/>
      </c>
      <c r="H834" s="5" t="str">
        <f t="shared" si="3"/>
        <v/>
      </c>
      <c r="I834" s="5" t="str">
        <f t="shared" si="4"/>
        <v/>
      </c>
      <c r="J834" s="5" t="str">
        <f t="shared" si="5"/>
        <v/>
      </c>
      <c r="K834" s="5" t="str">
        <f>IFERROR(__xludf.DUMMYFUNCTION("IF(C834&lt;&gt;"""",HYPERLINK(""https://wa.me/507""&amp;REGEXREPLACE(C834,""[^0-9]"","""")&amp;""?text=""&amp;ENCODEURL(""Ya llegue. Codigo: ""&amp;A834&amp;"". Ubicacion: ""&amp;""https://www.google.com/maps/search/?api=1&amp;query=""&amp;SUBSTITUTE(F834,"" "","""")),""📲 Avisar al cliente"""&amp;"),"""")"),"")</f>
        <v/>
      </c>
      <c r="L834" s="5" t="str">
        <f>IFERROR(__xludf.DUMMYFUNCTION("IF(C834&lt;&gt;"""",""https://api.qrserver.com/v1/create-qr-code/?size=200x200&amp;data=""&amp;ENCODEURL(""https://wa.me/507""&amp;REGEXREPLACE(C834,""[^0-9]"","""")&amp;""?text=""&amp;ENCODEURL(""Ya llegue. Codigo: ""&amp;A834&amp;"". Ubicacion: ""&amp;""https://www.google.com/maps/search/?a"&amp;"pi=1&amp;query=""&amp;SUBSTITUTE(F834,"" "",""""))),"""")"),"")</f>
        <v/>
      </c>
      <c r="M834" s="5" t="str">
        <f t="shared" si="6"/>
        <v/>
      </c>
      <c r="N834" s="5" t="str">
        <f>IFERROR(__xludf.DUMMYFUNCTION("IF(AND(F834&lt;&gt;"""",REGEXMATCH(SUBSTITUTE(F834,"" "",""""),""^-?\d+(\.\d+)?,-?\d+(\.\d+)?$""),VALUE(REGEXEXTRACT(SUBSTITUTE(F834,"" "",""""),""^-?\d+(\.\d+)?""))&gt;=-90,VALUE(REGEXEXTRACT(SUBSTITUTE(F834,"" "",""""),""^-?\d+(\.\d+)?""))&lt;=90,VALUE(REGEXEXTRACT"&amp;"(SUBSTITUTE(F834,"" "",""""),""-?\d+(\.\d+)?$""))&gt;=-180,VALUE(REGEXEXTRACT(SUBSTITUTE(F834,"" "",""""),""-?\d+(\.\d+)?$""))&lt;=180),""OK"",""REVISAR"")"),"#N/A")</f>
        <v>#N/A</v>
      </c>
    </row>
    <row r="835" ht="15.75" customHeight="1">
      <c r="A835" s="5" t="str">
        <f t="shared" si="1"/>
        <v>AD507-0833</v>
      </c>
      <c r="C835" s="5"/>
      <c r="F835" s="5"/>
      <c r="G835" s="5" t="str">
        <f t="shared" si="2"/>
        <v/>
      </c>
      <c r="H835" s="5" t="str">
        <f t="shared" si="3"/>
        <v/>
      </c>
      <c r="I835" s="5" t="str">
        <f t="shared" si="4"/>
        <v/>
      </c>
      <c r="J835" s="5" t="str">
        <f t="shared" si="5"/>
        <v/>
      </c>
      <c r="K835" s="5" t="str">
        <f>IFERROR(__xludf.DUMMYFUNCTION("IF(C835&lt;&gt;"""",HYPERLINK(""https://wa.me/507""&amp;REGEXREPLACE(C835,""[^0-9]"","""")&amp;""?text=""&amp;ENCODEURL(""Ya llegue. Codigo: ""&amp;A835&amp;"". Ubicacion: ""&amp;""https://www.google.com/maps/search/?api=1&amp;query=""&amp;SUBSTITUTE(F835,"" "","""")),""📲 Avisar al cliente"""&amp;"),"""")"),"")</f>
        <v/>
      </c>
      <c r="L835" s="5" t="str">
        <f>IFERROR(__xludf.DUMMYFUNCTION("IF(C835&lt;&gt;"""",""https://api.qrserver.com/v1/create-qr-code/?size=200x200&amp;data=""&amp;ENCODEURL(""https://wa.me/507""&amp;REGEXREPLACE(C835,""[^0-9]"","""")&amp;""?text=""&amp;ENCODEURL(""Ya llegue. Codigo: ""&amp;A835&amp;"". Ubicacion: ""&amp;""https://www.google.com/maps/search/?a"&amp;"pi=1&amp;query=""&amp;SUBSTITUTE(F835,"" "",""""))),"""")"),"")</f>
        <v/>
      </c>
      <c r="M835" s="5" t="str">
        <f t="shared" si="6"/>
        <v/>
      </c>
      <c r="N835" s="5" t="str">
        <f>IFERROR(__xludf.DUMMYFUNCTION("IF(AND(F835&lt;&gt;"""",REGEXMATCH(SUBSTITUTE(F835,"" "",""""),""^-?\d+(\.\d+)?,-?\d+(\.\d+)?$""),VALUE(REGEXEXTRACT(SUBSTITUTE(F835,"" "",""""),""^-?\d+(\.\d+)?""))&gt;=-90,VALUE(REGEXEXTRACT(SUBSTITUTE(F835,"" "",""""),""^-?\d+(\.\d+)?""))&lt;=90,VALUE(REGEXEXTRACT"&amp;"(SUBSTITUTE(F835,"" "",""""),""-?\d+(\.\d+)?$""))&gt;=-180,VALUE(REGEXEXTRACT(SUBSTITUTE(F835,"" "",""""),""-?\d+(\.\d+)?$""))&lt;=180),""OK"",""REVISAR"")"),"#N/A")</f>
        <v>#N/A</v>
      </c>
    </row>
    <row r="836" ht="15.75" customHeight="1">
      <c r="A836" s="5" t="str">
        <f t="shared" si="1"/>
        <v>AD507-0834</v>
      </c>
      <c r="C836" s="5"/>
      <c r="F836" s="5"/>
      <c r="G836" s="5" t="str">
        <f t="shared" si="2"/>
        <v/>
      </c>
      <c r="H836" s="5" t="str">
        <f t="shared" si="3"/>
        <v/>
      </c>
      <c r="I836" s="5" t="str">
        <f t="shared" si="4"/>
        <v/>
      </c>
      <c r="J836" s="5" t="str">
        <f t="shared" si="5"/>
        <v/>
      </c>
      <c r="K836" s="5" t="str">
        <f>IFERROR(__xludf.DUMMYFUNCTION("IF(C836&lt;&gt;"""",HYPERLINK(""https://wa.me/507""&amp;REGEXREPLACE(C836,""[^0-9]"","""")&amp;""?text=""&amp;ENCODEURL(""Ya llegue. Codigo: ""&amp;A836&amp;"". Ubicacion: ""&amp;""https://www.google.com/maps/search/?api=1&amp;query=""&amp;SUBSTITUTE(F836,"" "","""")),""📲 Avisar al cliente"""&amp;"),"""")"),"")</f>
        <v/>
      </c>
      <c r="L836" s="5" t="str">
        <f>IFERROR(__xludf.DUMMYFUNCTION("IF(C836&lt;&gt;"""",""https://api.qrserver.com/v1/create-qr-code/?size=200x200&amp;data=""&amp;ENCODEURL(""https://wa.me/507""&amp;REGEXREPLACE(C836,""[^0-9]"","""")&amp;""?text=""&amp;ENCODEURL(""Ya llegue. Codigo: ""&amp;A836&amp;"". Ubicacion: ""&amp;""https://www.google.com/maps/search/?a"&amp;"pi=1&amp;query=""&amp;SUBSTITUTE(F836,"" "",""""))),"""")"),"")</f>
        <v/>
      </c>
      <c r="M836" s="5" t="str">
        <f t="shared" si="6"/>
        <v/>
      </c>
      <c r="N836" s="5" t="str">
        <f>IFERROR(__xludf.DUMMYFUNCTION("IF(AND(F836&lt;&gt;"""",REGEXMATCH(SUBSTITUTE(F836,"" "",""""),""^-?\d+(\.\d+)?,-?\d+(\.\d+)?$""),VALUE(REGEXEXTRACT(SUBSTITUTE(F836,"" "",""""),""^-?\d+(\.\d+)?""))&gt;=-90,VALUE(REGEXEXTRACT(SUBSTITUTE(F836,"" "",""""),""^-?\d+(\.\d+)?""))&lt;=90,VALUE(REGEXEXTRACT"&amp;"(SUBSTITUTE(F836,"" "",""""),""-?\d+(\.\d+)?$""))&gt;=-180,VALUE(REGEXEXTRACT(SUBSTITUTE(F836,"" "",""""),""-?\d+(\.\d+)?$""))&lt;=180),""OK"",""REVISAR"")"),"#N/A")</f>
        <v>#N/A</v>
      </c>
    </row>
    <row r="837" ht="15.75" customHeight="1">
      <c r="A837" s="5" t="str">
        <f t="shared" si="1"/>
        <v>AD507-0835</v>
      </c>
      <c r="C837" s="5"/>
      <c r="F837" s="5"/>
      <c r="G837" s="5" t="str">
        <f t="shared" si="2"/>
        <v/>
      </c>
      <c r="H837" s="5" t="str">
        <f t="shared" si="3"/>
        <v/>
      </c>
      <c r="I837" s="5" t="str">
        <f t="shared" si="4"/>
        <v/>
      </c>
      <c r="J837" s="5" t="str">
        <f t="shared" si="5"/>
        <v/>
      </c>
      <c r="K837" s="5" t="str">
        <f>IFERROR(__xludf.DUMMYFUNCTION("IF(C837&lt;&gt;"""",HYPERLINK(""https://wa.me/507""&amp;REGEXREPLACE(C837,""[^0-9]"","""")&amp;""?text=""&amp;ENCODEURL(""Ya llegue. Codigo: ""&amp;A837&amp;"". Ubicacion: ""&amp;""https://www.google.com/maps/search/?api=1&amp;query=""&amp;SUBSTITUTE(F837,"" "","""")),""📲 Avisar al cliente"""&amp;"),"""")"),"")</f>
        <v/>
      </c>
      <c r="L837" s="5" t="str">
        <f>IFERROR(__xludf.DUMMYFUNCTION("IF(C837&lt;&gt;"""",""https://api.qrserver.com/v1/create-qr-code/?size=200x200&amp;data=""&amp;ENCODEURL(""https://wa.me/507""&amp;REGEXREPLACE(C837,""[^0-9]"","""")&amp;""?text=""&amp;ENCODEURL(""Ya llegue. Codigo: ""&amp;A837&amp;"". Ubicacion: ""&amp;""https://www.google.com/maps/search/?a"&amp;"pi=1&amp;query=""&amp;SUBSTITUTE(F837,"" "",""""))),"""")"),"")</f>
        <v/>
      </c>
      <c r="M837" s="5" t="str">
        <f t="shared" si="6"/>
        <v/>
      </c>
      <c r="N837" s="5" t="str">
        <f>IFERROR(__xludf.DUMMYFUNCTION("IF(AND(F837&lt;&gt;"""",REGEXMATCH(SUBSTITUTE(F837,"" "",""""),""^-?\d+(\.\d+)?,-?\d+(\.\d+)?$""),VALUE(REGEXEXTRACT(SUBSTITUTE(F837,"" "",""""),""^-?\d+(\.\d+)?""))&gt;=-90,VALUE(REGEXEXTRACT(SUBSTITUTE(F837,"" "",""""),""^-?\d+(\.\d+)?""))&lt;=90,VALUE(REGEXEXTRACT"&amp;"(SUBSTITUTE(F837,"" "",""""),""-?\d+(\.\d+)?$""))&gt;=-180,VALUE(REGEXEXTRACT(SUBSTITUTE(F837,"" "",""""),""-?\d+(\.\d+)?$""))&lt;=180),""OK"",""REVISAR"")"),"#N/A")</f>
        <v>#N/A</v>
      </c>
    </row>
    <row r="838" ht="15.75" customHeight="1">
      <c r="A838" s="5" t="str">
        <f t="shared" si="1"/>
        <v>AD507-0836</v>
      </c>
      <c r="C838" s="5"/>
      <c r="F838" s="5"/>
      <c r="G838" s="5" t="str">
        <f t="shared" si="2"/>
        <v/>
      </c>
      <c r="H838" s="5" t="str">
        <f t="shared" si="3"/>
        <v/>
      </c>
      <c r="I838" s="5" t="str">
        <f t="shared" si="4"/>
        <v/>
      </c>
      <c r="J838" s="5" t="str">
        <f t="shared" si="5"/>
        <v/>
      </c>
      <c r="K838" s="5" t="str">
        <f>IFERROR(__xludf.DUMMYFUNCTION("IF(C838&lt;&gt;"""",HYPERLINK(""https://wa.me/507""&amp;REGEXREPLACE(C838,""[^0-9]"","""")&amp;""?text=""&amp;ENCODEURL(""Ya llegue. Codigo: ""&amp;A838&amp;"". Ubicacion: ""&amp;""https://www.google.com/maps/search/?api=1&amp;query=""&amp;SUBSTITUTE(F838,"" "","""")),""📲 Avisar al cliente"""&amp;"),"""")"),"")</f>
        <v/>
      </c>
      <c r="L838" s="5" t="str">
        <f>IFERROR(__xludf.DUMMYFUNCTION("IF(C838&lt;&gt;"""",""https://api.qrserver.com/v1/create-qr-code/?size=200x200&amp;data=""&amp;ENCODEURL(""https://wa.me/507""&amp;REGEXREPLACE(C838,""[^0-9]"","""")&amp;""?text=""&amp;ENCODEURL(""Ya llegue. Codigo: ""&amp;A838&amp;"". Ubicacion: ""&amp;""https://www.google.com/maps/search/?a"&amp;"pi=1&amp;query=""&amp;SUBSTITUTE(F838,"" "",""""))),"""")"),"")</f>
        <v/>
      </c>
      <c r="M838" s="5" t="str">
        <f t="shared" si="6"/>
        <v/>
      </c>
      <c r="N838" s="5" t="str">
        <f>IFERROR(__xludf.DUMMYFUNCTION("IF(AND(F838&lt;&gt;"""",REGEXMATCH(SUBSTITUTE(F838,"" "",""""),""^-?\d+(\.\d+)?,-?\d+(\.\d+)?$""),VALUE(REGEXEXTRACT(SUBSTITUTE(F838,"" "",""""),""^-?\d+(\.\d+)?""))&gt;=-90,VALUE(REGEXEXTRACT(SUBSTITUTE(F838,"" "",""""),""^-?\d+(\.\d+)?""))&lt;=90,VALUE(REGEXEXTRACT"&amp;"(SUBSTITUTE(F838,"" "",""""),""-?\d+(\.\d+)?$""))&gt;=-180,VALUE(REGEXEXTRACT(SUBSTITUTE(F838,"" "",""""),""-?\d+(\.\d+)?$""))&lt;=180),""OK"",""REVISAR"")"),"#N/A")</f>
        <v>#N/A</v>
      </c>
    </row>
    <row r="839" ht="15.75" customHeight="1">
      <c r="A839" s="5" t="str">
        <f t="shared" si="1"/>
        <v>AD507-0837</v>
      </c>
      <c r="C839" s="5"/>
      <c r="F839" s="5"/>
      <c r="G839" s="5" t="str">
        <f t="shared" si="2"/>
        <v/>
      </c>
      <c r="H839" s="5" t="str">
        <f t="shared" si="3"/>
        <v/>
      </c>
      <c r="I839" s="5" t="str">
        <f t="shared" si="4"/>
        <v/>
      </c>
      <c r="J839" s="5" t="str">
        <f t="shared" si="5"/>
        <v/>
      </c>
      <c r="K839" s="5" t="str">
        <f>IFERROR(__xludf.DUMMYFUNCTION("IF(C839&lt;&gt;"""",HYPERLINK(""https://wa.me/507""&amp;REGEXREPLACE(C839,""[^0-9]"","""")&amp;""?text=""&amp;ENCODEURL(""Ya llegue. Codigo: ""&amp;A839&amp;"". Ubicacion: ""&amp;""https://www.google.com/maps/search/?api=1&amp;query=""&amp;SUBSTITUTE(F839,"" "","""")),""📲 Avisar al cliente"""&amp;"),"""")"),"")</f>
        <v/>
      </c>
      <c r="L839" s="5" t="str">
        <f>IFERROR(__xludf.DUMMYFUNCTION("IF(C839&lt;&gt;"""",""https://api.qrserver.com/v1/create-qr-code/?size=200x200&amp;data=""&amp;ENCODEURL(""https://wa.me/507""&amp;REGEXREPLACE(C839,""[^0-9]"","""")&amp;""?text=""&amp;ENCODEURL(""Ya llegue. Codigo: ""&amp;A839&amp;"". Ubicacion: ""&amp;""https://www.google.com/maps/search/?a"&amp;"pi=1&amp;query=""&amp;SUBSTITUTE(F839,"" "",""""))),"""")"),"")</f>
        <v/>
      </c>
      <c r="M839" s="5" t="str">
        <f t="shared" si="6"/>
        <v/>
      </c>
      <c r="N839" s="5" t="str">
        <f>IFERROR(__xludf.DUMMYFUNCTION("IF(AND(F839&lt;&gt;"""",REGEXMATCH(SUBSTITUTE(F839,"" "",""""),""^-?\d+(\.\d+)?,-?\d+(\.\d+)?$""),VALUE(REGEXEXTRACT(SUBSTITUTE(F839,"" "",""""),""^-?\d+(\.\d+)?""))&gt;=-90,VALUE(REGEXEXTRACT(SUBSTITUTE(F839,"" "",""""),""^-?\d+(\.\d+)?""))&lt;=90,VALUE(REGEXEXTRACT"&amp;"(SUBSTITUTE(F839,"" "",""""),""-?\d+(\.\d+)?$""))&gt;=-180,VALUE(REGEXEXTRACT(SUBSTITUTE(F839,"" "",""""),""-?\d+(\.\d+)?$""))&lt;=180),""OK"",""REVISAR"")"),"#N/A")</f>
        <v>#N/A</v>
      </c>
    </row>
    <row r="840" ht="15.75" customHeight="1">
      <c r="A840" s="5" t="str">
        <f t="shared" si="1"/>
        <v>AD507-0838</v>
      </c>
      <c r="C840" s="5"/>
      <c r="F840" s="5"/>
      <c r="G840" s="5" t="str">
        <f t="shared" si="2"/>
        <v/>
      </c>
      <c r="H840" s="5" t="str">
        <f t="shared" si="3"/>
        <v/>
      </c>
      <c r="I840" s="5" t="str">
        <f t="shared" si="4"/>
        <v/>
      </c>
      <c r="J840" s="5" t="str">
        <f t="shared" si="5"/>
        <v/>
      </c>
      <c r="K840" s="5" t="str">
        <f>IFERROR(__xludf.DUMMYFUNCTION("IF(C840&lt;&gt;"""",HYPERLINK(""https://wa.me/507""&amp;REGEXREPLACE(C840,""[^0-9]"","""")&amp;""?text=""&amp;ENCODEURL(""Ya llegue. Codigo: ""&amp;A840&amp;"". Ubicacion: ""&amp;""https://www.google.com/maps/search/?api=1&amp;query=""&amp;SUBSTITUTE(F840,"" "","""")),""📲 Avisar al cliente"""&amp;"),"""")"),"")</f>
        <v/>
      </c>
      <c r="L840" s="5" t="str">
        <f>IFERROR(__xludf.DUMMYFUNCTION("IF(C840&lt;&gt;"""",""https://api.qrserver.com/v1/create-qr-code/?size=200x200&amp;data=""&amp;ENCODEURL(""https://wa.me/507""&amp;REGEXREPLACE(C840,""[^0-9]"","""")&amp;""?text=""&amp;ENCODEURL(""Ya llegue. Codigo: ""&amp;A840&amp;"". Ubicacion: ""&amp;""https://www.google.com/maps/search/?a"&amp;"pi=1&amp;query=""&amp;SUBSTITUTE(F840,"" "",""""))),"""")"),"")</f>
        <v/>
      </c>
      <c r="M840" s="5" t="str">
        <f t="shared" si="6"/>
        <v/>
      </c>
      <c r="N840" s="5" t="str">
        <f>IFERROR(__xludf.DUMMYFUNCTION("IF(AND(F840&lt;&gt;"""",REGEXMATCH(SUBSTITUTE(F840,"" "",""""),""^-?\d+(\.\d+)?,-?\d+(\.\d+)?$""),VALUE(REGEXEXTRACT(SUBSTITUTE(F840,"" "",""""),""^-?\d+(\.\d+)?""))&gt;=-90,VALUE(REGEXEXTRACT(SUBSTITUTE(F840,"" "",""""),""^-?\d+(\.\d+)?""))&lt;=90,VALUE(REGEXEXTRACT"&amp;"(SUBSTITUTE(F840,"" "",""""),""-?\d+(\.\d+)?$""))&gt;=-180,VALUE(REGEXEXTRACT(SUBSTITUTE(F840,"" "",""""),""-?\d+(\.\d+)?$""))&lt;=180),""OK"",""REVISAR"")"),"#N/A")</f>
        <v>#N/A</v>
      </c>
    </row>
    <row r="841" ht="15.75" customHeight="1">
      <c r="A841" s="5" t="str">
        <f t="shared" si="1"/>
        <v>AD507-0839</v>
      </c>
      <c r="C841" s="5"/>
      <c r="F841" s="5"/>
      <c r="G841" s="5" t="str">
        <f t="shared" si="2"/>
        <v/>
      </c>
      <c r="H841" s="5" t="str">
        <f t="shared" si="3"/>
        <v/>
      </c>
      <c r="I841" s="5" t="str">
        <f t="shared" si="4"/>
        <v/>
      </c>
      <c r="J841" s="5" t="str">
        <f t="shared" si="5"/>
        <v/>
      </c>
      <c r="K841" s="5" t="str">
        <f>IFERROR(__xludf.DUMMYFUNCTION("IF(C841&lt;&gt;"""",HYPERLINK(""https://wa.me/507""&amp;REGEXREPLACE(C841,""[^0-9]"","""")&amp;""?text=""&amp;ENCODEURL(""Ya llegue. Codigo: ""&amp;A841&amp;"". Ubicacion: ""&amp;""https://www.google.com/maps/search/?api=1&amp;query=""&amp;SUBSTITUTE(F841,"" "","""")),""📲 Avisar al cliente"""&amp;"),"""")"),"")</f>
        <v/>
      </c>
      <c r="L841" s="5" t="str">
        <f>IFERROR(__xludf.DUMMYFUNCTION("IF(C841&lt;&gt;"""",""https://api.qrserver.com/v1/create-qr-code/?size=200x200&amp;data=""&amp;ENCODEURL(""https://wa.me/507""&amp;REGEXREPLACE(C841,""[^0-9]"","""")&amp;""?text=""&amp;ENCODEURL(""Ya llegue. Codigo: ""&amp;A841&amp;"". Ubicacion: ""&amp;""https://www.google.com/maps/search/?a"&amp;"pi=1&amp;query=""&amp;SUBSTITUTE(F841,"" "",""""))),"""")"),"")</f>
        <v/>
      </c>
      <c r="M841" s="5" t="str">
        <f t="shared" si="6"/>
        <v/>
      </c>
      <c r="N841" s="5" t="str">
        <f>IFERROR(__xludf.DUMMYFUNCTION("IF(AND(F841&lt;&gt;"""",REGEXMATCH(SUBSTITUTE(F841,"" "",""""),""^-?\d+(\.\d+)?,-?\d+(\.\d+)?$""),VALUE(REGEXEXTRACT(SUBSTITUTE(F841,"" "",""""),""^-?\d+(\.\d+)?""))&gt;=-90,VALUE(REGEXEXTRACT(SUBSTITUTE(F841,"" "",""""),""^-?\d+(\.\d+)?""))&lt;=90,VALUE(REGEXEXTRACT"&amp;"(SUBSTITUTE(F841,"" "",""""),""-?\d+(\.\d+)?$""))&gt;=-180,VALUE(REGEXEXTRACT(SUBSTITUTE(F841,"" "",""""),""-?\d+(\.\d+)?$""))&lt;=180),""OK"",""REVISAR"")"),"#N/A")</f>
        <v>#N/A</v>
      </c>
    </row>
    <row r="842" ht="15.75" customHeight="1">
      <c r="A842" s="5" t="str">
        <f t="shared" si="1"/>
        <v>AD507-0840</v>
      </c>
      <c r="C842" s="5"/>
      <c r="F842" s="5"/>
      <c r="G842" s="5" t="str">
        <f t="shared" si="2"/>
        <v/>
      </c>
      <c r="H842" s="5" t="str">
        <f t="shared" si="3"/>
        <v/>
      </c>
      <c r="I842" s="5" t="str">
        <f t="shared" si="4"/>
        <v/>
      </c>
      <c r="J842" s="5" t="str">
        <f t="shared" si="5"/>
        <v/>
      </c>
      <c r="K842" s="5" t="str">
        <f>IFERROR(__xludf.DUMMYFUNCTION("IF(C842&lt;&gt;"""",HYPERLINK(""https://wa.me/507""&amp;REGEXREPLACE(C842,""[^0-9]"","""")&amp;""?text=""&amp;ENCODEURL(""Ya llegue. Codigo: ""&amp;A842&amp;"". Ubicacion: ""&amp;""https://www.google.com/maps/search/?api=1&amp;query=""&amp;SUBSTITUTE(F842,"" "","""")),""📲 Avisar al cliente"""&amp;"),"""")"),"")</f>
        <v/>
      </c>
      <c r="L842" s="5" t="str">
        <f>IFERROR(__xludf.DUMMYFUNCTION("IF(C842&lt;&gt;"""",""https://api.qrserver.com/v1/create-qr-code/?size=200x200&amp;data=""&amp;ENCODEURL(""https://wa.me/507""&amp;REGEXREPLACE(C842,""[^0-9]"","""")&amp;""?text=""&amp;ENCODEURL(""Ya llegue. Codigo: ""&amp;A842&amp;"". Ubicacion: ""&amp;""https://www.google.com/maps/search/?a"&amp;"pi=1&amp;query=""&amp;SUBSTITUTE(F842,"" "",""""))),"""")"),"")</f>
        <v/>
      </c>
      <c r="M842" s="5" t="str">
        <f t="shared" si="6"/>
        <v/>
      </c>
      <c r="N842" s="5" t="str">
        <f>IFERROR(__xludf.DUMMYFUNCTION("IF(AND(F842&lt;&gt;"""",REGEXMATCH(SUBSTITUTE(F842,"" "",""""),""^-?\d+(\.\d+)?,-?\d+(\.\d+)?$""),VALUE(REGEXEXTRACT(SUBSTITUTE(F842,"" "",""""),""^-?\d+(\.\d+)?""))&gt;=-90,VALUE(REGEXEXTRACT(SUBSTITUTE(F842,"" "",""""),""^-?\d+(\.\d+)?""))&lt;=90,VALUE(REGEXEXTRACT"&amp;"(SUBSTITUTE(F842,"" "",""""),""-?\d+(\.\d+)?$""))&gt;=-180,VALUE(REGEXEXTRACT(SUBSTITUTE(F842,"" "",""""),""-?\d+(\.\d+)?$""))&lt;=180),""OK"",""REVISAR"")"),"#N/A")</f>
        <v>#N/A</v>
      </c>
    </row>
    <row r="843" ht="15.75" customHeight="1">
      <c r="A843" s="5" t="str">
        <f t="shared" si="1"/>
        <v>AD507-0841</v>
      </c>
      <c r="C843" s="5"/>
      <c r="F843" s="5"/>
      <c r="G843" s="5" t="str">
        <f t="shared" si="2"/>
        <v/>
      </c>
      <c r="H843" s="5" t="str">
        <f t="shared" si="3"/>
        <v/>
      </c>
      <c r="I843" s="5" t="str">
        <f t="shared" si="4"/>
        <v/>
      </c>
      <c r="J843" s="5" t="str">
        <f t="shared" si="5"/>
        <v/>
      </c>
      <c r="K843" s="5" t="str">
        <f>IFERROR(__xludf.DUMMYFUNCTION("IF(C843&lt;&gt;"""",HYPERLINK(""https://wa.me/507""&amp;REGEXREPLACE(C843,""[^0-9]"","""")&amp;""?text=""&amp;ENCODEURL(""Ya llegue. Codigo: ""&amp;A843&amp;"". Ubicacion: ""&amp;""https://www.google.com/maps/search/?api=1&amp;query=""&amp;SUBSTITUTE(F843,"" "","""")),""📲 Avisar al cliente"""&amp;"),"""")"),"")</f>
        <v/>
      </c>
      <c r="L843" s="5" t="str">
        <f>IFERROR(__xludf.DUMMYFUNCTION("IF(C843&lt;&gt;"""",""https://api.qrserver.com/v1/create-qr-code/?size=200x200&amp;data=""&amp;ENCODEURL(""https://wa.me/507""&amp;REGEXREPLACE(C843,""[^0-9]"","""")&amp;""?text=""&amp;ENCODEURL(""Ya llegue. Codigo: ""&amp;A843&amp;"". Ubicacion: ""&amp;""https://www.google.com/maps/search/?a"&amp;"pi=1&amp;query=""&amp;SUBSTITUTE(F843,"" "",""""))),"""")"),"")</f>
        <v/>
      </c>
      <c r="M843" s="5" t="str">
        <f t="shared" si="6"/>
        <v/>
      </c>
      <c r="N843" s="5" t="str">
        <f>IFERROR(__xludf.DUMMYFUNCTION("IF(AND(F843&lt;&gt;"""",REGEXMATCH(SUBSTITUTE(F843,"" "",""""),""^-?\d+(\.\d+)?,-?\d+(\.\d+)?$""),VALUE(REGEXEXTRACT(SUBSTITUTE(F843,"" "",""""),""^-?\d+(\.\d+)?""))&gt;=-90,VALUE(REGEXEXTRACT(SUBSTITUTE(F843,"" "",""""),""^-?\d+(\.\d+)?""))&lt;=90,VALUE(REGEXEXTRACT"&amp;"(SUBSTITUTE(F843,"" "",""""),""-?\d+(\.\d+)?$""))&gt;=-180,VALUE(REGEXEXTRACT(SUBSTITUTE(F843,"" "",""""),""-?\d+(\.\d+)?$""))&lt;=180),""OK"",""REVISAR"")"),"#N/A")</f>
        <v>#N/A</v>
      </c>
    </row>
    <row r="844" ht="15.75" customHeight="1">
      <c r="A844" s="5" t="str">
        <f t="shared" si="1"/>
        <v>AD507-0842</v>
      </c>
      <c r="C844" s="5"/>
      <c r="F844" s="5"/>
      <c r="G844" s="5" t="str">
        <f t="shared" si="2"/>
        <v/>
      </c>
      <c r="H844" s="5" t="str">
        <f t="shared" si="3"/>
        <v/>
      </c>
      <c r="I844" s="5" t="str">
        <f t="shared" si="4"/>
        <v/>
      </c>
      <c r="J844" s="5" t="str">
        <f t="shared" si="5"/>
        <v/>
      </c>
      <c r="K844" s="5" t="str">
        <f>IFERROR(__xludf.DUMMYFUNCTION("IF(C844&lt;&gt;"""",HYPERLINK(""https://wa.me/507""&amp;REGEXREPLACE(C844,""[^0-9]"","""")&amp;""?text=""&amp;ENCODEURL(""Ya llegue. Codigo: ""&amp;A844&amp;"". Ubicacion: ""&amp;""https://www.google.com/maps/search/?api=1&amp;query=""&amp;SUBSTITUTE(F844,"" "","""")),""📲 Avisar al cliente"""&amp;"),"""")"),"")</f>
        <v/>
      </c>
      <c r="L844" s="5" t="str">
        <f>IFERROR(__xludf.DUMMYFUNCTION("IF(C844&lt;&gt;"""",""https://api.qrserver.com/v1/create-qr-code/?size=200x200&amp;data=""&amp;ENCODEURL(""https://wa.me/507""&amp;REGEXREPLACE(C844,""[^0-9]"","""")&amp;""?text=""&amp;ENCODEURL(""Ya llegue. Codigo: ""&amp;A844&amp;"". Ubicacion: ""&amp;""https://www.google.com/maps/search/?a"&amp;"pi=1&amp;query=""&amp;SUBSTITUTE(F844,"" "",""""))),"""")"),"")</f>
        <v/>
      </c>
      <c r="M844" s="5" t="str">
        <f t="shared" si="6"/>
        <v/>
      </c>
      <c r="N844" s="5" t="str">
        <f>IFERROR(__xludf.DUMMYFUNCTION("IF(AND(F844&lt;&gt;"""",REGEXMATCH(SUBSTITUTE(F844,"" "",""""),""^-?\d+(\.\d+)?,-?\d+(\.\d+)?$""),VALUE(REGEXEXTRACT(SUBSTITUTE(F844,"" "",""""),""^-?\d+(\.\d+)?""))&gt;=-90,VALUE(REGEXEXTRACT(SUBSTITUTE(F844,"" "",""""),""^-?\d+(\.\d+)?""))&lt;=90,VALUE(REGEXEXTRACT"&amp;"(SUBSTITUTE(F844,"" "",""""),""-?\d+(\.\d+)?$""))&gt;=-180,VALUE(REGEXEXTRACT(SUBSTITUTE(F844,"" "",""""),""-?\d+(\.\d+)?$""))&lt;=180),""OK"",""REVISAR"")"),"#N/A")</f>
        <v>#N/A</v>
      </c>
    </row>
    <row r="845" ht="15.75" customHeight="1">
      <c r="A845" s="5" t="str">
        <f t="shared" si="1"/>
        <v>AD507-0843</v>
      </c>
      <c r="C845" s="5"/>
      <c r="F845" s="5"/>
      <c r="G845" s="5" t="str">
        <f t="shared" si="2"/>
        <v/>
      </c>
      <c r="H845" s="5" t="str">
        <f t="shared" si="3"/>
        <v/>
      </c>
      <c r="I845" s="5" t="str">
        <f t="shared" si="4"/>
        <v/>
      </c>
      <c r="J845" s="5" t="str">
        <f t="shared" si="5"/>
        <v/>
      </c>
      <c r="K845" s="5" t="str">
        <f>IFERROR(__xludf.DUMMYFUNCTION("IF(C845&lt;&gt;"""",HYPERLINK(""https://wa.me/507""&amp;REGEXREPLACE(C845,""[^0-9]"","""")&amp;""?text=""&amp;ENCODEURL(""Ya llegue. Codigo: ""&amp;A845&amp;"". Ubicacion: ""&amp;""https://www.google.com/maps/search/?api=1&amp;query=""&amp;SUBSTITUTE(F845,"" "","""")),""📲 Avisar al cliente"""&amp;"),"""")"),"")</f>
        <v/>
      </c>
      <c r="L845" s="5" t="str">
        <f>IFERROR(__xludf.DUMMYFUNCTION("IF(C845&lt;&gt;"""",""https://api.qrserver.com/v1/create-qr-code/?size=200x200&amp;data=""&amp;ENCODEURL(""https://wa.me/507""&amp;REGEXREPLACE(C845,""[^0-9]"","""")&amp;""?text=""&amp;ENCODEURL(""Ya llegue. Codigo: ""&amp;A845&amp;"". Ubicacion: ""&amp;""https://www.google.com/maps/search/?a"&amp;"pi=1&amp;query=""&amp;SUBSTITUTE(F845,"" "",""""))),"""")"),"")</f>
        <v/>
      </c>
      <c r="M845" s="5" t="str">
        <f t="shared" si="6"/>
        <v/>
      </c>
      <c r="N845" s="5" t="str">
        <f>IFERROR(__xludf.DUMMYFUNCTION("IF(AND(F845&lt;&gt;"""",REGEXMATCH(SUBSTITUTE(F845,"" "",""""),""^-?\d+(\.\d+)?,-?\d+(\.\d+)?$""),VALUE(REGEXEXTRACT(SUBSTITUTE(F845,"" "",""""),""^-?\d+(\.\d+)?""))&gt;=-90,VALUE(REGEXEXTRACT(SUBSTITUTE(F845,"" "",""""),""^-?\d+(\.\d+)?""))&lt;=90,VALUE(REGEXEXTRACT"&amp;"(SUBSTITUTE(F845,"" "",""""),""-?\d+(\.\d+)?$""))&gt;=-180,VALUE(REGEXEXTRACT(SUBSTITUTE(F845,"" "",""""),""-?\d+(\.\d+)?$""))&lt;=180),""OK"",""REVISAR"")"),"#N/A")</f>
        <v>#N/A</v>
      </c>
    </row>
    <row r="846" ht="15.75" customHeight="1">
      <c r="A846" s="5" t="str">
        <f t="shared" si="1"/>
        <v>AD507-0844</v>
      </c>
      <c r="C846" s="5"/>
      <c r="F846" s="5"/>
      <c r="G846" s="5" t="str">
        <f t="shared" si="2"/>
        <v/>
      </c>
      <c r="H846" s="5" t="str">
        <f t="shared" si="3"/>
        <v/>
      </c>
      <c r="I846" s="5" t="str">
        <f t="shared" si="4"/>
        <v/>
      </c>
      <c r="J846" s="5" t="str">
        <f t="shared" si="5"/>
        <v/>
      </c>
      <c r="K846" s="5" t="str">
        <f>IFERROR(__xludf.DUMMYFUNCTION("IF(C846&lt;&gt;"""",HYPERLINK(""https://wa.me/507""&amp;REGEXREPLACE(C846,""[^0-9]"","""")&amp;""?text=""&amp;ENCODEURL(""Ya llegue. Codigo: ""&amp;A846&amp;"". Ubicacion: ""&amp;""https://www.google.com/maps/search/?api=1&amp;query=""&amp;SUBSTITUTE(F846,"" "","""")),""📲 Avisar al cliente"""&amp;"),"""")"),"")</f>
        <v/>
      </c>
      <c r="L846" s="5" t="str">
        <f>IFERROR(__xludf.DUMMYFUNCTION("IF(C846&lt;&gt;"""",""https://api.qrserver.com/v1/create-qr-code/?size=200x200&amp;data=""&amp;ENCODEURL(""https://wa.me/507""&amp;REGEXREPLACE(C846,""[^0-9]"","""")&amp;""?text=""&amp;ENCODEURL(""Ya llegue. Codigo: ""&amp;A846&amp;"". Ubicacion: ""&amp;""https://www.google.com/maps/search/?a"&amp;"pi=1&amp;query=""&amp;SUBSTITUTE(F846,"" "",""""))),"""")"),"")</f>
        <v/>
      </c>
      <c r="M846" s="5" t="str">
        <f t="shared" si="6"/>
        <v/>
      </c>
      <c r="N846" s="5" t="str">
        <f>IFERROR(__xludf.DUMMYFUNCTION("IF(AND(F846&lt;&gt;"""",REGEXMATCH(SUBSTITUTE(F846,"" "",""""),""^-?\d+(\.\d+)?,-?\d+(\.\d+)?$""),VALUE(REGEXEXTRACT(SUBSTITUTE(F846,"" "",""""),""^-?\d+(\.\d+)?""))&gt;=-90,VALUE(REGEXEXTRACT(SUBSTITUTE(F846,"" "",""""),""^-?\d+(\.\d+)?""))&lt;=90,VALUE(REGEXEXTRACT"&amp;"(SUBSTITUTE(F846,"" "",""""),""-?\d+(\.\d+)?$""))&gt;=-180,VALUE(REGEXEXTRACT(SUBSTITUTE(F846,"" "",""""),""-?\d+(\.\d+)?$""))&lt;=180),""OK"",""REVISAR"")"),"#N/A")</f>
        <v>#N/A</v>
      </c>
    </row>
    <row r="847" ht="15.75" customHeight="1">
      <c r="A847" s="5" t="str">
        <f t="shared" si="1"/>
        <v>AD507-0845</v>
      </c>
      <c r="C847" s="5"/>
      <c r="F847" s="5"/>
      <c r="G847" s="5" t="str">
        <f t="shared" si="2"/>
        <v/>
      </c>
      <c r="H847" s="5" t="str">
        <f t="shared" si="3"/>
        <v/>
      </c>
      <c r="I847" s="5" t="str">
        <f t="shared" si="4"/>
        <v/>
      </c>
      <c r="J847" s="5" t="str">
        <f t="shared" si="5"/>
        <v/>
      </c>
      <c r="K847" s="5" t="str">
        <f>IFERROR(__xludf.DUMMYFUNCTION("IF(C847&lt;&gt;"""",HYPERLINK(""https://wa.me/507""&amp;REGEXREPLACE(C847,""[^0-9]"","""")&amp;""?text=""&amp;ENCODEURL(""Ya llegue. Codigo: ""&amp;A847&amp;"". Ubicacion: ""&amp;""https://www.google.com/maps/search/?api=1&amp;query=""&amp;SUBSTITUTE(F847,"" "","""")),""📲 Avisar al cliente"""&amp;"),"""")"),"")</f>
        <v/>
      </c>
      <c r="L847" s="5" t="str">
        <f>IFERROR(__xludf.DUMMYFUNCTION("IF(C847&lt;&gt;"""",""https://api.qrserver.com/v1/create-qr-code/?size=200x200&amp;data=""&amp;ENCODEURL(""https://wa.me/507""&amp;REGEXREPLACE(C847,""[^0-9]"","""")&amp;""?text=""&amp;ENCODEURL(""Ya llegue. Codigo: ""&amp;A847&amp;"". Ubicacion: ""&amp;""https://www.google.com/maps/search/?a"&amp;"pi=1&amp;query=""&amp;SUBSTITUTE(F847,"" "",""""))),"""")"),"")</f>
        <v/>
      </c>
      <c r="M847" s="5" t="str">
        <f t="shared" si="6"/>
        <v/>
      </c>
      <c r="N847" s="5" t="str">
        <f>IFERROR(__xludf.DUMMYFUNCTION("IF(AND(F847&lt;&gt;"""",REGEXMATCH(SUBSTITUTE(F847,"" "",""""),""^-?\d+(\.\d+)?,-?\d+(\.\d+)?$""),VALUE(REGEXEXTRACT(SUBSTITUTE(F847,"" "",""""),""^-?\d+(\.\d+)?""))&gt;=-90,VALUE(REGEXEXTRACT(SUBSTITUTE(F847,"" "",""""),""^-?\d+(\.\d+)?""))&lt;=90,VALUE(REGEXEXTRACT"&amp;"(SUBSTITUTE(F847,"" "",""""),""-?\d+(\.\d+)?$""))&gt;=-180,VALUE(REGEXEXTRACT(SUBSTITUTE(F847,"" "",""""),""-?\d+(\.\d+)?$""))&lt;=180),""OK"",""REVISAR"")"),"#N/A")</f>
        <v>#N/A</v>
      </c>
    </row>
    <row r="848" ht="15.75" customHeight="1">
      <c r="A848" s="5" t="str">
        <f t="shared" si="1"/>
        <v>AD507-0846</v>
      </c>
      <c r="C848" s="5"/>
      <c r="F848" s="5"/>
      <c r="G848" s="5" t="str">
        <f t="shared" si="2"/>
        <v/>
      </c>
      <c r="H848" s="5" t="str">
        <f t="shared" si="3"/>
        <v/>
      </c>
      <c r="I848" s="5" t="str">
        <f t="shared" si="4"/>
        <v/>
      </c>
      <c r="J848" s="5" t="str">
        <f t="shared" si="5"/>
        <v/>
      </c>
      <c r="K848" s="5" t="str">
        <f>IFERROR(__xludf.DUMMYFUNCTION("IF(C848&lt;&gt;"""",HYPERLINK(""https://wa.me/507""&amp;REGEXREPLACE(C848,""[^0-9]"","""")&amp;""?text=""&amp;ENCODEURL(""Ya llegue. Codigo: ""&amp;A848&amp;"". Ubicacion: ""&amp;""https://www.google.com/maps/search/?api=1&amp;query=""&amp;SUBSTITUTE(F848,"" "","""")),""📲 Avisar al cliente"""&amp;"),"""")"),"")</f>
        <v/>
      </c>
      <c r="L848" s="5" t="str">
        <f>IFERROR(__xludf.DUMMYFUNCTION("IF(C848&lt;&gt;"""",""https://api.qrserver.com/v1/create-qr-code/?size=200x200&amp;data=""&amp;ENCODEURL(""https://wa.me/507""&amp;REGEXREPLACE(C848,""[^0-9]"","""")&amp;""?text=""&amp;ENCODEURL(""Ya llegue. Codigo: ""&amp;A848&amp;"". Ubicacion: ""&amp;""https://www.google.com/maps/search/?a"&amp;"pi=1&amp;query=""&amp;SUBSTITUTE(F848,"" "",""""))),"""")"),"")</f>
        <v/>
      </c>
      <c r="M848" s="5" t="str">
        <f t="shared" si="6"/>
        <v/>
      </c>
      <c r="N848" s="5" t="str">
        <f>IFERROR(__xludf.DUMMYFUNCTION("IF(AND(F848&lt;&gt;"""",REGEXMATCH(SUBSTITUTE(F848,"" "",""""),""^-?\d+(\.\d+)?,-?\d+(\.\d+)?$""),VALUE(REGEXEXTRACT(SUBSTITUTE(F848,"" "",""""),""^-?\d+(\.\d+)?""))&gt;=-90,VALUE(REGEXEXTRACT(SUBSTITUTE(F848,"" "",""""),""^-?\d+(\.\d+)?""))&lt;=90,VALUE(REGEXEXTRACT"&amp;"(SUBSTITUTE(F848,"" "",""""),""-?\d+(\.\d+)?$""))&gt;=-180,VALUE(REGEXEXTRACT(SUBSTITUTE(F848,"" "",""""),""-?\d+(\.\d+)?$""))&lt;=180),""OK"",""REVISAR"")"),"#N/A")</f>
        <v>#N/A</v>
      </c>
    </row>
    <row r="849" ht="15.75" customHeight="1">
      <c r="A849" s="5" t="str">
        <f t="shared" si="1"/>
        <v>AD507-0847</v>
      </c>
      <c r="C849" s="5"/>
      <c r="F849" s="5"/>
      <c r="G849" s="5" t="str">
        <f t="shared" si="2"/>
        <v/>
      </c>
      <c r="H849" s="5" t="str">
        <f t="shared" si="3"/>
        <v/>
      </c>
      <c r="I849" s="5" t="str">
        <f t="shared" si="4"/>
        <v/>
      </c>
      <c r="J849" s="5" t="str">
        <f t="shared" si="5"/>
        <v/>
      </c>
      <c r="K849" s="5" t="str">
        <f>IFERROR(__xludf.DUMMYFUNCTION("IF(C849&lt;&gt;"""",HYPERLINK(""https://wa.me/507""&amp;REGEXREPLACE(C849,""[^0-9]"","""")&amp;""?text=""&amp;ENCODEURL(""Ya llegue. Codigo: ""&amp;A849&amp;"". Ubicacion: ""&amp;""https://www.google.com/maps/search/?api=1&amp;query=""&amp;SUBSTITUTE(F849,"" "","""")),""📲 Avisar al cliente"""&amp;"),"""")"),"")</f>
        <v/>
      </c>
      <c r="L849" s="5" t="str">
        <f>IFERROR(__xludf.DUMMYFUNCTION("IF(C849&lt;&gt;"""",""https://api.qrserver.com/v1/create-qr-code/?size=200x200&amp;data=""&amp;ENCODEURL(""https://wa.me/507""&amp;REGEXREPLACE(C849,""[^0-9]"","""")&amp;""?text=""&amp;ENCODEURL(""Ya llegue. Codigo: ""&amp;A849&amp;"". Ubicacion: ""&amp;""https://www.google.com/maps/search/?a"&amp;"pi=1&amp;query=""&amp;SUBSTITUTE(F849,"" "",""""))),"""")"),"")</f>
        <v/>
      </c>
      <c r="M849" s="5" t="str">
        <f t="shared" si="6"/>
        <v/>
      </c>
      <c r="N849" s="5" t="str">
        <f>IFERROR(__xludf.DUMMYFUNCTION("IF(AND(F849&lt;&gt;"""",REGEXMATCH(SUBSTITUTE(F849,"" "",""""),""^-?\d+(\.\d+)?,-?\d+(\.\d+)?$""),VALUE(REGEXEXTRACT(SUBSTITUTE(F849,"" "",""""),""^-?\d+(\.\d+)?""))&gt;=-90,VALUE(REGEXEXTRACT(SUBSTITUTE(F849,"" "",""""),""^-?\d+(\.\d+)?""))&lt;=90,VALUE(REGEXEXTRACT"&amp;"(SUBSTITUTE(F849,"" "",""""),""-?\d+(\.\d+)?$""))&gt;=-180,VALUE(REGEXEXTRACT(SUBSTITUTE(F849,"" "",""""),""-?\d+(\.\d+)?$""))&lt;=180),""OK"",""REVISAR"")"),"#N/A")</f>
        <v>#N/A</v>
      </c>
    </row>
    <row r="850" ht="15.75" customHeight="1">
      <c r="A850" s="5" t="str">
        <f t="shared" si="1"/>
        <v>AD507-0848</v>
      </c>
      <c r="C850" s="5"/>
      <c r="F850" s="5"/>
      <c r="G850" s="5" t="str">
        <f t="shared" si="2"/>
        <v/>
      </c>
      <c r="H850" s="5" t="str">
        <f t="shared" si="3"/>
        <v/>
      </c>
      <c r="I850" s="5" t="str">
        <f t="shared" si="4"/>
        <v/>
      </c>
      <c r="J850" s="5" t="str">
        <f t="shared" si="5"/>
        <v/>
      </c>
      <c r="K850" s="5" t="str">
        <f>IFERROR(__xludf.DUMMYFUNCTION("IF(C850&lt;&gt;"""",HYPERLINK(""https://wa.me/507""&amp;REGEXREPLACE(C850,""[^0-9]"","""")&amp;""?text=""&amp;ENCODEURL(""Ya llegue. Codigo: ""&amp;A850&amp;"". Ubicacion: ""&amp;""https://www.google.com/maps/search/?api=1&amp;query=""&amp;SUBSTITUTE(F850,"" "","""")),""📲 Avisar al cliente"""&amp;"),"""")"),"")</f>
        <v/>
      </c>
      <c r="L850" s="5" t="str">
        <f>IFERROR(__xludf.DUMMYFUNCTION("IF(C850&lt;&gt;"""",""https://api.qrserver.com/v1/create-qr-code/?size=200x200&amp;data=""&amp;ENCODEURL(""https://wa.me/507""&amp;REGEXREPLACE(C850,""[^0-9]"","""")&amp;""?text=""&amp;ENCODEURL(""Ya llegue. Codigo: ""&amp;A850&amp;"". Ubicacion: ""&amp;""https://www.google.com/maps/search/?a"&amp;"pi=1&amp;query=""&amp;SUBSTITUTE(F850,"" "",""""))),"""")"),"")</f>
        <v/>
      </c>
      <c r="M850" s="5" t="str">
        <f t="shared" si="6"/>
        <v/>
      </c>
      <c r="N850" s="5" t="str">
        <f>IFERROR(__xludf.DUMMYFUNCTION("IF(AND(F850&lt;&gt;"""",REGEXMATCH(SUBSTITUTE(F850,"" "",""""),""^-?\d+(\.\d+)?,-?\d+(\.\d+)?$""),VALUE(REGEXEXTRACT(SUBSTITUTE(F850,"" "",""""),""^-?\d+(\.\d+)?""))&gt;=-90,VALUE(REGEXEXTRACT(SUBSTITUTE(F850,"" "",""""),""^-?\d+(\.\d+)?""))&lt;=90,VALUE(REGEXEXTRACT"&amp;"(SUBSTITUTE(F850,"" "",""""),""-?\d+(\.\d+)?$""))&gt;=-180,VALUE(REGEXEXTRACT(SUBSTITUTE(F850,"" "",""""),""-?\d+(\.\d+)?$""))&lt;=180),""OK"",""REVISAR"")"),"#N/A")</f>
        <v>#N/A</v>
      </c>
    </row>
    <row r="851" ht="15.75" customHeight="1">
      <c r="A851" s="5" t="str">
        <f t="shared" si="1"/>
        <v>AD507-0849</v>
      </c>
      <c r="C851" s="5"/>
      <c r="F851" s="5"/>
      <c r="G851" s="5" t="str">
        <f t="shared" si="2"/>
        <v/>
      </c>
      <c r="H851" s="5" t="str">
        <f t="shared" si="3"/>
        <v/>
      </c>
      <c r="I851" s="5" t="str">
        <f t="shared" si="4"/>
        <v/>
      </c>
      <c r="J851" s="5" t="str">
        <f t="shared" si="5"/>
        <v/>
      </c>
      <c r="K851" s="5" t="str">
        <f>IFERROR(__xludf.DUMMYFUNCTION("IF(C851&lt;&gt;"""",HYPERLINK(""https://wa.me/507""&amp;REGEXREPLACE(C851,""[^0-9]"","""")&amp;""?text=""&amp;ENCODEURL(""Ya llegue. Codigo: ""&amp;A851&amp;"". Ubicacion: ""&amp;""https://www.google.com/maps/search/?api=1&amp;query=""&amp;SUBSTITUTE(F851,"" "","""")),""📲 Avisar al cliente"""&amp;"),"""")"),"")</f>
        <v/>
      </c>
      <c r="L851" s="5" t="str">
        <f>IFERROR(__xludf.DUMMYFUNCTION("IF(C851&lt;&gt;"""",""https://api.qrserver.com/v1/create-qr-code/?size=200x200&amp;data=""&amp;ENCODEURL(""https://wa.me/507""&amp;REGEXREPLACE(C851,""[^0-9]"","""")&amp;""?text=""&amp;ENCODEURL(""Ya llegue. Codigo: ""&amp;A851&amp;"". Ubicacion: ""&amp;""https://www.google.com/maps/search/?a"&amp;"pi=1&amp;query=""&amp;SUBSTITUTE(F851,"" "",""""))),"""")"),"")</f>
        <v/>
      </c>
      <c r="M851" s="5" t="str">
        <f t="shared" si="6"/>
        <v/>
      </c>
      <c r="N851" s="5" t="str">
        <f>IFERROR(__xludf.DUMMYFUNCTION("IF(AND(F851&lt;&gt;"""",REGEXMATCH(SUBSTITUTE(F851,"" "",""""),""^-?\d+(\.\d+)?,-?\d+(\.\d+)?$""),VALUE(REGEXEXTRACT(SUBSTITUTE(F851,"" "",""""),""^-?\d+(\.\d+)?""))&gt;=-90,VALUE(REGEXEXTRACT(SUBSTITUTE(F851,"" "",""""),""^-?\d+(\.\d+)?""))&lt;=90,VALUE(REGEXEXTRACT"&amp;"(SUBSTITUTE(F851,"" "",""""),""-?\d+(\.\d+)?$""))&gt;=-180,VALUE(REGEXEXTRACT(SUBSTITUTE(F851,"" "",""""),""-?\d+(\.\d+)?$""))&lt;=180),""OK"",""REVISAR"")"),"#N/A")</f>
        <v>#N/A</v>
      </c>
    </row>
    <row r="852" ht="15.75" customHeight="1">
      <c r="A852" s="5" t="str">
        <f t="shared" si="1"/>
        <v>AD507-0850</v>
      </c>
      <c r="C852" s="5"/>
      <c r="F852" s="5"/>
      <c r="G852" s="5" t="str">
        <f t="shared" si="2"/>
        <v/>
      </c>
      <c r="H852" s="5" t="str">
        <f t="shared" si="3"/>
        <v/>
      </c>
      <c r="I852" s="5" t="str">
        <f t="shared" si="4"/>
        <v/>
      </c>
      <c r="J852" s="5" t="str">
        <f t="shared" si="5"/>
        <v/>
      </c>
      <c r="K852" s="5" t="str">
        <f>IFERROR(__xludf.DUMMYFUNCTION("IF(C852&lt;&gt;"""",HYPERLINK(""https://wa.me/507""&amp;REGEXREPLACE(C852,""[^0-9]"","""")&amp;""?text=""&amp;ENCODEURL(""Ya llegue. Codigo: ""&amp;A852&amp;"". Ubicacion: ""&amp;""https://www.google.com/maps/search/?api=1&amp;query=""&amp;SUBSTITUTE(F852,"" "","""")),""📲 Avisar al cliente"""&amp;"),"""")"),"")</f>
        <v/>
      </c>
      <c r="L852" s="5" t="str">
        <f>IFERROR(__xludf.DUMMYFUNCTION("IF(C852&lt;&gt;"""",""https://api.qrserver.com/v1/create-qr-code/?size=200x200&amp;data=""&amp;ENCODEURL(""https://wa.me/507""&amp;REGEXREPLACE(C852,""[^0-9]"","""")&amp;""?text=""&amp;ENCODEURL(""Ya llegue. Codigo: ""&amp;A852&amp;"". Ubicacion: ""&amp;""https://www.google.com/maps/search/?a"&amp;"pi=1&amp;query=""&amp;SUBSTITUTE(F852,"" "",""""))),"""")"),"")</f>
        <v/>
      </c>
      <c r="M852" s="5" t="str">
        <f t="shared" si="6"/>
        <v/>
      </c>
      <c r="N852" s="5" t="str">
        <f>IFERROR(__xludf.DUMMYFUNCTION("IF(AND(F852&lt;&gt;"""",REGEXMATCH(SUBSTITUTE(F852,"" "",""""),""^-?\d+(\.\d+)?,-?\d+(\.\d+)?$""),VALUE(REGEXEXTRACT(SUBSTITUTE(F852,"" "",""""),""^-?\d+(\.\d+)?""))&gt;=-90,VALUE(REGEXEXTRACT(SUBSTITUTE(F852,"" "",""""),""^-?\d+(\.\d+)?""))&lt;=90,VALUE(REGEXEXTRACT"&amp;"(SUBSTITUTE(F852,"" "",""""),""-?\d+(\.\d+)?$""))&gt;=-180,VALUE(REGEXEXTRACT(SUBSTITUTE(F852,"" "",""""),""-?\d+(\.\d+)?$""))&lt;=180),""OK"",""REVISAR"")"),"#N/A")</f>
        <v>#N/A</v>
      </c>
    </row>
    <row r="853" ht="15.75" customHeight="1">
      <c r="A853" s="5" t="str">
        <f t="shared" si="1"/>
        <v>AD507-0851</v>
      </c>
      <c r="C853" s="5"/>
      <c r="F853" s="5"/>
      <c r="G853" s="5" t="str">
        <f t="shared" si="2"/>
        <v/>
      </c>
      <c r="H853" s="5" t="str">
        <f t="shared" si="3"/>
        <v/>
      </c>
      <c r="I853" s="5" t="str">
        <f t="shared" si="4"/>
        <v/>
      </c>
      <c r="J853" s="5" t="str">
        <f t="shared" si="5"/>
        <v/>
      </c>
      <c r="K853" s="5" t="str">
        <f>IFERROR(__xludf.DUMMYFUNCTION("IF(C853&lt;&gt;"""",HYPERLINK(""https://wa.me/507""&amp;REGEXREPLACE(C853,""[^0-9]"","""")&amp;""?text=""&amp;ENCODEURL(""Ya llegue. Codigo: ""&amp;A853&amp;"". Ubicacion: ""&amp;""https://www.google.com/maps/search/?api=1&amp;query=""&amp;SUBSTITUTE(F853,"" "","""")),""📲 Avisar al cliente"""&amp;"),"""")"),"")</f>
        <v/>
      </c>
      <c r="L853" s="5" t="str">
        <f>IFERROR(__xludf.DUMMYFUNCTION("IF(C853&lt;&gt;"""",""https://api.qrserver.com/v1/create-qr-code/?size=200x200&amp;data=""&amp;ENCODEURL(""https://wa.me/507""&amp;REGEXREPLACE(C853,""[^0-9]"","""")&amp;""?text=""&amp;ENCODEURL(""Ya llegue. Codigo: ""&amp;A853&amp;"". Ubicacion: ""&amp;""https://www.google.com/maps/search/?a"&amp;"pi=1&amp;query=""&amp;SUBSTITUTE(F853,"" "",""""))),"""")"),"")</f>
        <v/>
      </c>
      <c r="M853" s="5" t="str">
        <f t="shared" si="6"/>
        <v/>
      </c>
      <c r="N853" s="5" t="str">
        <f>IFERROR(__xludf.DUMMYFUNCTION("IF(AND(F853&lt;&gt;"""",REGEXMATCH(SUBSTITUTE(F853,"" "",""""),""^-?\d+(\.\d+)?,-?\d+(\.\d+)?$""),VALUE(REGEXEXTRACT(SUBSTITUTE(F853,"" "",""""),""^-?\d+(\.\d+)?""))&gt;=-90,VALUE(REGEXEXTRACT(SUBSTITUTE(F853,"" "",""""),""^-?\d+(\.\d+)?""))&lt;=90,VALUE(REGEXEXTRACT"&amp;"(SUBSTITUTE(F853,"" "",""""),""-?\d+(\.\d+)?$""))&gt;=-180,VALUE(REGEXEXTRACT(SUBSTITUTE(F853,"" "",""""),""-?\d+(\.\d+)?$""))&lt;=180),""OK"",""REVISAR"")"),"#N/A")</f>
        <v>#N/A</v>
      </c>
    </row>
    <row r="854" ht="15.75" customHeight="1">
      <c r="A854" s="5" t="str">
        <f t="shared" si="1"/>
        <v>AD507-0852</v>
      </c>
      <c r="C854" s="5"/>
      <c r="F854" s="5"/>
      <c r="G854" s="5" t="str">
        <f t="shared" si="2"/>
        <v/>
      </c>
      <c r="H854" s="5" t="str">
        <f t="shared" si="3"/>
        <v/>
      </c>
      <c r="I854" s="5" t="str">
        <f t="shared" si="4"/>
        <v/>
      </c>
      <c r="J854" s="5" t="str">
        <f t="shared" si="5"/>
        <v/>
      </c>
      <c r="K854" s="5" t="str">
        <f>IFERROR(__xludf.DUMMYFUNCTION("IF(C854&lt;&gt;"""",HYPERLINK(""https://wa.me/507""&amp;REGEXREPLACE(C854,""[^0-9]"","""")&amp;""?text=""&amp;ENCODEURL(""Ya llegue. Codigo: ""&amp;A854&amp;"". Ubicacion: ""&amp;""https://www.google.com/maps/search/?api=1&amp;query=""&amp;SUBSTITUTE(F854,"" "","""")),""📲 Avisar al cliente"""&amp;"),"""")"),"")</f>
        <v/>
      </c>
      <c r="L854" s="5" t="str">
        <f>IFERROR(__xludf.DUMMYFUNCTION("IF(C854&lt;&gt;"""",""https://api.qrserver.com/v1/create-qr-code/?size=200x200&amp;data=""&amp;ENCODEURL(""https://wa.me/507""&amp;REGEXREPLACE(C854,""[^0-9]"","""")&amp;""?text=""&amp;ENCODEURL(""Ya llegue. Codigo: ""&amp;A854&amp;"". Ubicacion: ""&amp;""https://www.google.com/maps/search/?a"&amp;"pi=1&amp;query=""&amp;SUBSTITUTE(F854,"" "",""""))),"""")"),"")</f>
        <v/>
      </c>
      <c r="M854" s="5" t="str">
        <f t="shared" si="6"/>
        <v/>
      </c>
      <c r="N854" s="5" t="str">
        <f>IFERROR(__xludf.DUMMYFUNCTION("IF(AND(F854&lt;&gt;"""",REGEXMATCH(SUBSTITUTE(F854,"" "",""""),""^-?\d+(\.\d+)?,-?\d+(\.\d+)?$""),VALUE(REGEXEXTRACT(SUBSTITUTE(F854,"" "",""""),""^-?\d+(\.\d+)?""))&gt;=-90,VALUE(REGEXEXTRACT(SUBSTITUTE(F854,"" "",""""),""^-?\d+(\.\d+)?""))&lt;=90,VALUE(REGEXEXTRACT"&amp;"(SUBSTITUTE(F854,"" "",""""),""-?\d+(\.\d+)?$""))&gt;=-180,VALUE(REGEXEXTRACT(SUBSTITUTE(F854,"" "",""""),""-?\d+(\.\d+)?$""))&lt;=180),""OK"",""REVISAR"")"),"#N/A")</f>
        <v>#N/A</v>
      </c>
    </row>
    <row r="855" ht="15.75" customHeight="1">
      <c r="A855" s="5" t="str">
        <f t="shared" si="1"/>
        <v>AD507-0853</v>
      </c>
      <c r="C855" s="5"/>
      <c r="F855" s="5"/>
      <c r="G855" s="5" t="str">
        <f t="shared" si="2"/>
        <v/>
      </c>
      <c r="H855" s="5" t="str">
        <f t="shared" si="3"/>
        <v/>
      </c>
      <c r="I855" s="5" t="str">
        <f t="shared" si="4"/>
        <v/>
      </c>
      <c r="J855" s="5" t="str">
        <f t="shared" si="5"/>
        <v/>
      </c>
      <c r="K855" s="5" t="str">
        <f>IFERROR(__xludf.DUMMYFUNCTION("IF(C855&lt;&gt;"""",HYPERLINK(""https://wa.me/507""&amp;REGEXREPLACE(C855,""[^0-9]"","""")&amp;""?text=""&amp;ENCODEURL(""Ya llegue. Codigo: ""&amp;A855&amp;"". Ubicacion: ""&amp;""https://www.google.com/maps/search/?api=1&amp;query=""&amp;SUBSTITUTE(F855,"" "","""")),""📲 Avisar al cliente"""&amp;"),"""")"),"")</f>
        <v/>
      </c>
      <c r="L855" s="5" t="str">
        <f>IFERROR(__xludf.DUMMYFUNCTION("IF(C855&lt;&gt;"""",""https://api.qrserver.com/v1/create-qr-code/?size=200x200&amp;data=""&amp;ENCODEURL(""https://wa.me/507""&amp;REGEXREPLACE(C855,""[^0-9]"","""")&amp;""?text=""&amp;ENCODEURL(""Ya llegue. Codigo: ""&amp;A855&amp;"". Ubicacion: ""&amp;""https://www.google.com/maps/search/?a"&amp;"pi=1&amp;query=""&amp;SUBSTITUTE(F855,"" "",""""))),"""")"),"")</f>
        <v/>
      </c>
      <c r="M855" s="5" t="str">
        <f t="shared" si="6"/>
        <v/>
      </c>
      <c r="N855" s="5" t="str">
        <f>IFERROR(__xludf.DUMMYFUNCTION("IF(AND(F855&lt;&gt;"""",REGEXMATCH(SUBSTITUTE(F855,"" "",""""),""^-?\d+(\.\d+)?,-?\d+(\.\d+)?$""),VALUE(REGEXEXTRACT(SUBSTITUTE(F855,"" "",""""),""^-?\d+(\.\d+)?""))&gt;=-90,VALUE(REGEXEXTRACT(SUBSTITUTE(F855,"" "",""""),""^-?\d+(\.\d+)?""))&lt;=90,VALUE(REGEXEXTRACT"&amp;"(SUBSTITUTE(F855,"" "",""""),""-?\d+(\.\d+)?$""))&gt;=-180,VALUE(REGEXEXTRACT(SUBSTITUTE(F855,"" "",""""),""-?\d+(\.\d+)?$""))&lt;=180),""OK"",""REVISAR"")"),"#N/A")</f>
        <v>#N/A</v>
      </c>
    </row>
    <row r="856" ht="15.75" customHeight="1">
      <c r="A856" s="5" t="str">
        <f t="shared" si="1"/>
        <v>AD507-0854</v>
      </c>
      <c r="C856" s="5"/>
      <c r="F856" s="5"/>
      <c r="G856" s="5" t="str">
        <f t="shared" si="2"/>
        <v/>
      </c>
      <c r="H856" s="5" t="str">
        <f t="shared" si="3"/>
        <v/>
      </c>
      <c r="I856" s="5" t="str">
        <f t="shared" si="4"/>
        <v/>
      </c>
      <c r="J856" s="5" t="str">
        <f t="shared" si="5"/>
        <v/>
      </c>
      <c r="K856" s="5" t="str">
        <f>IFERROR(__xludf.DUMMYFUNCTION("IF(C856&lt;&gt;"""",HYPERLINK(""https://wa.me/507""&amp;REGEXREPLACE(C856,""[^0-9]"","""")&amp;""?text=""&amp;ENCODEURL(""Ya llegue. Codigo: ""&amp;A856&amp;"". Ubicacion: ""&amp;""https://www.google.com/maps/search/?api=1&amp;query=""&amp;SUBSTITUTE(F856,"" "","""")),""📲 Avisar al cliente"""&amp;"),"""")"),"")</f>
        <v/>
      </c>
      <c r="L856" s="5" t="str">
        <f>IFERROR(__xludf.DUMMYFUNCTION("IF(C856&lt;&gt;"""",""https://api.qrserver.com/v1/create-qr-code/?size=200x200&amp;data=""&amp;ENCODEURL(""https://wa.me/507""&amp;REGEXREPLACE(C856,""[^0-9]"","""")&amp;""?text=""&amp;ENCODEURL(""Ya llegue. Codigo: ""&amp;A856&amp;"". Ubicacion: ""&amp;""https://www.google.com/maps/search/?a"&amp;"pi=1&amp;query=""&amp;SUBSTITUTE(F856,"" "",""""))),"""")"),"")</f>
        <v/>
      </c>
      <c r="M856" s="5" t="str">
        <f t="shared" si="6"/>
        <v/>
      </c>
      <c r="N856" s="5" t="str">
        <f>IFERROR(__xludf.DUMMYFUNCTION("IF(AND(F856&lt;&gt;"""",REGEXMATCH(SUBSTITUTE(F856,"" "",""""),""^-?\d+(\.\d+)?,-?\d+(\.\d+)?$""),VALUE(REGEXEXTRACT(SUBSTITUTE(F856,"" "",""""),""^-?\d+(\.\d+)?""))&gt;=-90,VALUE(REGEXEXTRACT(SUBSTITUTE(F856,"" "",""""),""^-?\d+(\.\d+)?""))&lt;=90,VALUE(REGEXEXTRACT"&amp;"(SUBSTITUTE(F856,"" "",""""),""-?\d+(\.\d+)?$""))&gt;=-180,VALUE(REGEXEXTRACT(SUBSTITUTE(F856,"" "",""""),""-?\d+(\.\d+)?$""))&lt;=180),""OK"",""REVISAR"")"),"#N/A")</f>
        <v>#N/A</v>
      </c>
    </row>
    <row r="857" ht="15.75" customHeight="1">
      <c r="A857" s="5" t="str">
        <f t="shared" si="1"/>
        <v>AD507-0855</v>
      </c>
      <c r="C857" s="5"/>
      <c r="F857" s="5"/>
      <c r="G857" s="5" t="str">
        <f t="shared" si="2"/>
        <v/>
      </c>
      <c r="H857" s="5" t="str">
        <f t="shared" si="3"/>
        <v/>
      </c>
      <c r="I857" s="5" t="str">
        <f t="shared" si="4"/>
        <v/>
      </c>
      <c r="J857" s="5" t="str">
        <f t="shared" si="5"/>
        <v/>
      </c>
      <c r="K857" s="5" t="str">
        <f>IFERROR(__xludf.DUMMYFUNCTION("IF(C857&lt;&gt;"""",HYPERLINK(""https://wa.me/507""&amp;REGEXREPLACE(C857,""[^0-9]"","""")&amp;""?text=""&amp;ENCODEURL(""Ya llegue. Codigo: ""&amp;A857&amp;"". Ubicacion: ""&amp;""https://www.google.com/maps/search/?api=1&amp;query=""&amp;SUBSTITUTE(F857,"" "","""")),""📲 Avisar al cliente"""&amp;"),"""")"),"")</f>
        <v/>
      </c>
      <c r="L857" s="5" t="str">
        <f>IFERROR(__xludf.DUMMYFUNCTION("IF(C857&lt;&gt;"""",""https://api.qrserver.com/v1/create-qr-code/?size=200x200&amp;data=""&amp;ENCODEURL(""https://wa.me/507""&amp;REGEXREPLACE(C857,""[^0-9]"","""")&amp;""?text=""&amp;ENCODEURL(""Ya llegue. Codigo: ""&amp;A857&amp;"". Ubicacion: ""&amp;""https://www.google.com/maps/search/?a"&amp;"pi=1&amp;query=""&amp;SUBSTITUTE(F857,"" "",""""))),"""")"),"")</f>
        <v/>
      </c>
      <c r="M857" s="5" t="str">
        <f t="shared" si="6"/>
        <v/>
      </c>
      <c r="N857" s="5" t="str">
        <f>IFERROR(__xludf.DUMMYFUNCTION("IF(AND(F857&lt;&gt;"""",REGEXMATCH(SUBSTITUTE(F857,"" "",""""),""^-?\d+(\.\d+)?,-?\d+(\.\d+)?$""),VALUE(REGEXEXTRACT(SUBSTITUTE(F857,"" "",""""),""^-?\d+(\.\d+)?""))&gt;=-90,VALUE(REGEXEXTRACT(SUBSTITUTE(F857,"" "",""""),""^-?\d+(\.\d+)?""))&lt;=90,VALUE(REGEXEXTRACT"&amp;"(SUBSTITUTE(F857,"" "",""""),""-?\d+(\.\d+)?$""))&gt;=-180,VALUE(REGEXEXTRACT(SUBSTITUTE(F857,"" "",""""),""-?\d+(\.\d+)?$""))&lt;=180),""OK"",""REVISAR"")"),"#N/A")</f>
        <v>#N/A</v>
      </c>
    </row>
    <row r="858" ht="15.75" customHeight="1">
      <c r="A858" s="5" t="str">
        <f t="shared" si="1"/>
        <v>AD507-0856</v>
      </c>
      <c r="C858" s="5"/>
      <c r="F858" s="5"/>
      <c r="G858" s="5" t="str">
        <f t="shared" si="2"/>
        <v/>
      </c>
      <c r="H858" s="5" t="str">
        <f t="shared" si="3"/>
        <v/>
      </c>
      <c r="I858" s="5" t="str">
        <f t="shared" si="4"/>
        <v/>
      </c>
      <c r="J858" s="5" t="str">
        <f t="shared" si="5"/>
        <v/>
      </c>
      <c r="K858" s="5" t="str">
        <f>IFERROR(__xludf.DUMMYFUNCTION("IF(C858&lt;&gt;"""",HYPERLINK(""https://wa.me/507""&amp;REGEXREPLACE(C858,""[^0-9]"","""")&amp;""?text=""&amp;ENCODEURL(""Ya llegue. Codigo: ""&amp;A858&amp;"". Ubicacion: ""&amp;""https://www.google.com/maps/search/?api=1&amp;query=""&amp;SUBSTITUTE(F858,"" "","""")),""📲 Avisar al cliente"""&amp;"),"""")"),"")</f>
        <v/>
      </c>
      <c r="L858" s="5" t="str">
        <f>IFERROR(__xludf.DUMMYFUNCTION("IF(C858&lt;&gt;"""",""https://api.qrserver.com/v1/create-qr-code/?size=200x200&amp;data=""&amp;ENCODEURL(""https://wa.me/507""&amp;REGEXREPLACE(C858,""[^0-9]"","""")&amp;""?text=""&amp;ENCODEURL(""Ya llegue. Codigo: ""&amp;A858&amp;"". Ubicacion: ""&amp;""https://www.google.com/maps/search/?a"&amp;"pi=1&amp;query=""&amp;SUBSTITUTE(F858,"" "",""""))),"""")"),"")</f>
        <v/>
      </c>
      <c r="M858" s="5" t="str">
        <f t="shared" si="6"/>
        <v/>
      </c>
      <c r="N858" s="5" t="str">
        <f>IFERROR(__xludf.DUMMYFUNCTION("IF(AND(F858&lt;&gt;"""",REGEXMATCH(SUBSTITUTE(F858,"" "",""""),""^-?\d+(\.\d+)?,-?\d+(\.\d+)?$""),VALUE(REGEXEXTRACT(SUBSTITUTE(F858,"" "",""""),""^-?\d+(\.\d+)?""))&gt;=-90,VALUE(REGEXEXTRACT(SUBSTITUTE(F858,"" "",""""),""^-?\d+(\.\d+)?""))&lt;=90,VALUE(REGEXEXTRACT"&amp;"(SUBSTITUTE(F858,"" "",""""),""-?\d+(\.\d+)?$""))&gt;=-180,VALUE(REGEXEXTRACT(SUBSTITUTE(F858,"" "",""""),""-?\d+(\.\d+)?$""))&lt;=180),""OK"",""REVISAR"")"),"#N/A")</f>
        <v>#N/A</v>
      </c>
    </row>
    <row r="859" ht="15.75" customHeight="1">
      <c r="A859" s="5" t="str">
        <f t="shared" si="1"/>
        <v>AD507-0857</v>
      </c>
      <c r="C859" s="5"/>
      <c r="F859" s="5"/>
      <c r="G859" s="5" t="str">
        <f t="shared" si="2"/>
        <v/>
      </c>
      <c r="H859" s="5" t="str">
        <f t="shared" si="3"/>
        <v/>
      </c>
      <c r="I859" s="5" t="str">
        <f t="shared" si="4"/>
        <v/>
      </c>
      <c r="J859" s="5" t="str">
        <f t="shared" si="5"/>
        <v/>
      </c>
      <c r="K859" s="5" t="str">
        <f>IFERROR(__xludf.DUMMYFUNCTION("IF(C859&lt;&gt;"""",HYPERLINK(""https://wa.me/507""&amp;REGEXREPLACE(C859,""[^0-9]"","""")&amp;""?text=""&amp;ENCODEURL(""Ya llegue. Codigo: ""&amp;A859&amp;"". Ubicacion: ""&amp;""https://www.google.com/maps/search/?api=1&amp;query=""&amp;SUBSTITUTE(F859,"" "","""")),""📲 Avisar al cliente"""&amp;"),"""")"),"")</f>
        <v/>
      </c>
      <c r="L859" s="5" t="str">
        <f>IFERROR(__xludf.DUMMYFUNCTION("IF(C859&lt;&gt;"""",""https://api.qrserver.com/v1/create-qr-code/?size=200x200&amp;data=""&amp;ENCODEURL(""https://wa.me/507""&amp;REGEXREPLACE(C859,""[^0-9]"","""")&amp;""?text=""&amp;ENCODEURL(""Ya llegue. Codigo: ""&amp;A859&amp;"". Ubicacion: ""&amp;""https://www.google.com/maps/search/?a"&amp;"pi=1&amp;query=""&amp;SUBSTITUTE(F859,"" "",""""))),"""")"),"")</f>
        <v/>
      </c>
      <c r="M859" s="5" t="str">
        <f t="shared" si="6"/>
        <v/>
      </c>
      <c r="N859" s="5" t="str">
        <f>IFERROR(__xludf.DUMMYFUNCTION("IF(AND(F859&lt;&gt;"""",REGEXMATCH(SUBSTITUTE(F859,"" "",""""),""^-?\d+(\.\d+)?,-?\d+(\.\d+)?$""),VALUE(REGEXEXTRACT(SUBSTITUTE(F859,"" "",""""),""^-?\d+(\.\d+)?""))&gt;=-90,VALUE(REGEXEXTRACT(SUBSTITUTE(F859,"" "",""""),""^-?\d+(\.\d+)?""))&lt;=90,VALUE(REGEXEXTRACT"&amp;"(SUBSTITUTE(F859,"" "",""""),""-?\d+(\.\d+)?$""))&gt;=-180,VALUE(REGEXEXTRACT(SUBSTITUTE(F859,"" "",""""),""-?\d+(\.\d+)?$""))&lt;=180),""OK"",""REVISAR"")"),"#N/A")</f>
        <v>#N/A</v>
      </c>
    </row>
    <row r="860" ht="15.75" customHeight="1">
      <c r="A860" s="5" t="str">
        <f t="shared" si="1"/>
        <v>AD507-0858</v>
      </c>
      <c r="C860" s="5"/>
      <c r="F860" s="5"/>
      <c r="G860" s="5" t="str">
        <f t="shared" si="2"/>
        <v/>
      </c>
      <c r="H860" s="5" t="str">
        <f t="shared" si="3"/>
        <v/>
      </c>
      <c r="I860" s="5" t="str">
        <f t="shared" si="4"/>
        <v/>
      </c>
      <c r="J860" s="5" t="str">
        <f t="shared" si="5"/>
        <v/>
      </c>
      <c r="K860" s="5" t="str">
        <f>IFERROR(__xludf.DUMMYFUNCTION("IF(C860&lt;&gt;"""",HYPERLINK(""https://wa.me/507""&amp;REGEXREPLACE(C860,""[^0-9]"","""")&amp;""?text=""&amp;ENCODEURL(""Ya llegue. Codigo: ""&amp;A860&amp;"". Ubicacion: ""&amp;""https://www.google.com/maps/search/?api=1&amp;query=""&amp;SUBSTITUTE(F860,"" "","""")),""📲 Avisar al cliente"""&amp;"),"""")"),"")</f>
        <v/>
      </c>
      <c r="L860" s="5" t="str">
        <f>IFERROR(__xludf.DUMMYFUNCTION("IF(C860&lt;&gt;"""",""https://api.qrserver.com/v1/create-qr-code/?size=200x200&amp;data=""&amp;ENCODEURL(""https://wa.me/507""&amp;REGEXREPLACE(C860,""[^0-9]"","""")&amp;""?text=""&amp;ENCODEURL(""Ya llegue. Codigo: ""&amp;A860&amp;"". Ubicacion: ""&amp;""https://www.google.com/maps/search/?a"&amp;"pi=1&amp;query=""&amp;SUBSTITUTE(F860,"" "",""""))),"""")"),"")</f>
        <v/>
      </c>
      <c r="M860" s="5" t="str">
        <f t="shared" si="6"/>
        <v/>
      </c>
      <c r="N860" s="5" t="str">
        <f>IFERROR(__xludf.DUMMYFUNCTION("IF(AND(F860&lt;&gt;"""",REGEXMATCH(SUBSTITUTE(F860,"" "",""""),""^-?\d+(\.\d+)?,-?\d+(\.\d+)?$""),VALUE(REGEXEXTRACT(SUBSTITUTE(F860,"" "",""""),""^-?\d+(\.\d+)?""))&gt;=-90,VALUE(REGEXEXTRACT(SUBSTITUTE(F860,"" "",""""),""^-?\d+(\.\d+)?""))&lt;=90,VALUE(REGEXEXTRACT"&amp;"(SUBSTITUTE(F860,"" "",""""),""-?\d+(\.\d+)?$""))&gt;=-180,VALUE(REGEXEXTRACT(SUBSTITUTE(F860,"" "",""""),""-?\d+(\.\d+)?$""))&lt;=180),""OK"",""REVISAR"")"),"#N/A")</f>
        <v>#N/A</v>
      </c>
    </row>
    <row r="861" ht="15.75" customHeight="1">
      <c r="A861" s="5" t="str">
        <f t="shared" si="1"/>
        <v>AD507-0859</v>
      </c>
      <c r="C861" s="5"/>
      <c r="F861" s="5"/>
      <c r="G861" s="5" t="str">
        <f t="shared" si="2"/>
        <v/>
      </c>
      <c r="H861" s="5" t="str">
        <f t="shared" si="3"/>
        <v/>
      </c>
      <c r="I861" s="5" t="str">
        <f t="shared" si="4"/>
        <v/>
      </c>
      <c r="J861" s="5" t="str">
        <f t="shared" si="5"/>
        <v/>
      </c>
      <c r="K861" s="5" t="str">
        <f>IFERROR(__xludf.DUMMYFUNCTION("IF(C861&lt;&gt;"""",HYPERLINK(""https://wa.me/507""&amp;REGEXREPLACE(C861,""[^0-9]"","""")&amp;""?text=""&amp;ENCODEURL(""Ya llegue. Codigo: ""&amp;A861&amp;"". Ubicacion: ""&amp;""https://www.google.com/maps/search/?api=1&amp;query=""&amp;SUBSTITUTE(F861,"" "","""")),""📲 Avisar al cliente"""&amp;"),"""")"),"")</f>
        <v/>
      </c>
      <c r="L861" s="5" t="str">
        <f>IFERROR(__xludf.DUMMYFUNCTION("IF(C861&lt;&gt;"""",""https://api.qrserver.com/v1/create-qr-code/?size=200x200&amp;data=""&amp;ENCODEURL(""https://wa.me/507""&amp;REGEXREPLACE(C861,""[^0-9]"","""")&amp;""?text=""&amp;ENCODEURL(""Ya llegue. Codigo: ""&amp;A861&amp;"". Ubicacion: ""&amp;""https://www.google.com/maps/search/?a"&amp;"pi=1&amp;query=""&amp;SUBSTITUTE(F861,"" "",""""))),"""")"),"")</f>
        <v/>
      </c>
      <c r="M861" s="5" t="str">
        <f t="shared" si="6"/>
        <v/>
      </c>
      <c r="N861" s="5" t="str">
        <f>IFERROR(__xludf.DUMMYFUNCTION("IF(AND(F861&lt;&gt;"""",REGEXMATCH(SUBSTITUTE(F861,"" "",""""),""^-?\d+(\.\d+)?,-?\d+(\.\d+)?$""),VALUE(REGEXEXTRACT(SUBSTITUTE(F861,"" "",""""),""^-?\d+(\.\d+)?""))&gt;=-90,VALUE(REGEXEXTRACT(SUBSTITUTE(F861,"" "",""""),""^-?\d+(\.\d+)?""))&lt;=90,VALUE(REGEXEXTRACT"&amp;"(SUBSTITUTE(F861,"" "",""""),""-?\d+(\.\d+)?$""))&gt;=-180,VALUE(REGEXEXTRACT(SUBSTITUTE(F861,"" "",""""),""-?\d+(\.\d+)?$""))&lt;=180),""OK"",""REVISAR"")"),"#N/A")</f>
        <v>#N/A</v>
      </c>
    </row>
    <row r="862" ht="15.75" customHeight="1">
      <c r="A862" s="5" t="str">
        <f t="shared" si="1"/>
        <v>AD507-0860</v>
      </c>
      <c r="C862" s="5"/>
      <c r="F862" s="5"/>
      <c r="G862" s="5" t="str">
        <f t="shared" si="2"/>
        <v/>
      </c>
      <c r="H862" s="5" t="str">
        <f t="shared" si="3"/>
        <v/>
      </c>
      <c r="I862" s="5" t="str">
        <f t="shared" si="4"/>
        <v/>
      </c>
      <c r="J862" s="5" t="str">
        <f t="shared" si="5"/>
        <v/>
      </c>
      <c r="K862" s="5" t="str">
        <f>IFERROR(__xludf.DUMMYFUNCTION("IF(C862&lt;&gt;"""",HYPERLINK(""https://wa.me/507""&amp;REGEXREPLACE(C862,""[^0-9]"","""")&amp;""?text=""&amp;ENCODEURL(""Ya llegue. Codigo: ""&amp;A862&amp;"". Ubicacion: ""&amp;""https://www.google.com/maps/search/?api=1&amp;query=""&amp;SUBSTITUTE(F862,"" "","""")),""📲 Avisar al cliente"""&amp;"),"""")"),"")</f>
        <v/>
      </c>
      <c r="L862" s="5" t="str">
        <f>IFERROR(__xludf.DUMMYFUNCTION("IF(C862&lt;&gt;"""",""https://api.qrserver.com/v1/create-qr-code/?size=200x200&amp;data=""&amp;ENCODEURL(""https://wa.me/507""&amp;REGEXREPLACE(C862,""[^0-9]"","""")&amp;""?text=""&amp;ENCODEURL(""Ya llegue. Codigo: ""&amp;A862&amp;"". Ubicacion: ""&amp;""https://www.google.com/maps/search/?a"&amp;"pi=1&amp;query=""&amp;SUBSTITUTE(F862,"" "",""""))),"""")"),"")</f>
        <v/>
      </c>
      <c r="M862" s="5" t="str">
        <f t="shared" si="6"/>
        <v/>
      </c>
      <c r="N862" s="5" t="str">
        <f>IFERROR(__xludf.DUMMYFUNCTION("IF(AND(F862&lt;&gt;"""",REGEXMATCH(SUBSTITUTE(F862,"" "",""""),""^-?\d+(\.\d+)?,-?\d+(\.\d+)?$""),VALUE(REGEXEXTRACT(SUBSTITUTE(F862,"" "",""""),""^-?\d+(\.\d+)?""))&gt;=-90,VALUE(REGEXEXTRACT(SUBSTITUTE(F862,"" "",""""),""^-?\d+(\.\d+)?""))&lt;=90,VALUE(REGEXEXTRACT"&amp;"(SUBSTITUTE(F862,"" "",""""),""-?\d+(\.\d+)?$""))&gt;=-180,VALUE(REGEXEXTRACT(SUBSTITUTE(F862,"" "",""""),""-?\d+(\.\d+)?$""))&lt;=180),""OK"",""REVISAR"")"),"#N/A")</f>
        <v>#N/A</v>
      </c>
    </row>
    <row r="863" ht="15.75" customHeight="1">
      <c r="A863" s="5" t="str">
        <f t="shared" si="1"/>
        <v>AD507-0861</v>
      </c>
      <c r="C863" s="5"/>
      <c r="F863" s="5"/>
      <c r="G863" s="5" t="str">
        <f t="shared" si="2"/>
        <v/>
      </c>
      <c r="H863" s="5" t="str">
        <f t="shared" si="3"/>
        <v/>
      </c>
      <c r="I863" s="5" t="str">
        <f t="shared" si="4"/>
        <v/>
      </c>
      <c r="J863" s="5" t="str">
        <f t="shared" si="5"/>
        <v/>
      </c>
      <c r="K863" s="5" t="str">
        <f>IFERROR(__xludf.DUMMYFUNCTION("IF(C863&lt;&gt;"""",HYPERLINK(""https://wa.me/507""&amp;REGEXREPLACE(C863,""[^0-9]"","""")&amp;""?text=""&amp;ENCODEURL(""Ya llegue. Codigo: ""&amp;A863&amp;"". Ubicacion: ""&amp;""https://www.google.com/maps/search/?api=1&amp;query=""&amp;SUBSTITUTE(F863,"" "","""")),""📲 Avisar al cliente"""&amp;"),"""")"),"")</f>
        <v/>
      </c>
      <c r="L863" s="5" t="str">
        <f>IFERROR(__xludf.DUMMYFUNCTION("IF(C863&lt;&gt;"""",""https://api.qrserver.com/v1/create-qr-code/?size=200x200&amp;data=""&amp;ENCODEURL(""https://wa.me/507""&amp;REGEXREPLACE(C863,""[^0-9]"","""")&amp;""?text=""&amp;ENCODEURL(""Ya llegue. Codigo: ""&amp;A863&amp;"". Ubicacion: ""&amp;""https://www.google.com/maps/search/?a"&amp;"pi=1&amp;query=""&amp;SUBSTITUTE(F863,"" "",""""))),"""")"),"")</f>
        <v/>
      </c>
      <c r="M863" s="5" t="str">
        <f t="shared" si="6"/>
        <v/>
      </c>
      <c r="N863" s="5" t="str">
        <f>IFERROR(__xludf.DUMMYFUNCTION("IF(AND(F863&lt;&gt;"""",REGEXMATCH(SUBSTITUTE(F863,"" "",""""),""^-?\d+(\.\d+)?,-?\d+(\.\d+)?$""),VALUE(REGEXEXTRACT(SUBSTITUTE(F863,"" "",""""),""^-?\d+(\.\d+)?""))&gt;=-90,VALUE(REGEXEXTRACT(SUBSTITUTE(F863,"" "",""""),""^-?\d+(\.\d+)?""))&lt;=90,VALUE(REGEXEXTRACT"&amp;"(SUBSTITUTE(F863,"" "",""""),""-?\d+(\.\d+)?$""))&gt;=-180,VALUE(REGEXEXTRACT(SUBSTITUTE(F863,"" "",""""),""-?\d+(\.\d+)?$""))&lt;=180),""OK"",""REVISAR"")"),"#N/A")</f>
        <v>#N/A</v>
      </c>
    </row>
    <row r="864" ht="15.75" customHeight="1">
      <c r="A864" s="5" t="str">
        <f t="shared" si="1"/>
        <v>AD507-0862</v>
      </c>
      <c r="C864" s="5"/>
      <c r="F864" s="5"/>
      <c r="G864" s="5" t="str">
        <f t="shared" si="2"/>
        <v/>
      </c>
      <c r="H864" s="5" t="str">
        <f t="shared" si="3"/>
        <v/>
      </c>
      <c r="I864" s="5" t="str">
        <f t="shared" si="4"/>
        <v/>
      </c>
      <c r="J864" s="5" t="str">
        <f t="shared" si="5"/>
        <v/>
      </c>
      <c r="K864" s="5" t="str">
        <f>IFERROR(__xludf.DUMMYFUNCTION("IF(C864&lt;&gt;"""",HYPERLINK(""https://wa.me/507""&amp;REGEXREPLACE(C864,""[^0-9]"","""")&amp;""?text=""&amp;ENCODEURL(""Ya llegue. Codigo: ""&amp;A864&amp;"". Ubicacion: ""&amp;""https://www.google.com/maps/search/?api=1&amp;query=""&amp;SUBSTITUTE(F864,"" "","""")),""📲 Avisar al cliente"""&amp;"),"""")"),"")</f>
        <v/>
      </c>
      <c r="L864" s="5" t="str">
        <f>IFERROR(__xludf.DUMMYFUNCTION("IF(C864&lt;&gt;"""",""https://api.qrserver.com/v1/create-qr-code/?size=200x200&amp;data=""&amp;ENCODEURL(""https://wa.me/507""&amp;REGEXREPLACE(C864,""[^0-9]"","""")&amp;""?text=""&amp;ENCODEURL(""Ya llegue. Codigo: ""&amp;A864&amp;"". Ubicacion: ""&amp;""https://www.google.com/maps/search/?a"&amp;"pi=1&amp;query=""&amp;SUBSTITUTE(F864,"" "",""""))),"""")"),"")</f>
        <v/>
      </c>
      <c r="M864" s="5" t="str">
        <f t="shared" si="6"/>
        <v/>
      </c>
      <c r="N864" s="5" t="str">
        <f>IFERROR(__xludf.DUMMYFUNCTION("IF(AND(F864&lt;&gt;"""",REGEXMATCH(SUBSTITUTE(F864,"" "",""""),""^-?\d+(\.\d+)?,-?\d+(\.\d+)?$""),VALUE(REGEXEXTRACT(SUBSTITUTE(F864,"" "",""""),""^-?\d+(\.\d+)?""))&gt;=-90,VALUE(REGEXEXTRACT(SUBSTITUTE(F864,"" "",""""),""^-?\d+(\.\d+)?""))&lt;=90,VALUE(REGEXEXTRACT"&amp;"(SUBSTITUTE(F864,"" "",""""),""-?\d+(\.\d+)?$""))&gt;=-180,VALUE(REGEXEXTRACT(SUBSTITUTE(F864,"" "",""""),""-?\d+(\.\d+)?$""))&lt;=180),""OK"",""REVISAR"")"),"#N/A")</f>
        <v>#N/A</v>
      </c>
    </row>
    <row r="865" ht="15.75" customHeight="1">
      <c r="A865" s="5" t="str">
        <f t="shared" si="1"/>
        <v>AD507-0863</v>
      </c>
      <c r="C865" s="5"/>
      <c r="F865" s="5"/>
      <c r="G865" s="5" t="str">
        <f t="shared" si="2"/>
        <v/>
      </c>
      <c r="H865" s="5" t="str">
        <f t="shared" si="3"/>
        <v/>
      </c>
      <c r="I865" s="5" t="str">
        <f t="shared" si="4"/>
        <v/>
      </c>
      <c r="J865" s="5" t="str">
        <f t="shared" si="5"/>
        <v/>
      </c>
      <c r="K865" s="5" t="str">
        <f>IFERROR(__xludf.DUMMYFUNCTION("IF(C865&lt;&gt;"""",HYPERLINK(""https://wa.me/507""&amp;REGEXREPLACE(C865,""[^0-9]"","""")&amp;""?text=""&amp;ENCODEURL(""Ya llegue. Codigo: ""&amp;A865&amp;"". Ubicacion: ""&amp;""https://www.google.com/maps/search/?api=1&amp;query=""&amp;SUBSTITUTE(F865,"" "","""")),""📲 Avisar al cliente"""&amp;"),"""")"),"")</f>
        <v/>
      </c>
      <c r="L865" s="5" t="str">
        <f>IFERROR(__xludf.DUMMYFUNCTION("IF(C865&lt;&gt;"""",""https://api.qrserver.com/v1/create-qr-code/?size=200x200&amp;data=""&amp;ENCODEURL(""https://wa.me/507""&amp;REGEXREPLACE(C865,""[^0-9]"","""")&amp;""?text=""&amp;ENCODEURL(""Ya llegue. Codigo: ""&amp;A865&amp;"". Ubicacion: ""&amp;""https://www.google.com/maps/search/?a"&amp;"pi=1&amp;query=""&amp;SUBSTITUTE(F865,"" "",""""))),"""")"),"")</f>
        <v/>
      </c>
      <c r="M865" s="5" t="str">
        <f t="shared" si="6"/>
        <v/>
      </c>
      <c r="N865" s="5" t="str">
        <f>IFERROR(__xludf.DUMMYFUNCTION("IF(AND(F865&lt;&gt;"""",REGEXMATCH(SUBSTITUTE(F865,"" "",""""),""^-?\d+(\.\d+)?,-?\d+(\.\d+)?$""),VALUE(REGEXEXTRACT(SUBSTITUTE(F865,"" "",""""),""^-?\d+(\.\d+)?""))&gt;=-90,VALUE(REGEXEXTRACT(SUBSTITUTE(F865,"" "",""""),""^-?\d+(\.\d+)?""))&lt;=90,VALUE(REGEXEXTRACT"&amp;"(SUBSTITUTE(F865,"" "",""""),""-?\d+(\.\d+)?$""))&gt;=-180,VALUE(REGEXEXTRACT(SUBSTITUTE(F865,"" "",""""),""-?\d+(\.\d+)?$""))&lt;=180),""OK"",""REVISAR"")"),"#N/A")</f>
        <v>#N/A</v>
      </c>
    </row>
    <row r="866" ht="15.75" customHeight="1">
      <c r="A866" s="5" t="str">
        <f t="shared" si="1"/>
        <v>AD507-0864</v>
      </c>
      <c r="C866" s="5"/>
      <c r="F866" s="5"/>
      <c r="G866" s="5" t="str">
        <f t="shared" si="2"/>
        <v/>
      </c>
      <c r="H866" s="5" t="str">
        <f t="shared" si="3"/>
        <v/>
      </c>
      <c r="I866" s="5" t="str">
        <f t="shared" si="4"/>
        <v/>
      </c>
      <c r="J866" s="5" t="str">
        <f t="shared" si="5"/>
        <v/>
      </c>
      <c r="K866" s="5" t="str">
        <f>IFERROR(__xludf.DUMMYFUNCTION("IF(C866&lt;&gt;"""",HYPERLINK(""https://wa.me/507""&amp;REGEXREPLACE(C866,""[^0-9]"","""")&amp;""?text=""&amp;ENCODEURL(""Ya llegue. Codigo: ""&amp;A866&amp;"". Ubicacion: ""&amp;""https://www.google.com/maps/search/?api=1&amp;query=""&amp;SUBSTITUTE(F866,"" "","""")),""📲 Avisar al cliente"""&amp;"),"""")"),"")</f>
        <v/>
      </c>
      <c r="L866" s="5" t="str">
        <f>IFERROR(__xludf.DUMMYFUNCTION("IF(C866&lt;&gt;"""",""https://api.qrserver.com/v1/create-qr-code/?size=200x200&amp;data=""&amp;ENCODEURL(""https://wa.me/507""&amp;REGEXREPLACE(C866,""[^0-9]"","""")&amp;""?text=""&amp;ENCODEURL(""Ya llegue. Codigo: ""&amp;A866&amp;"". Ubicacion: ""&amp;""https://www.google.com/maps/search/?a"&amp;"pi=1&amp;query=""&amp;SUBSTITUTE(F866,"" "",""""))),"""")"),"")</f>
        <v/>
      </c>
      <c r="M866" s="5" t="str">
        <f t="shared" si="6"/>
        <v/>
      </c>
      <c r="N866" s="5" t="str">
        <f>IFERROR(__xludf.DUMMYFUNCTION("IF(AND(F866&lt;&gt;"""",REGEXMATCH(SUBSTITUTE(F866,"" "",""""),""^-?\d+(\.\d+)?,-?\d+(\.\d+)?$""),VALUE(REGEXEXTRACT(SUBSTITUTE(F866,"" "",""""),""^-?\d+(\.\d+)?""))&gt;=-90,VALUE(REGEXEXTRACT(SUBSTITUTE(F866,"" "",""""),""^-?\d+(\.\d+)?""))&lt;=90,VALUE(REGEXEXTRACT"&amp;"(SUBSTITUTE(F866,"" "",""""),""-?\d+(\.\d+)?$""))&gt;=-180,VALUE(REGEXEXTRACT(SUBSTITUTE(F866,"" "",""""),""-?\d+(\.\d+)?$""))&lt;=180),""OK"",""REVISAR"")"),"#N/A")</f>
        <v>#N/A</v>
      </c>
    </row>
    <row r="867" ht="15.75" customHeight="1">
      <c r="A867" s="5" t="str">
        <f t="shared" si="1"/>
        <v>AD507-0865</v>
      </c>
      <c r="C867" s="5"/>
      <c r="F867" s="5"/>
      <c r="G867" s="5" t="str">
        <f t="shared" si="2"/>
        <v/>
      </c>
      <c r="H867" s="5" t="str">
        <f t="shared" si="3"/>
        <v/>
      </c>
      <c r="I867" s="5" t="str">
        <f t="shared" si="4"/>
        <v/>
      </c>
      <c r="J867" s="5" t="str">
        <f t="shared" si="5"/>
        <v/>
      </c>
      <c r="K867" s="5" t="str">
        <f>IFERROR(__xludf.DUMMYFUNCTION("IF(C867&lt;&gt;"""",HYPERLINK(""https://wa.me/507""&amp;REGEXREPLACE(C867,""[^0-9]"","""")&amp;""?text=""&amp;ENCODEURL(""Ya llegue. Codigo: ""&amp;A867&amp;"". Ubicacion: ""&amp;""https://www.google.com/maps/search/?api=1&amp;query=""&amp;SUBSTITUTE(F867,"" "","""")),""📲 Avisar al cliente"""&amp;"),"""")"),"")</f>
        <v/>
      </c>
      <c r="L867" s="5" t="str">
        <f>IFERROR(__xludf.DUMMYFUNCTION("IF(C867&lt;&gt;"""",""https://api.qrserver.com/v1/create-qr-code/?size=200x200&amp;data=""&amp;ENCODEURL(""https://wa.me/507""&amp;REGEXREPLACE(C867,""[^0-9]"","""")&amp;""?text=""&amp;ENCODEURL(""Ya llegue. Codigo: ""&amp;A867&amp;"". Ubicacion: ""&amp;""https://www.google.com/maps/search/?a"&amp;"pi=1&amp;query=""&amp;SUBSTITUTE(F867,"" "",""""))),"""")"),"")</f>
        <v/>
      </c>
      <c r="M867" s="5" t="str">
        <f t="shared" si="6"/>
        <v/>
      </c>
      <c r="N867" s="5" t="str">
        <f>IFERROR(__xludf.DUMMYFUNCTION("IF(AND(F867&lt;&gt;"""",REGEXMATCH(SUBSTITUTE(F867,"" "",""""),""^-?\d+(\.\d+)?,-?\d+(\.\d+)?$""),VALUE(REGEXEXTRACT(SUBSTITUTE(F867,"" "",""""),""^-?\d+(\.\d+)?""))&gt;=-90,VALUE(REGEXEXTRACT(SUBSTITUTE(F867,"" "",""""),""^-?\d+(\.\d+)?""))&lt;=90,VALUE(REGEXEXTRACT"&amp;"(SUBSTITUTE(F867,"" "",""""),""-?\d+(\.\d+)?$""))&gt;=-180,VALUE(REGEXEXTRACT(SUBSTITUTE(F867,"" "",""""),""-?\d+(\.\d+)?$""))&lt;=180),""OK"",""REVISAR"")"),"#N/A")</f>
        <v>#N/A</v>
      </c>
    </row>
    <row r="868" ht="15.75" customHeight="1">
      <c r="A868" s="5" t="str">
        <f t="shared" si="1"/>
        <v>AD507-0866</v>
      </c>
      <c r="C868" s="5"/>
      <c r="F868" s="5"/>
      <c r="G868" s="5" t="str">
        <f t="shared" si="2"/>
        <v/>
      </c>
      <c r="H868" s="5" t="str">
        <f t="shared" si="3"/>
        <v/>
      </c>
      <c r="I868" s="5" t="str">
        <f t="shared" si="4"/>
        <v/>
      </c>
      <c r="J868" s="5" t="str">
        <f t="shared" si="5"/>
        <v/>
      </c>
      <c r="K868" s="5" t="str">
        <f>IFERROR(__xludf.DUMMYFUNCTION("IF(C868&lt;&gt;"""",HYPERLINK(""https://wa.me/507""&amp;REGEXREPLACE(C868,""[^0-9]"","""")&amp;""?text=""&amp;ENCODEURL(""Ya llegue. Codigo: ""&amp;A868&amp;"". Ubicacion: ""&amp;""https://www.google.com/maps/search/?api=1&amp;query=""&amp;SUBSTITUTE(F868,"" "","""")),""📲 Avisar al cliente"""&amp;"),"""")"),"")</f>
        <v/>
      </c>
      <c r="L868" s="5" t="str">
        <f>IFERROR(__xludf.DUMMYFUNCTION("IF(C868&lt;&gt;"""",""https://api.qrserver.com/v1/create-qr-code/?size=200x200&amp;data=""&amp;ENCODEURL(""https://wa.me/507""&amp;REGEXREPLACE(C868,""[^0-9]"","""")&amp;""?text=""&amp;ENCODEURL(""Ya llegue. Codigo: ""&amp;A868&amp;"". Ubicacion: ""&amp;""https://www.google.com/maps/search/?a"&amp;"pi=1&amp;query=""&amp;SUBSTITUTE(F868,"" "",""""))),"""")"),"")</f>
        <v/>
      </c>
      <c r="M868" s="5" t="str">
        <f t="shared" si="6"/>
        <v/>
      </c>
      <c r="N868" s="5" t="str">
        <f>IFERROR(__xludf.DUMMYFUNCTION("IF(AND(F868&lt;&gt;"""",REGEXMATCH(SUBSTITUTE(F868,"" "",""""),""^-?\d+(\.\d+)?,-?\d+(\.\d+)?$""),VALUE(REGEXEXTRACT(SUBSTITUTE(F868,"" "",""""),""^-?\d+(\.\d+)?""))&gt;=-90,VALUE(REGEXEXTRACT(SUBSTITUTE(F868,"" "",""""),""^-?\d+(\.\d+)?""))&lt;=90,VALUE(REGEXEXTRACT"&amp;"(SUBSTITUTE(F868,"" "",""""),""-?\d+(\.\d+)?$""))&gt;=-180,VALUE(REGEXEXTRACT(SUBSTITUTE(F868,"" "",""""),""-?\d+(\.\d+)?$""))&lt;=180),""OK"",""REVISAR"")"),"#N/A")</f>
        <v>#N/A</v>
      </c>
    </row>
    <row r="869" ht="15.75" customHeight="1">
      <c r="A869" s="5" t="str">
        <f t="shared" si="1"/>
        <v>AD507-0867</v>
      </c>
      <c r="C869" s="5"/>
      <c r="F869" s="5"/>
      <c r="G869" s="5" t="str">
        <f t="shared" si="2"/>
        <v/>
      </c>
      <c r="H869" s="5" t="str">
        <f t="shared" si="3"/>
        <v/>
      </c>
      <c r="I869" s="5" t="str">
        <f t="shared" si="4"/>
        <v/>
      </c>
      <c r="J869" s="5" t="str">
        <f t="shared" si="5"/>
        <v/>
      </c>
      <c r="K869" s="5" t="str">
        <f>IFERROR(__xludf.DUMMYFUNCTION("IF(C869&lt;&gt;"""",HYPERLINK(""https://wa.me/507""&amp;REGEXREPLACE(C869,""[^0-9]"","""")&amp;""?text=""&amp;ENCODEURL(""Ya llegue. Codigo: ""&amp;A869&amp;"". Ubicacion: ""&amp;""https://www.google.com/maps/search/?api=1&amp;query=""&amp;SUBSTITUTE(F869,"" "","""")),""📲 Avisar al cliente"""&amp;"),"""")"),"")</f>
        <v/>
      </c>
      <c r="L869" s="5" t="str">
        <f>IFERROR(__xludf.DUMMYFUNCTION("IF(C869&lt;&gt;"""",""https://api.qrserver.com/v1/create-qr-code/?size=200x200&amp;data=""&amp;ENCODEURL(""https://wa.me/507""&amp;REGEXREPLACE(C869,""[^0-9]"","""")&amp;""?text=""&amp;ENCODEURL(""Ya llegue. Codigo: ""&amp;A869&amp;"". Ubicacion: ""&amp;""https://www.google.com/maps/search/?a"&amp;"pi=1&amp;query=""&amp;SUBSTITUTE(F869,"" "",""""))),"""")"),"")</f>
        <v/>
      </c>
      <c r="M869" s="5" t="str">
        <f t="shared" si="6"/>
        <v/>
      </c>
      <c r="N869" s="5" t="str">
        <f>IFERROR(__xludf.DUMMYFUNCTION("IF(AND(F869&lt;&gt;"""",REGEXMATCH(SUBSTITUTE(F869,"" "",""""),""^-?\d+(\.\d+)?,-?\d+(\.\d+)?$""),VALUE(REGEXEXTRACT(SUBSTITUTE(F869,"" "",""""),""^-?\d+(\.\d+)?""))&gt;=-90,VALUE(REGEXEXTRACT(SUBSTITUTE(F869,"" "",""""),""^-?\d+(\.\d+)?""))&lt;=90,VALUE(REGEXEXTRACT"&amp;"(SUBSTITUTE(F869,"" "",""""),""-?\d+(\.\d+)?$""))&gt;=-180,VALUE(REGEXEXTRACT(SUBSTITUTE(F869,"" "",""""),""-?\d+(\.\d+)?$""))&lt;=180),""OK"",""REVISAR"")"),"#N/A")</f>
        <v>#N/A</v>
      </c>
    </row>
    <row r="870" ht="15.75" customHeight="1">
      <c r="A870" s="5" t="str">
        <f t="shared" si="1"/>
        <v>AD507-0868</v>
      </c>
      <c r="C870" s="5"/>
      <c r="F870" s="5"/>
      <c r="G870" s="5" t="str">
        <f t="shared" si="2"/>
        <v/>
      </c>
      <c r="H870" s="5" t="str">
        <f t="shared" si="3"/>
        <v/>
      </c>
      <c r="I870" s="5" t="str">
        <f t="shared" si="4"/>
        <v/>
      </c>
      <c r="J870" s="5" t="str">
        <f t="shared" si="5"/>
        <v/>
      </c>
      <c r="K870" s="5" t="str">
        <f>IFERROR(__xludf.DUMMYFUNCTION("IF(C870&lt;&gt;"""",HYPERLINK(""https://wa.me/507""&amp;REGEXREPLACE(C870,""[^0-9]"","""")&amp;""?text=""&amp;ENCODEURL(""Ya llegue. Codigo: ""&amp;A870&amp;"". Ubicacion: ""&amp;""https://www.google.com/maps/search/?api=1&amp;query=""&amp;SUBSTITUTE(F870,"" "","""")),""📲 Avisar al cliente"""&amp;"),"""")"),"")</f>
        <v/>
      </c>
      <c r="L870" s="5" t="str">
        <f>IFERROR(__xludf.DUMMYFUNCTION("IF(C870&lt;&gt;"""",""https://api.qrserver.com/v1/create-qr-code/?size=200x200&amp;data=""&amp;ENCODEURL(""https://wa.me/507""&amp;REGEXREPLACE(C870,""[^0-9]"","""")&amp;""?text=""&amp;ENCODEURL(""Ya llegue. Codigo: ""&amp;A870&amp;"". Ubicacion: ""&amp;""https://www.google.com/maps/search/?a"&amp;"pi=1&amp;query=""&amp;SUBSTITUTE(F870,"" "",""""))),"""")"),"")</f>
        <v/>
      </c>
      <c r="M870" s="5" t="str">
        <f t="shared" si="6"/>
        <v/>
      </c>
      <c r="N870" s="5" t="str">
        <f>IFERROR(__xludf.DUMMYFUNCTION("IF(AND(F870&lt;&gt;"""",REGEXMATCH(SUBSTITUTE(F870,"" "",""""),""^-?\d+(\.\d+)?,-?\d+(\.\d+)?$""),VALUE(REGEXEXTRACT(SUBSTITUTE(F870,"" "",""""),""^-?\d+(\.\d+)?""))&gt;=-90,VALUE(REGEXEXTRACT(SUBSTITUTE(F870,"" "",""""),""^-?\d+(\.\d+)?""))&lt;=90,VALUE(REGEXEXTRACT"&amp;"(SUBSTITUTE(F870,"" "",""""),""-?\d+(\.\d+)?$""))&gt;=-180,VALUE(REGEXEXTRACT(SUBSTITUTE(F870,"" "",""""),""-?\d+(\.\d+)?$""))&lt;=180),""OK"",""REVISAR"")"),"#N/A")</f>
        <v>#N/A</v>
      </c>
    </row>
    <row r="871" ht="15.75" customHeight="1">
      <c r="A871" s="5" t="str">
        <f t="shared" si="1"/>
        <v>AD507-0869</v>
      </c>
      <c r="C871" s="5"/>
      <c r="F871" s="5"/>
      <c r="G871" s="5" t="str">
        <f t="shared" si="2"/>
        <v/>
      </c>
      <c r="H871" s="5" t="str">
        <f t="shared" si="3"/>
        <v/>
      </c>
      <c r="I871" s="5" t="str">
        <f t="shared" si="4"/>
        <v/>
      </c>
      <c r="J871" s="5" t="str">
        <f t="shared" si="5"/>
        <v/>
      </c>
      <c r="K871" s="5" t="str">
        <f>IFERROR(__xludf.DUMMYFUNCTION("IF(C871&lt;&gt;"""",HYPERLINK(""https://wa.me/507""&amp;REGEXREPLACE(C871,""[^0-9]"","""")&amp;""?text=""&amp;ENCODEURL(""Ya llegue. Codigo: ""&amp;A871&amp;"". Ubicacion: ""&amp;""https://www.google.com/maps/search/?api=1&amp;query=""&amp;SUBSTITUTE(F871,"" "","""")),""📲 Avisar al cliente"""&amp;"),"""")"),"")</f>
        <v/>
      </c>
      <c r="L871" s="5" t="str">
        <f>IFERROR(__xludf.DUMMYFUNCTION("IF(C871&lt;&gt;"""",""https://api.qrserver.com/v1/create-qr-code/?size=200x200&amp;data=""&amp;ENCODEURL(""https://wa.me/507""&amp;REGEXREPLACE(C871,""[^0-9]"","""")&amp;""?text=""&amp;ENCODEURL(""Ya llegue. Codigo: ""&amp;A871&amp;"". Ubicacion: ""&amp;""https://www.google.com/maps/search/?a"&amp;"pi=1&amp;query=""&amp;SUBSTITUTE(F871,"" "",""""))),"""")"),"")</f>
        <v/>
      </c>
      <c r="M871" s="5" t="str">
        <f t="shared" si="6"/>
        <v/>
      </c>
      <c r="N871" s="5" t="str">
        <f>IFERROR(__xludf.DUMMYFUNCTION("IF(AND(F871&lt;&gt;"""",REGEXMATCH(SUBSTITUTE(F871,"" "",""""),""^-?\d+(\.\d+)?,-?\d+(\.\d+)?$""),VALUE(REGEXEXTRACT(SUBSTITUTE(F871,"" "",""""),""^-?\d+(\.\d+)?""))&gt;=-90,VALUE(REGEXEXTRACT(SUBSTITUTE(F871,"" "",""""),""^-?\d+(\.\d+)?""))&lt;=90,VALUE(REGEXEXTRACT"&amp;"(SUBSTITUTE(F871,"" "",""""),""-?\d+(\.\d+)?$""))&gt;=-180,VALUE(REGEXEXTRACT(SUBSTITUTE(F871,"" "",""""),""-?\d+(\.\d+)?$""))&lt;=180),""OK"",""REVISAR"")"),"#N/A")</f>
        <v>#N/A</v>
      </c>
    </row>
    <row r="872" ht="15.75" customHeight="1">
      <c r="A872" s="5" t="str">
        <f t="shared" si="1"/>
        <v>AD507-0870</v>
      </c>
      <c r="C872" s="5"/>
      <c r="F872" s="5"/>
      <c r="G872" s="5" t="str">
        <f t="shared" si="2"/>
        <v/>
      </c>
      <c r="H872" s="5" t="str">
        <f t="shared" si="3"/>
        <v/>
      </c>
      <c r="I872" s="5" t="str">
        <f t="shared" si="4"/>
        <v/>
      </c>
      <c r="J872" s="5" t="str">
        <f t="shared" si="5"/>
        <v/>
      </c>
      <c r="K872" s="5" t="str">
        <f>IFERROR(__xludf.DUMMYFUNCTION("IF(C872&lt;&gt;"""",HYPERLINK(""https://wa.me/507""&amp;REGEXREPLACE(C872,""[^0-9]"","""")&amp;""?text=""&amp;ENCODEURL(""Ya llegue. Codigo: ""&amp;A872&amp;"". Ubicacion: ""&amp;""https://www.google.com/maps/search/?api=1&amp;query=""&amp;SUBSTITUTE(F872,"" "","""")),""📲 Avisar al cliente"""&amp;"),"""")"),"")</f>
        <v/>
      </c>
      <c r="L872" s="5" t="str">
        <f>IFERROR(__xludf.DUMMYFUNCTION("IF(C872&lt;&gt;"""",""https://api.qrserver.com/v1/create-qr-code/?size=200x200&amp;data=""&amp;ENCODEURL(""https://wa.me/507""&amp;REGEXREPLACE(C872,""[^0-9]"","""")&amp;""?text=""&amp;ENCODEURL(""Ya llegue. Codigo: ""&amp;A872&amp;"". Ubicacion: ""&amp;""https://www.google.com/maps/search/?a"&amp;"pi=1&amp;query=""&amp;SUBSTITUTE(F872,"" "",""""))),"""")"),"")</f>
        <v/>
      </c>
      <c r="M872" s="5" t="str">
        <f t="shared" si="6"/>
        <v/>
      </c>
      <c r="N872" s="5" t="str">
        <f>IFERROR(__xludf.DUMMYFUNCTION("IF(AND(F872&lt;&gt;"""",REGEXMATCH(SUBSTITUTE(F872,"" "",""""),""^-?\d+(\.\d+)?,-?\d+(\.\d+)?$""),VALUE(REGEXEXTRACT(SUBSTITUTE(F872,"" "",""""),""^-?\d+(\.\d+)?""))&gt;=-90,VALUE(REGEXEXTRACT(SUBSTITUTE(F872,"" "",""""),""^-?\d+(\.\d+)?""))&lt;=90,VALUE(REGEXEXTRACT"&amp;"(SUBSTITUTE(F872,"" "",""""),""-?\d+(\.\d+)?$""))&gt;=-180,VALUE(REGEXEXTRACT(SUBSTITUTE(F872,"" "",""""),""-?\d+(\.\d+)?$""))&lt;=180),""OK"",""REVISAR"")"),"#N/A")</f>
        <v>#N/A</v>
      </c>
    </row>
    <row r="873" ht="15.75" customHeight="1">
      <c r="A873" s="5" t="str">
        <f t="shared" si="1"/>
        <v>AD507-0871</v>
      </c>
      <c r="C873" s="5"/>
      <c r="F873" s="5"/>
      <c r="G873" s="5" t="str">
        <f t="shared" si="2"/>
        <v/>
      </c>
      <c r="H873" s="5" t="str">
        <f t="shared" si="3"/>
        <v/>
      </c>
      <c r="I873" s="5" t="str">
        <f t="shared" si="4"/>
        <v/>
      </c>
      <c r="J873" s="5" t="str">
        <f t="shared" si="5"/>
        <v/>
      </c>
      <c r="K873" s="5" t="str">
        <f>IFERROR(__xludf.DUMMYFUNCTION("IF(C873&lt;&gt;"""",HYPERLINK(""https://wa.me/507""&amp;REGEXREPLACE(C873,""[^0-9]"","""")&amp;""?text=""&amp;ENCODEURL(""Ya llegue. Codigo: ""&amp;A873&amp;"". Ubicacion: ""&amp;""https://www.google.com/maps/search/?api=1&amp;query=""&amp;SUBSTITUTE(F873,"" "","""")),""📲 Avisar al cliente"""&amp;"),"""")"),"")</f>
        <v/>
      </c>
      <c r="L873" s="5" t="str">
        <f>IFERROR(__xludf.DUMMYFUNCTION("IF(C873&lt;&gt;"""",""https://api.qrserver.com/v1/create-qr-code/?size=200x200&amp;data=""&amp;ENCODEURL(""https://wa.me/507""&amp;REGEXREPLACE(C873,""[^0-9]"","""")&amp;""?text=""&amp;ENCODEURL(""Ya llegue. Codigo: ""&amp;A873&amp;"". Ubicacion: ""&amp;""https://www.google.com/maps/search/?a"&amp;"pi=1&amp;query=""&amp;SUBSTITUTE(F873,"" "",""""))),"""")"),"")</f>
        <v/>
      </c>
      <c r="M873" s="5" t="str">
        <f t="shared" si="6"/>
        <v/>
      </c>
      <c r="N873" s="5" t="str">
        <f>IFERROR(__xludf.DUMMYFUNCTION("IF(AND(F873&lt;&gt;"""",REGEXMATCH(SUBSTITUTE(F873,"" "",""""),""^-?\d+(\.\d+)?,-?\d+(\.\d+)?$""),VALUE(REGEXEXTRACT(SUBSTITUTE(F873,"" "",""""),""^-?\d+(\.\d+)?""))&gt;=-90,VALUE(REGEXEXTRACT(SUBSTITUTE(F873,"" "",""""),""^-?\d+(\.\d+)?""))&lt;=90,VALUE(REGEXEXTRACT"&amp;"(SUBSTITUTE(F873,"" "",""""),""-?\d+(\.\d+)?$""))&gt;=-180,VALUE(REGEXEXTRACT(SUBSTITUTE(F873,"" "",""""),""-?\d+(\.\d+)?$""))&lt;=180),""OK"",""REVISAR"")"),"#N/A")</f>
        <v>#N/A</v>
      </c>
    </row>
    <row r="874" ht="15.75" customHeight="1">
      <c r="A874" s="5" t="str">
        <f t="shared" si="1"/>
        <v>AD507-0872</v>
      </c>
      <c r="C874" s="5"/>
      <c r="F874" s="5"/>
      <c r="G874" s="5" t="str">
        <f t="shared" si="2"/>
        <v/>
      </c>
      <c r="H874" s="5" t="str">
        <f t="shared" si="3"/>
        <v/>
      </c>
      <c r="I874" s="5" t="str">
        <f t="shared" si="4"/>
        <v/>
      </c>
      <c r="J874" s="5" t="str">
        <f t="shared" si="5"/>
        <v/>
      </c>
      <c r="K874" s="5" t="str">
        <f>IFERROR(__xludf.DUMMYFUNCTION("IF(C874&lt;&gt;"""",HYPERLINK(""https://wa.me/507""&amp;REGEXREPLACE(C874,""[^0-9]"","""")&amp;""?text=""&amp;ENCODEURL(""Ya llegue. Codigo: ""&amp;A874&amp;"". Ubicacion: ""&amp;""https://www.google.com/maps/search/?api=1&amp;query=""&amp;SUBSTITUTE(F874,"" "","""")),""📲 Avisar al cliente"""&amp;"),"""")"),"")</f>
        <v/>
      </c>
      <c r="L874" s="5" t="str">
        <f>IFERROR(__xludf.DUMMYFUNCTION("IF(C874&lt;&gt;"""",""https://api.qrserver.com/v1/create-qr-code/?size=200x200&amp;data=""&amp;ENCODEURL(""https://wa.me/507""&amp;REGEXREPLACE(C874,""[^0-9]"","""")&amp;""?text=""&amp;ENCODEURL(""Ya llegue. Codigo: ""&amp;A874&amp;"". Ubicacion: ""&amp;""https://www.google.com/maps/search/?a"&amp;"pi=1&amp;query=""&amp;SUBSTITUTE(F874,"" "",""""))),"""")"),"")</f>
        <v/>
      </c>
      <c r="M874" s="5" t="str">
        <f t="shared" si="6"/>
        <v/>
      </c>
      <c r="N874" s="5" t="str">
        <f>IFERROR(__xludf.DUMMYFUNCTION("IF(AND(F874&lt;&gt;"""",REGEXMATCH(SUBSTITUTE(F874,"" "",""""),""^-?\d+(\.\d+)?,-?\d+(\.\d+)?$""),VALUE(REGEXEXTRACT(SUBSTITUTE(F874,"" "",""""),""^-?\d+(\.\d+)?""))&gt;=-90,VALUE(REGEXEXTRACT(SUBSTITUTE(F874,"" "",""""),""^-?\d+(\.\d+)?""))&lt;=90,VALUE(REGEXEXTRACT"&amp;"(SUBSTITUTE(F874,"" "",""""),""-?\d+(\.\d+)?$""))&gt;=-180,VALUE(REGEXEXTRACT(SUBSTITUTE(F874,"" "",""""),""-?\d+(\.\d+)?$""))&lt;=180),""OK"",""REVISAR"")"),"#N/A")</f>
        <v>#N/A</v>
      </c>
    </row>
    <row r="875" ht="15.75" customHeight="1">
      <c r="A875" s="5" t="str">
        <f t="shared" si="1"/>
        <v>AD507-0873</v>
      </c>
      <c r="C875" s="5"/>
      <c r="F875" s="5"/>
      <c r="G875" s="5" t="str">
        <f t="shared" si="2"/>
        <v/>
      </c>
      <c r="H875" s="5" t="str">
        <f t="shared" si="3"/>
        <v/>
      </c>
      <c r="I875" s="5" t="str">
        <f t="shared" si="4"/>
        <v/>
      </c>
      <c r="J875" s="5" t="str">
        <f t="shared" si="5"/>
        <v/>
      </c>
      <c r="K875" s="5" t="str">
        <f>IFERROR(__xludf.DUMMYFUNCTION("IF(C875&lt;&gt;"""",HYPERLINK(""https://wa.me/507""&amp;REGEXREPLACE(C875,""[^0-9]"","""")&amp;""?text=""&amp;ENCODEURL(""Ya llegue. Codigo: ""&amp;A875&amp;"". Ubicacion: ""&amp;""https://www.google.com/maps/search/?api=1&amp;query=""&amp;SUBSTITUTE(F875,"" "","""")),""📲 Avisar al cliente"""&amp;"),"""")"),"")</f>
        <v/>
      </c>
      <c r="L875" s="5" t="str">
        <f>IFERROR(__xludf.DUMMYFUNCTION("IF(C875&lt;&gt;"""",""https://api.qrserver.com/v1/create-qr-code/?size=200x200&amp;data=""&amp;ENCODEURL(""https://wa.me/507""&amp;REGEXREPLACE(C875,""[^0-9]"","""")&amp;""?text=""&amp;ENCODEURL(""Ya llegue. Codigo: ""&amp;A875&amp;"". Ubicacion: ""&amp;""https://www.google.com/maps/search/?a"&amp;"pi=1&amp;query=""&amp;SUBSTITUTE(F875,"" "",""""))),"""")"),"")</f>
        <v/>
      </c>
      <c r="M875" s="5" t="str">
        <f t="shared" si="6"/>
        <v/>
      </c>
      <c r="N875" s="5" t="str">
        <f>IFERROR(__xludf.DUMMYFUNCTION("IF(AND(F875&lt;&gt;"""",REGEXMATCH(SUBSTITUTE(F875,"" "",""""),""^-?\d+(\.\d+)?,-?\d+(\.\d+)?$""),VALUE(REGEXEXTRACT(SUBSTITUTE(F875,"" "",""""),""^-?\d+(\.\d+)?""))&gt;=-90,VALUE(REGEXEXTRACT(SUBSTITUTE(F875,"" "",""""),""^-?\d+(\.\d+)?""))&lt;=90,VALUE(REGEXEXTRACT"&amp;"(SUBSTITUTE(F875,"" "",""""),""-?\d+(\.\d+)?$""))&gt;=-180,VALUE(REGEXEXTRACT(SUBSTITUTE(F875,"" "",""""),""-?\d+(\.\d+)?$""))&lt;=180),""OK"",""REVISAR"")"),"#N/A")</f>
        <v>#N/A</v>
      </c>
    </row>
    <row r="876" ht="15.75" customHeight="1">
      <c r="A876" s="5" t="str">
        <f t="shared" si="1"/>
        <v>AD507-0874</v>
      </c>
      <c r="C876" s="5"/>
      <c r="F876" s="5"/>
      <c r="G876" s="5" t="str">
        <f t="shared" si="2"/>
        <v/>
      </c>
      <c r="H876" s="5" t="str">
        <f t="shared" si="3"/>
        <v/>
      </c>
      <c r="I876" s="5" t="str">
        <f t="shared" si="4"/>
        <v/>
      </c>
      <c r="J876" s="5" t="str">
        <f t="shared" si="5"/>
        <v/>
      </c>
      <c r="K876" s="5" t="str">
        <f>IFERROR(__xludf.DUMMYFUNCTION("IF(C876&lt;&gt;"""",HYPERLINK(""https://wa.me/507""&amp;REGEXREPLACE(C876,""[^0-9]"","""")&amp;""?text=""&amp;ENCODEURL(""Ya llegue. Codigo: ""&amp;A876&amp;"". Ubicacion: ""&amp;""https://www.google.com/maps/search/?api=1&amp;query=""&amp;SUBSTITUTE(F876,"" "","""")),""📲 Avisar al cliente"""&amp;"),"""")"),"")</f>
        <v/>
      </c>
      <c r="L876" s="5" t="str">
        <f>IFERROR(__xludf.DUMMYFUNCTION("IF(C876&lt;&gt;"""",""https://api.qrserver.com/v1/create-qr-code/?size=200x200&amp;data=""&amp;ENCODEURL(""https://wa.me/507""&amp;REGEXREPLACE(C876,""[^0-9]"","""")&amp;""?text=""&amp;ENCODEURL(""Ya llegue. Codigo: ""&amp;A876&amp;"". Ubicacion: ""&amp;""https://www.google.com/maps/search/?a"&amp;"pi=1&amp;query=""&amp;SUBSTITUTE(F876,"" "",""""))),"""")"),"")</f>
        <v/>
      </c>
      <c r="M876" s="5" t="str">
        <f t="shared" si="6"/>
        <v/>
      </c>
      <c r="N876" s="5" t="str">
        <f>IFERROR(__xludf.DUMMYFUNCTION("IF(AND(F876&lt;&gt;"""",REGEXMATCH(SUBSTITUTE(F876,"" "",""""),""^-?\d+(\.\d+)?,-?\d+(\.\d+)?$""),VALUE(REGEXEXTRACT(SUBSTITUTE(F876,"" "",""""),""^-?\d+(\.\d+)?""))&gt;=-90,VALUE(REGEXEXTRACT(SUBSTITUTE(F876,"" "",""""),""^-?\d+(\.\d+)?""))&lt;=90,VALUE(REGEXEXTRACT"&amp;"(SUBSTITUTE(F876,"" "",""""),""-?\d+(\.\d+)?$""))&gt;=-180,VALUE(REGEXEXTRACT(SUBSTITUTE(F876,"" "",""""),""-?\d+(\.\d+)?$""))&lt;=180),""OK"",""REVISAR"")"),"#N/A")</f>
        <v>#N/A</v>
      </c>
    </row>
    <row r="877" ht="15.75" customHeight="1">
      <c r="A877" s="5" t="str">
        <f t="shared" si="1"/>
        <v>AD507-0875</v>
      </c>
      <c r="C877" s="5"/>
      <c r="F877" s="5"/>
      <c r="G877" s="5" t="str">
        <f t="shared" si="2"/>
        <v/>
      </c>
      <c r="H877" s="5" t="str">
        <f t="shared" si="3"/>
        <v/>
      </c>
      <c r="I877" s="5" t="str">
        <f t="shared" si="4"/>
        <v/>
      </c>
      <c r="J877" s="5" t="str">
        <f t="shared" si="5"/>
        <v/>
      </c>
      <c r="K877" s="5" t="str">
        <f>IFERROR(__xludf.DUMMYFUNCTION("IF(C877&lt;&gt;"""",HYPERLINK(""https://wa.me/507""&amp;REGEXREPLACE(C877,""[^0-9]"","""")&amp;""?text=""&amp;ENCODEURL(""Ya llegue. Codigo: ""&amp;A877&amp;"". Ubicacion: ""&amp;""https://www.google.com/maps/search/?api=1&amp;query=""&amp;SUBSTITUTE(F877,"" "","""")),""📲 Avisar al cliente"""&amp;"),"""")"),"")</f>
        <v/>
      </c>
      <c r="L877" s="5" t="str">
        <f>IFERROR(__xludf.DUMMYFUNCTION("IF(C877&lt;&gt;"""",""https://api.qrserver.com/v1/create-qr-code/?size=200x200&amp;data=""&amp;ENCODEURL(""https://wa.me/507""&amp;REGEXREPLACE(C877,""[^0-9]"","""")&amp;""?text=""&amp;ENCODEURL(""Ya llegue. Codigo: ""&amp;A877&amp;"". Ubicacion: ""&amp;""https://www.google.com/maps/search/?a"&amp;"pi=1&amp;query=""&amp;SUBSTITUTE(F877,"" "",""""))),"""")"),"")</f>
        <v/>
      </c>
      <c r="M877" s="5" t="str">
        <f t="shared" si="6"/>
        <v/>
      </c>
      <c r="N877" s="5" t="str">
        <f>IFERROR(__xludf.DUMMYFUNCTION("IF(AND(F877&lt;&gt;"""",REGEXMATCH(SUBSTITUTE(F877,"" "",""""),""^-?\d+(\.\d+)?,-?\d+(\.\d+)?$""),VALUE(REGEXEXTRACT(SUBSTITUTE(F877,"" "",""""),""^-?\d+(\.\d+)?""))&gt;=-90,VALUE(REGEXEXTRACT(SUBSTITUTE(F877,"" "",""""),""^-?\d+(\.\d+)?""))&lt;=90,VALUE(REGEXEXTRACT"&amp;"(SUBSTITUTE(F877,"" "",""""),""-?\d+(\.\d+)?$""))&gt;=-180,VALUE(REGEXEXTRACT(SUBSTITUTE(F877,"" "",""""),""-?\d+(\.\d+)?$""))&lt;=180),""OK"",""REVISAR"")"),"#N/A")</f>
        <v>#N/A</v>
      </c>
    </row>
    <row r="878" ht="15.75" customHeight="1">
      <c r="A878" s="5" t="str">
        <f t="shared" si="1"/>
        <v>AD507-0876</v>
      </c>
      <c r="C878" s="5"/>
      <c r="F878" s="5"/>
      <c r="G878" s="5" t="str">
        <f t="shared" si="2"/>
        <v/>
      </c>
      <c r="H878" s="5" t="str">
        <f t="shared" si="3"/>
        <v/>
      </c>
      <c r="I878" s="5" t="str">
        <f t="shared" si="4"/>
        <v/>
      </c>
      <c r="J878" s="5" t="str">
        <f t="shared" si="5"/>
        <v/>
      </c>
      <c r="K878" s="5" t="str">
        <f>IFERROR(__xludf.DUMMYFUNCTION("IF(C878&lt;&gt;"""",HYPERLINK(""https://wa.me/507""&amp;REGEXREPLACE(C878,""[^0-9]"","""")&amp;""?text=""&amp;ENCODEURL(""Ya llegue. Codigo: ""&amp;A878&amp;"". Ubicacion: ""&amp;""https://www.google.com/maps/search/?api=1&amp;query=""&amp;SUBSTITUTE(F878,"" "","""")),""📲 Avisar al cliente"""&amp;"),"""")"),"")</f>
        <v/>
      </c>
      <c r="L878" s="5" t="str">
        <f>IFERROR(__xludf.DUMMYFUNCTION("IF(C878&lt;&gt;"""",""https://api.qrserver.com/v1/create-qr-code/?size=200x200&amp;data=""&amp;ENCODEURL(""https://wa.me/507""&amp;REGEXREPLACE(C878,""[^0-9]"","""")&amp;""?text=""&amp;ENCODEURL(""Ya llegue. Codigo: ""&amp;A878&amp;"". Ubicacion: ""&amp;""https://www.google.com/maps/search/?a"&amp;"pi=1&amp;query=""&amp;SUBSTITUTE(F878,"" "",""""))),"""")"),"")</f>
        <v/>
      </c>
      <c r="M878" s="5" t="str">
        <f t="shared" si="6"/>
        <v/>
      </c>
      <c r="N878" s="5" t="str">
        <f>IFERROR(__xludf.DUMMYFUNCTION("IF(AND(F878&lt;&gt;"""",REGEXMATCH(SUBSTITUTE(F878,"" "",""""),""^-?\d+(\.\d+)?,-?\d+(\.\d+)?$""),VALUE(REGEXEXTRACT(SUBSTITUTE(F878,"" "",""""),""^-?\d+(\.\d+)?""))&gt;=-90,VALUE(REGEXEXTRACT(SUBSTITUTE(F878,"" "",""""),""^-?\d+(\.\d+)?""))&lt;=90,VALUE(REGEXEXTRACT"&amp;"(SUBSTITUTE(F878,"" "",""""),""-?\d+(\.\d+)?$""))&gt;=-180,VALUE(REGEXEXTRACT(SUBSTITUTE(F878,"" "",""""),""-?\d+(\.\d+)?$""))&lt;=180),""OK"",""REVISAR"")"),"#N/A")</f>
        <v>#N/A</v>
      </c>
    </row>
    <row r="879" ht="15.75" customHeight="1">
      <c r="A879" s="5" t="str">
        <f t="shared" si="1"/>
        <v>AD507-0877</v>
      </c>
      <c r="C879" s="5"/>
      <c r="F879" s="5"/>
      <c r="G879" s="5" t="str">
        <f t="shared" si="2"/>
        <v/>
      </c>
      <c r="H879" s="5" t="str">
        <f t="shared" si="3"/>
        <v/>
      </c>
      <c r="I879" s="5" t="str">
        <f t="shared" si="4"/>
        <v/>
      </c>
      <c r="J879" s="5" t="str">
        <f t="shared" si="5"/>
        <v/>
      </c>
      <c r="K879" s="5" t="str">
        <f>IFERROR(__xludf.DUMMYFUNCTION("IF(C879&lt;&gt;"""",HYPERLINK(""https://wa.me/507""&amp;REGEXREPLACE(C879,""[^0-9]"","""")&amp;""?text=""&amp;ENCODEURL(""Ya llegue. Codigo: ""&amp;A879&amp;"". Ubicacion: ""&amp;""https://www.google.com/maps/search/?api=1&amp;query=""&amp;SUBSTITUTE(F879,"" "","""")),""📲 Avisar al cliente"""&amp;"),"""")"),"")</f>
        <v/>
      </c>
      <c r="L879" s="5" t="str">
        <f>IFERROR(__xludf.DUMMYFUNCTION("IF(C879&lt;&gt;"""",""https://api.qrserver.com/v1/create-qr-code/?size=200x200&amp;data=""&amp;ENCODEURL(""https://wa.me/507""&amp;REGEXREPLACE(C879,""[^0-9]"","""")&amp;""?text=""&amp;ENCODEURL(""Ya llegue. Codigo: ""&amp;A879&amp;"". Ubicacion: ""&amp;""https://www.google.com/maps/search/?a"&amp;"pi=1&amp;query=""&amp;SUBSTITUTE(F879,"" "",""""))),"""")"),"")</f>
        <v/>
      </c>
      <c r="M879" s="5" t="str">
        <f t="shared" si="6"/>
        <v/>
      </c>
      <c r="N879" s="5" t="str">
        <f>IFERROR(__xludf.DUMMYFUNCTION("IF(AND(F879&lt;&gt;"""",REGEXMATCH(SUBSTITUTE(F879,"" "",""""),""^-?\d+(\.\d+)?,-?\d+(\.\d+)?$""),VALUE(REGEXEXTRACT(SUBSTITUTE(F879,"" "",""""),""^-?\d+(\.\d+)?""))&gt;=-90,VALUE(REGEXEXTRACT(SUBSTITUTE(F879,"" "",""""),""^-?\d+(\.\d+)?""))&lt;=90,VALUE(REGEXEXTRACT"&amp;"(SUBSTITUTE(F879,"" "",""""),""-?\d+(\.\d+)?$""))&gt;=-180,VALUE(REGEXEXTRACT(SUBSTITUTE(F879,"" "",""""),""-?\d+(\.\d+)?$""))&lt;=180),""OK"",""REVISAR"")"),"#N/A")</f>
        <v>#N/A</v>
      </c>
    </row>
    <row r="880" ht="15.75" customHeight="1">
      <c r="A880" s="5" t="str">
        <f t="shared" si="1"/>
        <v>AD507-0878</v>
      </c>
      <c r="C880" s="5"/>
      <c r="F880" s="5"/>
      <c r="G880" s="5" t="str">
        <f t="shared" si="2"/>
        <v/>
      </c>
      <c r="H880" s="5" t="str">
        <f t="shared" si="3"/>
        <v/>
      </c>
      <c r="I880" s="5" t="str">
        <f t="shared" si="4"/>
        <v/>
      </c>
      <c r="J880" s="5" t="str">
        <f t="shared" si="5"/>
        <v/>
      </c>
      <c r="K880" s="5" t="str">
        <f>IFERROR(__xludf.DUMMYFUNCTION("IF(C880&lt;&gt;"""",HYPERLINK(""https://wa.me/507""&amp;REGEXREPLACE(C880,""[^0-9]"","""")&amp;""?text=""&amp;ENCODEURL(""Ya llegue. Codigo: ""&amp;A880&amp;"". Ubicacion: ""&amp;""https://www.google.com/maps/search/?api=1&amp;query=""&amp;SUBSTITUTE(F880,"" "","""")),""📲 Avisar al cliente"""&amp;"),"""")"),"")</f>
        <v/>
      </c>
      <c r="L880" s="5" t="str">
        <f>IFERROR(__xludf.DUMMYFUNCTION("IF(C880&lt;&gt;"""",""https://api.qrserver.com/v1/create-qr-code/?size=200x200&amp;data=""&amp;ENCODEURL(""https://wa.me/507""&amp;REGEXREPLACE(C880,""[^0-9]"","""")&amp;""?text=""&amp;ENCODEURL(""Ya llegue. Codigo: ""&amp;A880&amp;"". Ubicacion: ""&amp;""https://www.google.com/maps/search/?a"&amp;"pi=1&amp;query=""&amp;SUBSTITUTE(F880,"" "",""""))),"""")"),"")</f>
        <v/>
      </c>
      <c r="M880" s="5" t="str">
        <f t="shared" si="6"/>
        <v/>
      </c>
      <c r="N880" s="5" t="str">
        <f>IFERROR(__xludf.DUMMYFUNCTION("IF(AND(F880&lt;&gt;"""",REGEXMATCH(SUBSTITUTE(F880,"" "",""""),""^-?\d+(\.\d+)?,-?\d+(\.\d+)?$""),VALUE(REGEXEXTRACT(SUBSTITUTE(F880,"" "",""""),""^-?\d+(\.\d+)?""))&gt;=-90,VALUE(REGEXEXTRACT(SUBSTITUTE(F880,"" "",""""),""^-?\d+(\.\d+)?""))&lt;=90,VALUE(REGEXEXTRACT"&amp;"(SUBSTITUTE(F880,"" "",""""),""-?\d+(\.\d+)?$""))&gt;=-180,VALUE(REGEXEXTRACT(SUBSTITUTE(F880,"" "",""""),""-?\d+(\.\d+)?$""))&lt;=180),""OK"",""REVISAR"")"),"#N/A")</f>
        <v>#N/A</v>
      </c>
    </row>
    <row r="881" ht="15.75" customHeight="1">
      <c r="A881" s="5" t="str">
        <f t="shared" si="1"/>
        <v>AD507-0879</v>
      </c>
      <c r="C881" s="5"/>
      <c r="F881" s="5"/>
      <c r="G881" s="5" t="str">
        <f t="shared" si="2"/>
        <v/>
      </c>
      <c r="H881" s="5" t="str">
        <f t="shared" si="3"/>
        <v/>
      </c>
      <c r="I881" s="5" t="str">
        <f t="shared" si="4"/>
        <v/>
      </c>
      <c r="J881" s="5" t="str">
        <f t="shared" si="5"/>
        <v/>
      </c>
      <c r="K881" s="5" t="str">
        <f>IFERROR(__xludf.DUMMYFUNCTION("IF(C881&lt;&gt;"""",HYPERLINK(""https://wa.me/507""&amp;REGEXREPLACE(C881,""[^0-9]"","""")&amp;""?text=""&amp;ENCODEURL(""Ya llegue. Codigo: ""&amp;A881&amp;"". Ubicacion: ""&amp;""https://www.google.com/maps/search/?api=1&amp;query=""&amp;SUBSTITUTE(F881,"" "","""")),""📲 Avisar al cliente"""&amp;"),"""")"),"")</f>
        <v/>
      </c>
      <c r="L881" s="5" t="str">
        <f>IFERROR(__xludf.DUMMYFUNCTION("IF(C881&lt;&gt;"""",""https://api.qrserver.com/v1/create-qr-code/?size=200x200&amp;data=""&amp;ENCODEURL(""https://wa.me/507""&amp;REGEXREPLACE(C881,""[^0-9]"","""")&amp;""?text=""&amp;ENCODEURL(""Ya llegue. Codigo: ""&amp;A881&amp;"". Ubicacion: ""&amp;""https://www.google.com/maps/search/?a"&amp;"pi=1&amp;query=""&amp;SUBSTITUTE(F881,"" "",""""))),"""")"),"")</f>
        <v/>
      </c>
      <c r="M881" s="5" t="str">
        <f t="shared" si="6"/>
        <v/>
      </c>
      <c r="N881" s="5" t="str">
        <f>IFERROR(__xludf.DUMMYFUNCTION("IF(AND(F881&lt;&gt;"""",REGEXMATCH(SUBSTITUTE(F881,"" "",""""),""^-?\d+(\.\d+)?,-?\d+(\.\d+)?$""),VALUE(REGEXEXTRACT(SUBSTITUTE(F881,"" "",""""),""^-?\d+(\.\d+)?""))&gt;=-90,VALUE(REGEXEXTRACT(SUBSTITUTE(F881,"" "",""""),""^-?\d+(\.\d+)?""))&lt;=90,VALUE(REGEXEXTRACT"&amp;"(SUBSTITUTE(F881,"" "",""""),""-?\d+(\.\d+)?$""))&gt;=-180,VALUE(REGEXEXTRACT(SUBSTITUTE(F881,"" "",""""),""-?\d+(\.\d+)?$""))&lt;=180),""OK"",""REVISAR"")"),"#N/A")</f>
        <v>#N/A</v>
      </c>
    </row>
    <row r="882" ht="15.75" customHeight="1">
      <c r="A882" s="5" t="str">
        <f t="shared" si="1"/>
        <v>AD507-0880</v>
      </c>
      <c r="C882" s="5"/>
      <c r="F882" s="5"/>
      <c r="G882" s="5" t="str">
        <f t="shared" si="2"/>
        <v/>
      </c>
      <c r="H882" s="5" t="str">
        <f t="shared" si="3"/>
        <v/>
      </c>
      <c r="I882" s="5" t="str">
        <f t="shared" si="4"/>
        <v/>
      </c>
      <c r="J882" s="5" t="str">
        <f t="shared" si="5"/>
        <v/>
      </c>
      <c r="K882" s="5" t="str">
        <f>IFERROR(__xludf.DUMMYFUNCTION("IF(C882&lt;&gt;"""",HYPERLINK(""https://wa.me/507""&amp;REGEXREPLACE(C882,""[^0-9]"","""")&amp;""?text=""&amp;ENCODEURL(""Ya llegue. Codigo: ""&amp;A882&amp;"". Ubicacion: ""&amp;""https://www.google.com/maps/search/?api=1&amp;query=""&amp;SUBSTITUTE(F882,"" "","""")),""📲 Avisar al cliente"""&amp;"),"""")"),"")</f>
        <v/>
      </c>
      <c r="L882" s="5" t="str">
        <f>IFERROR(__xludf.DUMMYFUNCTION("IF(C882&lt;&gt;"""",""https://api.qrserver.com/v1/create-qr-code/?size=200x200&amp;data=""&amp;ENCODEURL(""https://wa.me/507""&amp;REGEXREPLACE(C882,""[^0-9]"","""")&amp;""?text=""&amp;ENCODEURL(""Ya llegue. Codigo: ""&amp;A882&amp;"". Ubicacion: ""&amp;""https://www.google.com/maps/search/?a"&amp;"pi=1&amp;query=""&amp;SUBSTITUTE(F882,"" "",""""))),"""")"),"")</f>
        <v/>
      </c>
      <c r="M882" s="5" t="str">
        <f t="shared" si="6"/>
        <v/>
      </c>
      <c r="N882" s="5" t="str">
        <f>IFERROR(__xludf.DUMMYFUNCTION("IF(AND(F882&lt;&gt;"""",REGEXMATCH(SUBSTITUTE(F882,"" "",""""),""^-?\d+(\.\d+)?,-?\d+(\.\d+)?$""),VALUE(REGEXEXTRACT(SUBSTITUTE(F882,"" "",""""),""^-?\d+(\.\d+)?""))&gt;=-90,VALUE(REGEXEXTRACT(SUBSTITUTE(F882,"" "",""""),""^-?\d+(\.\d+)?""))&lt;=90,VALUE(REGEXEXTRACT"&amp;"(SUBSTITUTE(F882,"" "",""""),""-?\d+(\.\d+)?$""))&gt;=-180,VALUE(REGEXEXTRACT(SUBSTITUTE(F882,"" "",""""),""-?\d+(\.\d+)?$""))&lt;=180),""OK"",""REVISAR"")"),"#N/A")</f>
        <v>#N/A</v>
      </c>
    </row>
    <row r="883" ht="15.75" customHeight="1">
      <c r="A883" s="5" t="str">
        <f t="shared" si="1"/>
        <v>AD507-0881</v>
      </c>
      <c r="C883" s="5"/>
      <c r="F883" s="5"/>
      <c r="G883" s="5" t="str">
        <f t="shared" si="2"/>
        <v/>
      </c>
      <c r="H883" s="5" t="str">
        <f t="shared" si="3"/>
        <v/>
      </c>
      <c r="I883" s="5" t="str">
        <f t="shared" si="4"/>
        <v/>
      </c>
      <c r="J883" s="5" t="str">
        <f t="shared" si="5"/>
        <v/>
      </c>
      <c r="K883" s="5" t="str">
        <f>IFERROR(__xludf.DUMMYFUNCTION("IF(C883&lt;&gt;"""",HYPERLINK(""https://wa.me/507""&amp;REGEXREPLACE(C883,""[^0-9]"","""")&amp;""?text=""&amp;ENCODEURL(""Ya llegue. Codigo: ""&amp;A883&amp;"". Ubicacion: ""&amp;""https://www.google.com/maps/search/?api=1&amp;query=""&amp;SUBSTITUTE(F883,"" "","""")),""📲 Avisar al cliente"""&amp;"),"""")"),"")</f>
        <v/>
      </c>
      <c r="L883" s="5" t="str">
        <f>IFERROR(__xludf.DUMMYFUNCTION("IF(C883&lt;&gt;"""",""https://api.qrserver.com/v1/create-qr-code/?size=200x200&amp;data=""&amp;ENCODEURL(""https://wa.me/507""&amp;REGEXREPLACE(C883,""[^0-9]"","""")&amp;""?text=""&amp;ENCODEURL(""Ya llegue. Codigo: ""&amp;A883&amp;"". Ubicacion: ""&amp;""https://www.google.com/maps/search/?a"&amp;"pi=1&amp;query=""&amp;SUBSTITUTE(F883,"" "",""""))),"""")"),"")</f>
        <v/>
      </c>
      <c r="M883" s="5" t="str">
        <f t="shared" si="6"/>
        <v/>
      </c>
      <c r="N883" s="5" t="str">
        <f>IFERROR(__xludf.DUMMYFUNCTION("IF(AND(F883&lt;&gt;"""",REGEXMATCH(SUBSTITUTE(F883,"" "",""""),""^-?\d+(\.\d+)?,-?\d+(\.\d+)?$""),VALUE(REGEXEXTRACT(SUBSTITUTE(F883,"" "",""""),""^-?\d+(\.\d+)?""))&gt;=-90,VALUE(REGEXEXTRACT(SUBSTITUTE(F883,"" "",""""),""^-?\d+(\.\d+)?""))&lt;=90,VALUE(REGEXEXTRACT"&amp;"(SUBSTITUTE(F883,"" "",""""),""-?\d+(\.\d+)?$""))&gt;=-180,VALUE(REGEXEXTRACT(SUBSTITUTE(F883,"" "",""""),""-?\d+(\.\d+)?$""))&lt;=180),""OK"",""REVISAR"")"),"#N/A")</f>
        <v>#N/A</v>
      </c>
    </row>
    <row r="884" ht="15.75" customHeight="1">
      <c r="A884" s="5" t="str">
        <f t="shared" si="1"/>
        <v>AD507-0882</v>
      </c>
      <c r="C884" s="5"/>
      <c r="F884" s="5"/>
      <c r="G884" s="5" t="str">
        <f t="shared" si="2"/>
        <v/>
      </c>
      <c r="H884" s="5" t="str">
        <f t="shared" si="3"/>
        <v/>
      </c>
      <c r="I884" s="5" t="str">
        <f t="shared" si="4"/>
        <v/>
      </c>
      <c r="J884" s="5" t="str">
        <f t="shared" si="5"/>
        <v/>
      </c>
      <c r="K884" s="5" t="str">
        <f>IFERROR(__xludf.DUMMYFUNCTION("IF(C884&lt;&gt;"""",HYPERLINK(""https://wa.me/507""&amp;REGEXREPLACE(C884,""[^0-9]"","""")&amp;""?text=""&amp;ENCODEURL(""Ya llegue. Codigo: ""&amp;A884&amp;"". Ubicacion: ""&amp;""https://www.google.com/maps/search/?api=1&amp;query=""&amp;SUBSTITUTE(F884,"" "","""")),""📲 Avisar al cliente"""&amp;"),"""")"),"")</f>
        <v/>
      </c>
      <c r="L884" s="5" t="str">
        <f>IFERROR(__xludf.DUMMYFUNCTION("IF(C884&lt;&gt;"""",""https://api.qrserver.com/v1/create-qr-code/?size=200x200&amp;data=""&amp;ENCODEURL(""https://wa.me/507""&amp;REGEXREPLACE(C884,""[^0-9]"","""")&amp;""?text=""&amp;ENCODEURL(""Ya llegue. Codigo: ""&amp;A884&amp;"". Ubicacion: ""&amp;""https://www.google.com/maps/search/?a"&amp;"pi=1&amp;query=""&amp;SUBSTITUTE(F884,"" "",""""))),"""")"),"")</f>
        <v/>
      </c>
      <c r="M884" s="5" t="str">
        <f t="shared" si="6"/>
        <v/>
      </c>
      <c r="N884" s="5" t="str">
        <f>IFERROR(__xludf.DUMMYFUNCTION("IF(AND(F884&lt;&gt;"""",REGEXMATCH(SUBSTITUTE(F884,"" "",""""),""^-?\d+(\.\d+)?,-?\d+(\.\d+)?$""),VALUE(REGEXEXTRACT(SUBSTITUTE(F884,"" "",""""),""^-?\d+(\.\d+)?""))&gt;=-90,VALUE(REGEXEXTRACT(SUBSTITUTE(F884,"" "",""""),""^-?\d+(\.\d+)?""))&lt;=90,VALUE(REGEXEXTRACT"&amp;"(SUBSTITUTE(F884,"" "",""""),""-?\d+(\.\d+)?$""))&gt;=-180,VALUE(REGEXEXTRACT(SUBSTITUTE(F884,"" "",""""),""-?\d+(\.\d+)?$""))&lt;=180),""OK"",""REVISAR"")"),"#N/A")</f>
        <v>#N/A</v>
      </c>
    </row>
    <row r="885" ht="15.75" customHeight="1">
      <c r="A885" s="5" t="str">
        <f t="shared" si="1"/>
        <v>AD507-0883</v>
      </c>
      <c r="C885" s="5"/>
      <c r="F885" s="5"/>
      <c r="G885" s="5" t="str">
        <f t="shared" si="2"/>
        <v/>
      </c>
      <c r="H885" s="5" t="str">
        <f t="shared" si="3"/>
        <v/>
      </c>
      <c r="I885" s="5" t="str">
        <f t="shared" si="4"/>
        <v/>
      </c>
      <c r="J885" s="5" t="str">
        <f t="shared" si="5"/>
        <v/>
      </c>
      <c r="K885" s="5" t="str">
        <f>IFERROR(__xludf.DUMMYFUNCTION("IF(C885&lt;&gt;"""",HYPERLINK(""https://wa.me/507""&amp;REGEXREPLACE(C885,""[^0-9]"","""")&amp;""?text=""&amp;ENCODEURL(""Ya llegue. Codigo: ""&amp;A885&amp;"". Ubicacion: ""&amp;""https://www.google.com/maps/search/?api=1&amp;query=""&amp;SUBSTITUTE(F885,"" "","""")),""📲 Avisar al cliente"""&amp;"),"""")"),"")</f>
        <v/>
      </c>
      <c r="L885" s="5" t="str">
        <f>IFERROR(__xludf.DUMMYFUNCTION("IF(C885&lt;&gt;"""",""https://api.qrserver.com/v1/create-qr-code/?size=200x200&amp;data=""&amp;ENCODEURL(""https://wa.me/507""&amp;REGEXREPLACE(C885,""[^0-9]"","""")&amp;""?text=""&amp;ENCODEURL(""Ya llegue. Codigo: ""&amp;A885&amp;"". Ubicacion: ""&amp;""https://www.google.com/maps/search/?a"&amp;"pi=1&amp;query=""&amp;SUBSTITUTE(F885,"" "",""""))),"""")"),"")</f>
        <v/>
      </c>
      <c r="M885" s="5" t="str">
        <f t="shared" si="6"/>
        <v/>
      </c>
      <c r="N885" s="5" t="str">
        <f>IFERROR(__xludf.DUMMYFUNCTION("IF(AND(F885&lt;&gt;"""",REGEXMATCH(SUBSTITUTE(F885,"" "",""""),""^-?\d+(\.\d+)?,-?\d+(\.\d+)?$""),VALUE(REGEXEXTRACT(SUBSTITUTE(F885,"" "",""""),""^-?\d+(\.\d+)?""))&gt;=-90,VALUE(REGEXEXTRACT(SUBSTITUTE(F885,"" "",""""),""^-?\d+(\.\d+)?""))&lt;=90,VALUE(REGEXEXTRACT"&amp;"(SUBSTITUTE(F885,"" "",""""),""-?\d+(\.\d+)?$""))&gt;=-180,VALUE(REGEXEXTRACT(SUBSTITUTE(F885,"" "",""""),""-?\d+(\.\d+)?$""))&lt;=180),""OK"",""REVISAR"")"),"#N/A")</f>
        <v>#N/A</v>
      </c>
    </row>
    <row r="886" ht="15.75" customHeight="1">
      <c r="A886" s="5" t="str">
        <f t="shared" si="1"/>
        <v>AD507-0884</v>
      </c>
      <c r="C886" s="5"/>
      <c r="F886" s="5"/>
      <c r="G886" s="5" t="str">
        <f t="shared" si="2"/>
        <v/>
      </c>
      <c r="H886" s="5" t="str">
        <f t="shared" si="3"/>
        <v/>
      </c>
      <c r="I886" s="5" t="str">
        <f t="shared" si="4"/>
        <v/>
      </c>
      <c r="J886" s="5" t="str">
        <f t="shared" si="5"/>
        <v/>
      </c>
      <c r="K886" s="5" t="str">
        <f>IFERROR(__xludf.DUMMYFUNCTION("IF(C886&lt;&gt;"""",HYPERLINK(""https://wa.me/507""&amp;REGEXREPLACE(C886,""[^0-9]"","""")&amp;""?text=""&amp;ENCODEURL(""Ya llegue. Codigo: ""&amp;A886&amp;"". Ubicacion: ""&amp;""https://www.google.com/maps/search/?api=1&amp;query=""&amp;SUBSTITUTE(F886,"" "","""")),""📲 Avisar al cliente"""&amp;"),"""")"),"")</f>
        <v/>
      </c>
      <c r="L886" s="5" t="str">
        <f>IFERROR(__xludf.DUMMYFUNCTION("IF(C886&lt;&gt;"""",""https://api.qrserver.com/v1/create-qr-code/?size=200x200&amp;data=""&amp;ENCODEURL(""https://wa.me/507""&amp;REGEXREPLACE(C886,""[^0-9]"","""")&amp;""?text=""&amp;ENCODEURL(""Ya llegue. Codigo: ""&amp;A886&amp;"". Ubicacion: ""&amp;""https://www.google.com/maps/search/?a"&amp;"pi=1&amp;query=""&amp;SUBSTITUTE(F886,"" "",""""))),"""")"),"")</f>
        <v/>
      </c>
      <c r="M886" s="5" t="str">
        <f t="shared" si="6"/>
        <v/>
      </c>
      <c r="N886" s="5" t="str">
        <f>IFERROR(__xludf.DUMMYFUNCTION("IF(AND(F886&lt;&gt;"""",REGEXMATCH(SUBSTITUTE(F886,"" "",""""),""^-?\d+(\.\d+)?,-?\d+(\.\d+)?$""),VALUE(REGEXEXTRACT(SUBSTITUTE(F886,"" "",""""),""^-?\d+(\.\d+)?""))&gt;=-90,VALUE(REGEXEXTRACT(SUBSTITUTE(F886,"" "",""""),""^-?\d+(\.\d+)?""))&lt;=90,VALUE(REGEXEXTRACT"&amp;"(SUBSTITUTE(F886,"" "",""""),""-?\d+(\.\d+)?$""))&gt;=-180,VALUE(REGEXEXTRACT(SUBSTITUTE(F886,"" "",""""),""-?\d+(\.\d+)?$""))&lt;=180),""OK"",""REVISAR"")"),"#N/A")</f>
        <v>#N/A</v>
      </c>
    </row>
    <row r="887" ht="15.75" customHeight="1">
      <c r="A887" s="5" t="str">
        <f t="shared" si="1"/>
        <v>AD507-0885</v>
      </c>
      <c r="C887" s="5"/>
      <c r="F887" s="5"/>
      <c r="G887" s="5" t="str">
        <f t="shared" si="2"/>
        <v/>
      </c>
      <c r="H887" s="5" t="str">
        <f t="shared" si="3"/>
        <v/>
      </c>
      <c r="I887" s="5" t="str">
        <f t="shared" si="4"/>
        <v/>
      </c>
      <c r="J887" s="5" t="str">
        <f t="shared" si="5"/>
        <v/>
      </c>
      <c r="K887" s="5" t="str">
        <f>IFERROR(__xludf.DUMMYFUNCTION("IF(C887&lt;&gt;"""",HYPERLINK(""https://wa.me/507""&amp;REGEXREPLACE(C887,""[^0-9]"","""")&amp;""?text=""&amp;ENCODEURL(""Ya llegue. Codigo: ""&amp;A887&amp;"". Ubicacion: ""&amp;""https://www.google.com/maps/search/?api=1&amp;query=""&amp;SUBSTITUTE(F887,"" "","""")),""📲 Avisar al cliente"""&amp;"),"""")"),"")</f>
        <v/>
      </c>
      <c r="L887" s="5" t="str">
        <f>IFERROR(__xludf.DUMMYFUNCTION("IF(C887&lt;&gt;"""",""https://api.qrserver.com/v1/create-qr-code/?size=200x200&amp;data=""&amp;ENCODEURL(""https://wa.me/507""&amp;REGEXREPLACE(C887,""[^0-9]"","""")&amp;""?text=""&amp;ENCODEURL(""Ya llegue. Codigo: ""&amp;A887&amp;"". Ubicacion: ""&amp;""https://www.google.com/maps/search/?a"&amp;"pi=1&amp;query=""&amp;SUBSTITUTE(F887,"" "",""""))),"""")"),"")</f>
        <v/>
      </c>
      <c r="M887" s="5" t="str">
        <f t="shared" si="6"/>
        <v/>
      </c>
      <c r="N887" s="5" t="str">
        <f>IFERROR(__xludf.DUMMYFUNCTION("IF(AND(F887&lt;&gt;"""",REGEXMATCH(SUBSTITUTE(F887,"" "",""""),""^-?\d+(\.\d+)?,-?\d+(\.\d+)?$""),VALUE(REGEXEXTRACT(SUBSTITUTE(F887,"" "",""""),""^-?\d+(\.\d+)?""))&gt;=-90,VALUE(REGEXEXTRACT(SUBSTITUTE(F887,"" "",""""),""^-?\d+(\.\d+)?""))&lt;=90,VALUE(REGEXEXTRACT"&amp;"(SUBSTITUTE(F887,"" "",""""),""-?\d+(\.\d+)?$""))&gt;=-180,VALUE(REGEXEXTRACT(SUBSTITUTE(F887,"" "",""""),""-?\d+(\.\d+)?$""))&lt;=180),""OK"",""REVISAR"")"),"#N/A")</f>
        <v>#N/A</v>
      </c>
    </row>
    <row r="888" ht="15.75" customHeight="1">
      <c r="A888" s="5" t="str">
        <f t="shared" si="1"/>
        <v>AD507-0886</v>
      </c>
      <c r="C888" s="5"/>
      <c r="F888" s="5"/>
      <c r="G888" s="5" t="str">
        <f t="shared" si="2"/>
        <v/>
      </c>
      <c r="H888" s="5" t="str">
        <f t="shared" si="3"/>
        <v/>
      </c>
      <c r="I888" s="5" t="str">
        <f t="shared" si="4"/>
        <v/>
      </c>
      <c r="J888" s="5" t="str">
        <f t="shared" si="5"/>
        <v/>
      </c>
      <c r="K888" s="5" t="str">
        <f>IFERROR(__xludf.DUMMYFUNCTION("IF(C888&lt;&gt;"""",HYPERLINK(""https://wa.me/507""&amp;REGEXREPLACE(C888,""[^0-9]"","""")&amp;""?text=""&amp;ENCODEURL(""Ya llegue. Codigo: ""&amp;A888&amp;"". Ubicacion: ""&amp;""https://www.google.com/maps/search/?api=1&amp;query=""&amp;SUBSTITUTE(F888,"" "","""")),""📲 Avisar al cliente"""&amp;"),"""")"),"")</f>
        <v/>
      </c>
      <c r="L888" s="5" t="str">
        <f>IFERROR(__xludf.DUMMYFUNCTION("IF(C888&lt;&gt;"""",""https://api.qrserver.com/v1/create-qr-code/?size=200x200&amp;data=""&amp;ENCODEURL(""https://wa.me/507""&amp;REGEXREPLACE(C888,""[^0-9]"","""")&amp;""?text=""&amp;ENCODEURL(""Ya llegue. Codigo: ""&amp;A888&amp;"". Ubicacion: ""&amp;""https://www.google.com/maps/search/?a"&amp;"pi=1&amp;query=""&amp;SUBSTITUTE(F888,"" "",""""))),"""")"),"")</f>
        <v/>
      </c>
      <c r="M888" s="5" t="str">
        <f t="shared" si="6"/>
        <v/>
      </c>
      <c r="N888" s="5" t="str">
        <f>IFERROR(__xludf.DUMMYFUNCTION("IF(AND(F888&lt;&gt;"""",REGEXMATCH(SUBSTITUTE(F888,"" "",""""),""^-?\d+(\.\d+)?,-?\d+(\.\d+)?$""),VALUE(REGEXEXTRACT(SUBSTITUTE(F888,"" "",""""),""^-?\d+(\.\d+)?""))&gt;=-90,VALUE(REGEXEXTRACT(SUBSTITUTE(F888,"" "",""""),""^-?\d+(\.\d+)?""))&lt;=90,VALUE(REGEXEXTRACT"&amp;"(SUBSTITUTE(F888,"" "",""""),""-?\d+(\.\d+)?$""))&gt;=-180,VALUE(REGEXEXTRACT(SUBSTITUTE(F888,"" "",""""),""-?\d+(\.\d+)?$""))&lt;=180),""OK"",""REVISAR"")"),"#N/A")</f>
        <v>#N/A</v>
      </c>
    </row>
    <row r="889" ht="15.75" customHeight="1">
      <c r="A889" s="5" t="str">
        <f t="shared" si="1"/>
        <v>AD507-0887</v>
      </c>
      <c r="C889" s="5"/>
      <c r="F889" s="5"/>
      <c r="G889" s="5" t="str">
        <f t="shared" si="2"/>
        <v/>
      </c>
      <c r="H889" s="5" t="str">
        <f t="shared" si="3"/>
        <v/>
      </c>
      <c r="I889" s="5" t="str">
        <f t="shared" si="4"/>
        <v/>
      </c>
      <c r="J889" s="5" t="str">
        <f t="shared" si="5"/>
        <v/>
      </c>
      <c r="K889" s="5" t="str">
        <f>IFERROR(__xludf.DUMMYFUNCTION("IF(C889&lt;&gt;"""",HYPERLINK(""https://wa.me/507""&amp;REGEXREPLACE(C889,""[^0-9]"","""")&amp;""?text=""&amp;ENCODEURL(""Ya llegue. Codigo: ""&amp;A889&amp;"". Ubicacion: ""&amp;""https://www.google.com/maps/search/?api=1&amp;query=""&amp;SUBSTITUTE(F889,"" "","""")),""📲 Avisar al cliente"""&amp;"),"""")"),"")</f>
        <v/>
      </c>
      <c r="L889" s="5" t="str">
        <f>IFERROR(__xludf.DUMMYFUNCTION("IF(C889&lt;&gt;"""",""https://api.qrserver.com/v1/create-qr-code/?size=200x200&amp;data=""&amp;ENCODEURL(""https://wa.me/507""&amp;REGEXREPLACE(C889,""[^0-9]"","""")&amp;""?text=""&amp;ENCODEURL(""Ya llegue. Codigo: ""&amp;A889&amp;"". Ubicacion: ""&amp;""https://www.google.com/maps/search/?a"&amp;"pi=1&amp;query=""&amp;SUBSTITUTE(F889,"" "",""""))),"""")"),"")</f>
        <v/>
      </c>
      <c r="M889" s="5" t="str">
        <f t="shared" si="6"/>
        <v/>
      </c>
      <c r="N889" s="5" t="str">
        <f>IFERROR(__xludf.DUMMYFUNCTION("IF(AND(F889&lt;&gt;"""",REGEXMATCH(SUBSTITUTE(F889,"" "",""""),""^-?\d+(\.\d+)?,-?\d+(\.\d+)?$""),VALUE(REGEXEXTRACT(SUBSTITUTE(F889,"" "",""""),""^-?\d+(\.\d+)?""))&gt;=-90,VALUE(REGEXEXTRACT(SUBSTITUTE(F889,"" "",""""),""^-?\d+(\.\d+)?""))&lt;=90,VALUE(REGEXEXTRACT"&amp;"(SUBSTITUTE(F889,"" "",""""),""-?\d+(\.\d+)?$""))&gt;=-180,VALUE(REGEXEXTRACT(SUBSTITUTE(F889,"" "",""""),""-?\d+(\.\d+)?$""))&lt;=180),""OK"",""REVISAR"")"),"#N/A")</f>
        <v>#N/A</v>
      </c>
    </row>
    <row r="890" ht="15.75" customHeight="1">
      <c r="A890" s="5" t="str">
        <f t="shared" si="1"/>
        <v>AD507-0888</v>
      </c>
      <c r="C890" s="5"/>
      <c r="F890" s="5"/>
      <c r="G890" s="5" t="str">
        <f t="shared" si="2"/>
        <v/>
      </c>
      <c r="H890" s="5" t="str">
        <f t="shared" si="3"/>
        <v/>
      </c>
      <c r="I890" s="5" t="str">
        <f t="shared" si="4"/>
        <v/>
      </c>
      <c r="J890" s="5" t="str">
        <f t="shared" si="5"/>
        <v/>
      </c>
      <c r="K890" s="5" t="str">
        <f>IFERROR(__xludf.DUMMYFUNCTION("IF(C890&lt;&gt;"""",HYPERLINK(""https://wa.me/507""&amp;REGEXREPLACE(C890,""[^0-9]"","""")&amp;""?text=""&amp;ENCODEURL(""Ya llegue. Codigo: ""&amp;A890&amp;"". Ubicacion: ""&amp;""https://www.google.com/maps/search/?api=1&amp;query=""&amp;SUBSTITUTE(F890,"" "","""")),""📲 Avisar al cliente"""&amp;"),"""")"),"")</f>
        <v/>
      </c>
      <c r="L890" s="5" t="str">
        <f>IFERROR(__xludf.DUMMYFUNCTION("IF(C890&lt;&gt;"""",""https://api.qrserver.com/v1/create-qr-code/?size=200x200&amp;data=""&amp;ENCODEURL(""https://wa.me/507""&amp;REGEXREPLACE(C890,""[^0-9]"","""")&amp;""?text=""&amp;ENCODEURL(""Ya llegue. Codigo: ""&amp;A890&amp;"". Ubicacion: ""&amp;""https://www.google.com/maps/search/?a"&amp;"pi=1&amp;query=""&amp;SUBSTITUTE(F890,"" "",""""))),"""")"),"")</f>
        <v/>
      </c>
      <c r="M890" s="5" t="str">
        <f t="shared" si="6"/>
        <v/>
      </c>
      <c r="N890" s="5" t="str">
        <f>IFERROR(__xludf.DUMMYFUNCTION("IF(AND(F890&lt;&gt;"""",REGEXMATCH(SUBSTITUTE(F890,"" "",""""),""^-?\d+(\.\d+)?,-?\d+(\.\d+)?$""),VALUE(REGEXEXTRACT(SUBSTITUTE(F890,"" "",""""),""^-?\d+(\.\d+)?""))&gt;=-90,VALUE(REGEXEXTRACT(SUBSTITUTE(F890,"" "",""""),""^-?\d+(\.\d+)?""))&lt;=90,VALUE(REGEXEXTRACT"&amp;"(SUBSTITUTE(F890,"" "",""""),""-?\d+(\.\d+)?$""))&gt;=-180,VALUE(REGEXEXTRACT(SUBSTITUTE(F890,"" "",""""),""-?\d+(\.\d+)?$""))&lt;=180),""OK"",""REVISAR"")"),"#N/A")</f>
        <v>#N/A</v>
      </c>
    </row>
    <row r="891" ht="15.75" customHeight="1">
      <c r="A891" s="5" t="str">
        <f t="shared" si="1"/>
        <v>AD507-0889</v>
      </c>
      <c r="C891" s="5"/>
      <c r="F891" s="5"/>
      <c r="G891" s="5" t="str">
        <f t="shared" si="2"/>
        <v/>
      </c>
      <c r="H891" s="5" t="str">
        <f t="shared" si="3"/>
        <v/>
      </c>
      <c r="I891" s="5" t="str">
        <f t="shared" si="4"/>
        <v/>
      </c>
      <c r="J891" s="5" t="str">
        <f t="shared" si="5"/>
        <v/>
      </c>
      <c r="K891" s="5" t="str">
        <f>IFERROR(__xludf.DUMMYFUNCTION("IF(C891&lt;&gt;"""",HYPERLINK(""https://wa.me/507""&amp;REGEXREPLACE(C891,""[^0-9]"","""")&amp;""?text=""&amp;ENCODEURL(""Ya llegue. Codigo: ""&amp;A891&amp;"". Ubicacion: ""&amp;""https://www.google.com/maps/search/?api=1&amp;query=""&amp;SUBSTITUTE(F891,"" "","""")),""📲 Avisar al cliente"""&amp;"),"""")"),"")</f>
        <v/>
      </c>
      <c r="L891" s="5" t="str">
        <f>IFERROR(__xludf.DUMMYFUNCTION("IF(C891&lt;&gt;"""",""https://api.qrserver.com/v1/create-qr-code/?size=200x200&amp;data=""&amp;ENCODEURL(""https://wa.me/507""&amp;REGEXREPLACE(C891,""[^0-9]"","""")&amp;""?text=""&amp;ENCODEURL(""Ya llegue. Codigo: ""&amp;A891&amp;"". Ubicacion: ""&amp;""https://www.google.com/maps/search/?a"&amp;"pi=1&amp;query=""&amp;SUBSTITUTE(F891,"" "",""""))),"""")"),"")</f>
        <v/>
      </c>
      <c r="M891" s="5" t="str">
        <f t="shared" si="6"/>
        <v/>
      </c>
      <c r="N891" s="5" t="str">
        <f>IFERROR(__xludf.DUMMYFUNCTION("IF(AND(F891&lt;&gt;"""",REGEXMATCH(SUBSTITUTE(F891,"" "",""""),""^-?\d+(\.\d+)?,-?\d+(\.\d+)?$""),VALUE(REGEXEXTRACT(SUBSTITUTE(F891,"" "",""""),""^-?\d+(\.\d+)?""))&gt;=-90,VALUE(REGEXEXTRACT(SUBSTITUTE(F891,"" "",""""),""^-?\d+(\.\d+)?""))&lt;=90,VALUE(REGEXEXTRACT"&amp;"(SUBSTITUTE(F891,"" "",""""),""-?\d+(\.\d+)?$""))&gt;=-180,VALUE(REGEXEXTRACT(SUBSTITUTE(F891,"" "",""""),""-?\d+(\.\d+)?$""))&lt;=180),""OK"",""REVISAR"")"),"#N/A")</f>
        <v>#N/A</v>
      </c>
    </row>
    <row r="892" ht="15.75" customHeight="1">
      <c r="A892" s="5" t="str">
        <f t="shared" si="1"/>
        <v>AD507-0890</v>
      </c>
      <c r="C892" s="5"/>
      <c r="F892" s="5"/>
      <c r="G892" s="5" t="str">
        <f t="shared" si="2"/>
        <v/>
      </c>
      <c r="H892" s="5" t="str">
        <f t="shared" si="3"/>
        <v/>
      </c>
      <c r="I892" s="5" t="str">
        <f t="shared" si="4"/>
        <v/>
      </c>
      <c r="J892" s="5" t="str">
        <f t="shared" si="5"/>
        <v/>
      </c>
      <c r="K892" s="5" t="str">
        <f>IFERROR(__xludf.DUMMYFUNCTION("IF(C892&lt;&gt;"""",HYPERLINK(""https://wa.me/507""&amp;REGEXREPLACE(C892,""[^0-9]"","""")&amp;""?text=""&amp;ENCODEURL(""Ya llegue. Codigo: ""&amp;A892&amp;"". Ubicacion: ""&amp;""https://www.google.com/maps/search/?api=1&amp;query=""&amp;SUBSTITUTE(F892,"" "","""")),""📲 Avisar al cliente"""&amp;"),"""")"),"")</f>
        <v/>
      </c>
      <c r="L892" s="5" t="str">
        <f>IFERROR(__xludf.DUMMYFUNCTION("IF(C892&lt;&gt;"""",""https://api.qrserver.com/v1/create-qr-code/?size=200x200&amp;data=""&amp;ENCODEURL(""https://wa.me/507""&amp;REGEXREPLACE(C892,""[^0-9]"","""")&amp;""?text=""&amp;ENCODEURL(""Ya llegue. Codigo: ""&amp;A892&amp;"". Ubicacion: ""&amp;""https://www.google.com/maps/search/?a"&amp;"pi=1&amp;query=""&amp;SUBSTITUTE(F892,"" "",""""))),"""")"),"")</f>
        <v/>
      </c>
      <c r="M892" s="5" t="str">
        <f t="shared" si="6"/>
        <v/>
      </c>
      <c r="N892" s="5" t="str">
        <f>IFERROR(__xludf.DUMMYFUNCTION("IF(AND(F892&lt;&gt;"""",REGEXMATCH(SUBSTITUTE(F892,"" "",""""),""^-?\d+(\.\d+)?,-?\d+(\.\d+)?$""),VALUE(REGEXEXTRACT(SUBSTITUTE(F892,"" "",""""),""^-?\d+(\.\d+)?""))&gt;=-90,VALUE(REGEXEXTRACT(SUBSTITUTE(F892,"" "",""""),""^-?\d+(\.\d+)?""))&lt;=90,VALUE(REGEXEXTRACT"&amp;"(SUBSTITUTE(F892,"" "",""""),""-?\d+(\.\d+)?$""))&gt;=-180,VALUE(REGEXEXTRACT(SUBSTITUTE(F892,"" "",""""),""-?\d+(\.\d+)?$""))&lt;=180),""OK"",""REVISAR"")"),"#N/A")</f>
        <v>#N/A</v>
      </c>
    </row>
    <row r="893" ht="15.75" customHeight="1">
      <c r="A893" s="5" t="str">
        <f t="shared" si="1"/>
        <v>AD507-0891</v>
      </c>
      <c r="C893" s="5"/>
      <c r="F893" s="5"/>
      <c r="G893" s="5" t="str">
        <f t="shared" si="2"/>
        <v/>
      </c>
      <c r="H893" s="5" t="str">
        <f t="shared" si="3"/>
        <v/>
      </c>
      <c r="I893" s="5" t="str">
        <f t="shared" si="4"/>
        <v/>
      </c>
      <c r="J893" s="5" t="str">
        <f t="shared" si="5"/>
        <v/>
      </c>
      <c r="K893" s="5" t="str">
        <f>IFERROR(__xludf.DUMMYFUNCTION("IF(C893&lt;&gt;"""",HYPERLINK(""https://wa.me/507""&amp;REGEXREPLACE(C893,""[^0-9]"","""")&amp;""?text=""&amp;ENCODEURL(""Ya llegue. Codigo: ""&amp;A893&amp;"". Ubicacion: ""&amp;""https://www.google.com/maps/search/?api=1&amp;query=""&amp;SUBSTITUTE(F893,"" "","""")),""📲 Avisar al cliente"""&amp;"),"""")"),"")</f>
        <v/>
      </c>
      <c r="L893" s="5" t="str">
        <f>IFERROR(__xludf.DUMMYFUNCTION("IF(C893&lt;&gt;"""",""https://api.qrserver.com/v1/create-qr-code/?size=200x200&amp;data=""&amp;ENCODEURL(""https://wa.me/507""&amp;REGEXREPLACE(C893,""[^0-9]"","""")&amp;""?text=""&amp;ENCODEURL(""Ya llegue. Codigo: ""&amp;A893&amp;"". Ubicacion: ""&amp;""https://www.google.com/maps/search/?a"&amp;"pi=1&amp;query=""&amp;SUBSTITUTE(F893,"" "",""""))),"""")"),"")</f>
        <v/>
      </c>
      <c r="M893" s="5" t="str">
        <f t="shared" si="6"/>
        <v/>
      </c>
      <c r="N893" s="5" t="str">
        <f>IFERROR(__xludf.DUMMYFUNCTION("IF(AND(F893&lt;&gt;"""",REGEXMATCH(SUBSTITUTE(F893,"" "",""""),""^-?\d+(\.\d+)?,-?\d+(\.\d+)?$""),VALUE(REGEXEXTRACT(SUBSTITUTE(F893,"" "",""""),""^-?\d+(\.\d+)?""))&gt;=-90,VALUE(REGEXEXTRACT(SUBSTITUTE(F893,"" "",""""),""^-?\d+(\.\d+)?""))&lt;=90,VALUE(REGEXEXTRACT"&amp;"(SUBSTITUTE(F893,"" "",""""),""-?\d+(\.\d+)?$""))&gt;=-180,VALUE(REGEXEXTRACT(SUBSTITUTE(F893,"" "",""""),""-?\d+(\.\d+)?$""))&lt;=180),""OK"",""REVISAR"")"),"#N/A")</f>
        <v>#N/A</v>
      </c>
    </row>
    <row r="894" ht="15.75" customHeight="1">
      <c r="A894" s="5" t="str">
        <f t="shared" si="1"/>
        <v>AD507-0892</v>
      </c>
      <c r="C894" s="5"/>
      <c r="F894" s="5"/>
      <c r="G894" s="5" t="str">
        <f t="shared" si="2"/>
        <v/>
      </c>
      <c r="H894" s="5" t="str">
        <f t="shared" si="3"/>
        <v/>
      </c>
      <c r="I894" s="5" t="str">
        <f t="shared" si="4"/>
        <v/>
      </c>
      <c r="J894" s="5" t="str">
        <f t="shared" si="5"/>
        <v/>
      </c>
      <c r="K894" s="5" t="str">
        <f>IFERROR(__xludf.DUMMYFUNCTION("IF(C894&lt;&gt;"""",HYPERLINK(""https://wa.me/507""&amp;REGEXREPLACE(C894,""[^0-9]"","""")&amp;""?text=""&amp;ENCODEURL(""Ya llegue. Codigo: ""&amp;A894&amp;"". Ubicacion: ""&amp;""https://www.google.com/maps/search/?api=1&amp;query=""&amp;SUBSTITUTE(F894,"" "","""")),""📲 Avisar al cliente"""&amp;"),"""")"),"")</f>
        <v/>
      </c>
      <c r="L894" s="5" t="str">
        <f>IFERROR(__xludf.DUMMYFUNCTION("IF(C894&lt;&gt;"""",""https://api.qrserver.com/v1/create-qr-code/?size=200x200&amp;data=""&amp;ENCODEURL(""https://wa.me/507""&amp;REGEXREPLACE(C894,""[^0-9]"","""")&amp;""?text=""&amp;ENCODEURL(""Ya llegue. Codigo: ""&amp;A894&amp;"". Ubicacion: ""&amp;""https://www.google.com/maps/search/?a"&amp;"pi=1&amp;query=""&amp;SUBSTITUTE(F894,"" "",""""))),"""")"),"")</f>
        <v/>
      </c>
      <c r="M894" s="5" t="str">
        <f t="shared" si="6"/>
        <v/>
      </c>
      <c r="N894" s="5" t="str">
        <f>IFERROR(__xludf.DUMMYFUNCTION("IF(AND(F894&lt;&gt;"""",REGEXMATCH(SUBSTITUTE(F894,"" "",""""),""^-?\d+(\.\d+)?,-?\d+(\.\d+)?$""),VALUE(REGEXEXTRACT(SUBSTITUTE(F894,"" "",""""),""^-?\d+(\.\d+)?""))&gt;=-90,VALUE(REGEXEXTRACT(SUBSTITUTE(F894,"" "",""""),""^-?\d+(\.\d+)?""))&lt;=90,VALUE(REGEXEXTRACT"&amp;"(SUBSTITUTE(F894,"" "",""""),""-?\d+(\.\d+)?$""))&gt;=-180,VALUE(REGEXEXTRACT(SUBSTITUTE(F894,"" "",""""),""-?\d+(\.\d+)?$""))&lt;=180),""OK"",""REVISAR"")"),"#N/A")</f>
        <v>#N/A</v>
      </c>
    </row>
    <row r="895" ht="15.75" customHeight="1">
      <c r="A895" s="5" t="str">
        <f t="shared" si="1"/>
        <v>AD507-0893</v>
      </c>
      <c r="C895" s="5"/>
      <c r="F895" s="5"/>
      <c r="G895" s="5" t="str">
        <f t="shared" si="2"/>
        <v/>
      </c>
      <c r="H895" s="5" t="str">
        <f t="shared" si="3"/>
        <v/>
      </c>
      <c r="I895" s="5" t="str">
        <f t="shared" si="4"/>
        <v/>
      </c>
      <c r="J895" s="5" t="str">
        <f t="shared" si="5"/>
        <v/>
      </c>
      <c r="K895" s="5" t="str">
        <f>IFERROR(__xludf.DUMMYFUNCTION("IF(C895&lt;&gt;"""",HYPERLINK(""https://wa.me/507""&amp;REGEXREPLACE(C895,""[^0-9]"","""")&amp;""?text=""&amp;ENCODEURL(""Ya llegue. Codigo: ""&amp;A895&amp;"". Ubicacion: ""&amp;""https://www.google.com/maps/search/?api=1&amp;query=""&amp;SUBSTITUTE(F895,"" "","""")),""📲 Avisar al cliente"""&amp;"),"""")"),"")</f>
        <v/>
      </c>
      <c r="L895" s="5" t="str">
        <f>IFERROR(__xludf.DUMMYFUNCTION("IF(C895&lt;&gt;"""",""https://api.qrserver.com/v1/create-qr-code/?size=200x200&amp;data=""&amp;ENCODEURL(""https://wa.me/507""&amp;REGEXREPLACE(C895,""[^0-9]"","""")&amp;""?text=""&amp;ENCODEURL(""Ya llegue. Codigo: ""&amp;A895&amp;"". Ubicacion: ""&amp;""https://www.google.com/maps/search/?a"&amp;"pi=1&amp;query=""&amp;SUBSTITUTE(F895,"" "",""""))),"""")"),"")</f>
        <v/>
      </c>
      <c r="M895" s="5" t="str">
        <f t="shared" si="6"/>
        <v/>
      </c>
      <c r="N895" s="5" t="str">
        <f>IFERROR(__xludf.DUMMYFUNCTION("IF(AND(F895&lt;&gt;"""",REGEXMATCH(SUBSTITUTE(F895,"" "",""""),""^-?\d+(\.\d+)?,-?\d+(\.\d+)?$""),VALUE(REGEXEXTRACT(SUBSTITUTE(F895,"" "",""""),""^-?\d+(\.\d+)?""))&gt;=-90,VALUE(REGEXEXTRACT(SUBSTITUTE(F895,"" "",""""),""^-?\d+(\.\d+)?""))&lt;=90,VALUE(REGEXEXTRACT"&amp;"(SUBSTITUTE(F895,"" "",""""),""-?\d+(\.\d+)?$""))&gt;=-180,VALUE(REGEXEXTRACT(SUBSTITUTE(F895,"" "",""""),""-?\d+(\.\d+)?$""))&lt;=180),""OK"",""REVISAR"")"),"#N/A")</f>
        <v>#N/A</v>
      </c>
    </row>
    <row r="896" ht="15.75" customHeight="1">
      <c r="A896" s="5" t="str">
        <f t="shared" si="1"/>
        <v>AD507-0894</v>
      </c>
      <c r="C896" s="5"/>
      <c r="F896" s="5"/>
      <c r="G896" s="5" t="str">
        <f t="shared" si="2"/>
        <v/>
      </c>
      <c r="H896" s="5" t="str">
        <f t="shared" si="3"/>
        <v/>
      </c>
      <c r="I896" s="5" t="str">
        <f t="shared" si="4"/>
        <v/>
      </c>
      <c r="J896" s="5" t="str">
        <f t="shared" si="5"/>
        <v/>
      </c>
      <c r="K896" s="5" t="str">
        <f>IFERROR(__xludf.DUMMYFUNCTION("IF(C896&lt;&gt;"""",HYPERLINK(""https://wa.me/507""&amp;REGEXREPLACE(C896,""[^0-9]"","""")&amp;""?text=""&amp;ENCODEURL(""Ya llegue. Codigo: ""&amp;A896&amp;"". Ubicacion: ""&amp;""https://www.google.com/maps/search/?api=1&amp;query=""&amp;SUBSTITUTE(F896,"" "","""")),""📲 Avisar al cliente"""&amp;"),"""")"),"")</f>
        <v/>
      </c>
      <c r="L896" s="5" t="str">
        <f>IFERROR(__xludf.DUMMYFUNCTION("IF(C896&lt;&gt;"""",""https://api.qrserver.com/v1/create-qr-code/?size=200x200&amp;data=""&amp;ENCODEURL(""https://wa.me/507""&amp;REGEXREPLACE(C896,""[^0-9]"","""")&amp;""?text=""&amp;ENCODEURL(""Ya llegue. Codigo: ""&amp;A896&amp;"". Ubicacion: ""&amp;""https://www.google.com/maps/search/?a"&amp;"pi=1&amp;query=""&amp;SUBSTITUTE(F896,"" "",""""))),"""")"),"")</f>
        <v/>
      </c>
      <c r="M896" s="5" t="str">
        <f t="shared" si="6"/>
        <v/>
      </c>
      <c r="N896" s="5" t="str">
        <f>IFERROR(__xludf.DUMMYFUNCTION("IF(AND(F896&lt;&gt;"""",REGEXMATCH(SUBSTITUTE(F896,"" "",""""),""^-?\d+(\.\d+)?,-?\d+(\.\d+)?$""),VALUE(REGEXEXTRACT(SUBSTITUTE(F896,"" "",""""),""^-?\d+(\.\d+)?""))&gt;=-90,VALUE(REGEXEXTRACT(SUBSTITUTE(F896,"" "",""""),""^-?\d+(\.\d+)?""))&lt;=90,VALUE(REGEXEXTRACT"&amp;"(SUBSTITUTE(F896,"" "",""""),""-?\d+(\.\d+)?$""))&gt;=-180,VALUE(REGEXEXTRACT(SUBSTITUTE(F896,"" "",""""),""-?\d+(\.\d+)?$""))&lt;=180),""OK"",""REVISAR"")"),"#N/A")</f>
        <v>#N/A</v>
      </c>
    </row>
    <row r="897" ht="15.75" customHeight="1">
      <c r="A897" s="5" t="str">
        <f t="shared" si="1"/>
        <v>AD507-0895</v>
      </c>
      <c r="C897" s="5"/>
      <c r="F897" s="5"/>
      <c r="G897" s="5" t="str">
        <f t="shared" si="2"/>
        <v/>
      </c>
      <c r="H897" s="5" t="str">
        <f t="shared" si="3"/>
        <v/>
      </c>
      <c r="I897" s="5" t="str">
        <f t="shared" si="4"/>
        <v/>
      </c>
      <c r="J897" s="5" t="str">
        <f t="shared" si="5"/>
        <v/>
      </c>
      <c r="K897" s="5" t="str">
        <f>IFERROR(__xludf.DUMMYFUNCTION("IF(C897&lt;&gt;"""",HYPERLINK(""https://wa.me/507""&amp;REGEXREPLACE(C897,""[^0-9]"","""")&amp;""?text=""&amp;ENCODEURL(""Ya llegue. Codigo: ""&amp;A897&amp;"". Ubicacion: ""&amp;""https://www.google.com/maps/search/?api=1&amp;query=""&amp;SUBSTITUTE(F897,"" "","""")),""📲 Avisar al cliente"""&amp;"),"""")"),"")</f>
        <v/>
      </c>
      <c r="L897" s="5" t="str">
        <f>IFERROR(__xludf.DUMMYFUNCTION("IF(C897&lt;&gt;"""",""https://api.qrserver.com/v1/create-qr-code/?size=200x200&amp;data=""&amp;ENCODEURL(""https://wa.me/507""&amp;REGEXREPLACE(C897,""[^0-9]"","""")&amp;""?text=""&amp;ENCODEURL(""Ya llegue. Codigo: ""&amp;A897&amp;"". Ubicacion: ""&amp;""https://www.google.com/maps/search/?a"&amp;"pi=1&amp;query=""&amp;SUBSTITUTE(F897,"" "",""""))),"""")"),"")</f>
        <v/>
      </c>
      <c r="M897" s="5" t="str">
        <f t="shared" si="6"/>
        <v/>
      </c>
      <c r="N897" s="5" t="str">
        <f>IFERROR(__xludf.DUMMYFUNCTION("IF(AND(F897&lt;&gt;"""",REGEXMATCH(SUBSTITUTE(F897,"" "",""""),""^-?\d+(\.\d+)?,-?\d+(\.\d+)?$""),VALUE(REGEXEXTRACT(SUBSTITUTE(F897,"" "",""""),""^-?\d+(\.\d+)?""))&gt;=-90,VALUE(REGEXEXTRACT(SUBSTITUTE(F897,"" "",""""),""^-?\d+(\.\d+)?""))&lt;=90,VALUE(REGEXEXTRACT"&amp;"(SUBSTITUTE(F897,"" "",""""),""-?\d+(\.\d+)?$""))&gt;=-180,VALUE(REGEXEXTRACT(SUBSTITUTE(F897,"" "",""""),""-?\d+(\.\d+)?$""))&lt;=180),""OK"",""REVISAR"")"),"#N/A")</f>
        <v>#N/A</v>
      </c>
    </row>
    <row r="898" ht="15.75" customHeight="1">
      <c r="A898" s="5" t="str">
        <f t="shared" si="1"/>
        <v>AD507-0896</v>
      </c>
      <c r="C898" s="5"/>
      <c r="F898" s="5"/>
      <c r="G898" s="5" t="str">
        <f t="shared" si="2"/>
        <v/>
      </c>
      <c r="H898" s="5" t="str">
        <f t="shared" si="3"/>
        <v/>
      </c>
      <c r="I898" s="5" t="str">
        <f t="shared" si="4"/>
        <v/>
      </c>
      <c r="J898" s="5" t="str">
        <f t="shared" si="5"/>
        <v/>
      </c>
      <c r="K898" s="5" t="str">
        <f>IFERROR(__xludf.DUMMYFUNCTION("IF(C898&lt;&gt;"""",HYPERLINK(""https://wa.me/507""&amp;REGEXREPLACE(C898,""[^0-9]"","""")&amp;""?text=""&amp;ENCODEURL(""Ya llegue. Codigo: ""&amp;A898&amp;"". Ubicacion: ""&amp;""https://www.google.com/maps/search/?api=1&amp;query=""&amp;SUBSTITUTE(F898,"" "","""")),""📲 Avisar al cliente"""&amp;"),"""")"),"")</f>
        <v/>
      </c>
      <c r="L898" s="5" t="str">
        <f>IFERROR(__xludf.DUMMYFUNCTION("IF(C898&lt;&gt;"""",""https://api.qrserver.com/v1/create-qr-code/?size=200x200&amp;data=""&amp;ENCODEURL(""https://wa.me/507""&amp;REGEXREPLACE(C898,""[^0-9]"","""")&amp;""?text=""&amp;ENCODEURL(""Ya llegue. Codigo: ""&amp;A898&amp;"". Ubicacion: ""&amp;""https://www.google.com/maps/search/?a"&amp;"pi=1&amp;query=""&amp;SUBSTITUTE(F898,"" "",""""))),"""")"),"")</f>
        <v/>
      </c>
      <c r="M898" s="5" t="str">
        <f t="shared" si="6"/>
        <v/>
      </c>
      <c r="N898" s="5" t="str">
        <f>IFERROR(__xludf.DUMMYFUNCTION("IF(AND(F898&lt;&gt;"""",REGEXMATCH(SUBSTITUTE(F898,"" "",""""),""^-?\d+(\.\d+)?,-?\d+(\.\d+)?$""),VALUE(REGEXEXTRACT(SUBSTITUTE(F898,"" "",""""),""^-?\d+(\.\d+)?""))&gt;=-90,VALUE(REGEXEXTRACT(SUBSTITUTE(F898,"" "",""""),""^-?\d+(\.\d+)?""))&lt;=90,VALUE(REGEXEXTRACT"&amp;"(SUBSTITUTE(F898,"" "",""""),""-?\d+(\.\d+)?$""))&gt;=-180,VALUE(REGEXEXTRACT(SUBSTITUTE(F898,"" "",""""),""-?\d+(\.\d+)?$""))&lt;=180),""OK"",""REVISAR"")"),"#N/A")</f>
        <v>#N/A</v>
      </c>
    </row>
    <row r="899" ht="15.75" customHeight="1">
      <c r="A899" s="5" t="str">
        <f t="shared" si="1"/>
        <v>AD507-0897</v>
      </c>
      <c r="C899" s="5"/>
      <c r="F899" s="5"/>
      <c r="G899" s="5" t="str">
        <f t="shared" si="2"/>
        <v/>
      </c>
      <c r="H899" s="5" t="str">
        <f t="shared" si="3"/>
        <v/>
      </c>
      <c r="I899" s="5" t="str">
        <f t="shared" si="4"/>
        <v/>
      </c>
      <c r="J899" s="5" t="str">
        <f t="shared" si="5"/>
        <v/>
      </c>
      <c r="K899" s="5" t="str">
        <f>IFERROR(__xludf.DUMMYFUNCTION("IF(C899&lt;&gt;"""",HYPERLINK(""https://wa.me/507""&amp;REGEXREPLACE(C899,""[^0-9]"","""")&amp;""?text=""&amp;ENCODEURL(""Ya llegue. Codigo: ""&amp;A899&amp;"". Ubicacion: ""&amp;""https://www.google.com/maps/search/?api=1&amp;query=""&amp;SUBSTITUTE(F899,"" "","""")),""📲 Avisar al cliente"""&amp;"),"""")"),"")</f>
        <v/>
      </c>
      <c r="L899" s="5" t="str">
        <f>IFERROR(__xludf.DUMMYFUNCTION("IF(C899&lt;&gt;"""",""https://api.qrserver.com/v1/create-qr-code/?size=200x200&amp;data=""&amp;ENCODEURL(""https://wa.me/507""&amp;REGEXREPLACE(C899,""[^0-9]"","""")&amp;""?text=""&amp;ENCODEURL(""Ya llegue. Codigo: ""&amp;A899&amp;"". Ubicacion: ""&amp;""https://www.google.com/maps/search/?a"&amp;"pi=1&amp;query=""&amp;SUBSTITUTE(F899,"" "",""""))),"""")"),"")</f>
        <v/>
      </c>
      <c r="M899" s="5" t="str">
        <f t="shared" si="6"/>
        <v/>
      </c>
      <c r="N899" s="5" t="str">
        <f>IFERROR(__xludf.DUMMYFUNCTION("IF(AND(F899&lt;&gt;"""",REGEXMATCH(SUBSTITUTE(F899,"" "",""""),""^-?\d+(\.\d+)?,-?\d+(\.\d+)?$""),VALUE(REGEXEXTRACT(SUBSTITUTE(F899,"" "",""""),""^-?\d+(\.\d+)?""))&gt;=-90,VALUE(REGEXEXTRACT(SUBSTITUTE(F899,"" "",""""),""^-?\d+(\.\d+)?""))&lt;=90,VALUE(REGEXEXTRACT"&amp;"(SUBSTITUTE(F899,"" "",""""),""-?\d+(\.\d+)?$""))&gt;=-180,VALUE(REGEXEXTRACT(SUBSTITUTE(F899,"" "",""""),""-?\d+(\.\d+)?$""))&lt;=180),""OK"",""REVISAR"")"),"#N/A")</f>
        <v>#N/A</v>
      </c>
    </row>
    <row r="900" ht="15.75" customHeight="1">
      <c r="A900" s="5" t="str">
        <f t="shared" si="1"/>
        <v>AD507-0898</v>
      </c>
      <c r="C900" s="5"/>
      <c r="F900" s="5"/>
      <c r="G900" s="5" t="str">
        <f t="shared" si="2"/>
        <v/>
      </c>
      <c r="H900" s="5" t="str">
        <f t="shared" si="3"/>
        <v/>
      </c>
      <c r="I900" s="5" t="str">
        <f t="shared" si="4"/>
        <v/>
      </c>
      <c r="J900" s="5" t="str">
        <f t="shared" si="5"/>
        <v/>
      </c>
      <c r="K900" s="5" t="str">
        <f>IFERROR(__xludf.DUMMYFUNCTION("IF(C900&lt;&gt;"""",HYPERLINK(""https://wa.me/507""&amp;REGEXREPLACE(C900,""[^0-9]"","""")&amp;""?text=""&amp;ENCODEURL(""Ya llegue. Codigo: ""&amp;A900&amp;"". Ubicacion: ""&amp;""https://www.google.com/maps/search/?api=1&amp;query=""&amp;SUBSTITUTE(F900,"" "","""")),""📲 Avisar al cliente"""&amp;"),"""")"),"")</f>
        <v/>
      </c>
      <c r="L900" s="5" t="str">
        <f>IFERROR(__xludf.DUMMYFUNCTION("IF(C900&lt;&gt;"""",""https://api.qrserver.com/v1/create-qr-code/?size=200x200&amp;data=""&amp;ENCODEURL(""https://wa.me/507""&amp;REGEXREPLACE(C900,""[^0-9]"","""")&amp;""?text=""&amp;ENCODEURL(""Ya llegue. Codigo: ""&amp;A900&amp;"". Ubicacion: ""&amp;""https://www.google.com/maps/search/?a"&amp;"pi=1&amp;query=""&amp;SUBSTITUTE(F900,"" "",""""))),"""")"),"")</f>
        <v/>
      </c>
      <c r="M900" s="5" t="str">
        <f t="shared" si="6"/>
        <v/>
      </c>
      <c r="N900" s="5" t="str">
        <f>IFERROR(__xludf.DUMMYFUNCTION("IF(AND(F900&lt;&gt;"""",REGEXMATCH(SUBSTITUTE(F900,"" "",""""),""^-?\d+(\.\d+)?,-?\d+(\.\d+)?$""),VALUE(REGEXEXTRACT(SUBSTITUTE(F900,"" "",""""),""^-?\d+(\.\d+)?""))&gt;=-90,VALUE(REGEXEXTRACT(SUBSTITUTE(F900,"" "",""""),""^-?\d+(\.\d+)?""))&lt;=90,VALUE(REGEXEXTRACT"&amp;"(SUBSTITUTE(F900,"" "",""""),""-?\d+(\.\d+)?$""))&gt;=-180,VALUE(REGEXEXTRACT(SUBSTITUTE(F900,"" "",""""),""-?\d+(\.\d+)?$""))&lt;=180),""OK"",""REVISAR"")"),"#N/A")</f>
        <v>#N/A</v>
      </c>
    </row>
    <row r="901" ht="15.75" customHeight="1">
      <c r="A901" s="5" t="str">
        <f t="shared" si="1"/>
        <v>AD507-0899</v>
      </c>
      <c r="C901" s="5"/>
      <c r="F901" s="5"/>
      <c r="G901" s="5" t="str">
        <f t="shared" si="2"/>
        <v/>
      </c>
      <c r="H901" s="5" t="str">
        <f t="shared" si="3"/>
        <v/>
      </c>
      <c r="I901" s="5" t="str">
        <f t="shared" si="4"/>
        <v/>
      </c>
      <c r="J901" s="5" t="str">
        <f t="shared" si="5"/>
        <v/>
      </c>
      <c r="K901" s="5" t="str">
        <f>IFERROR(__xludf.DUMMYFUNCTION("IF(C901&lt;&gt;"""",HYPERLINK(""https://wa.me/507""&amp;REGEXREPLACE(C901,""[^0-9]"","""")&amp;""?text=""&amp;ENCODEURL(""Ya llegue. Codigo: ""&amp;A901&amp;"". Ubicacion: ""&amp;""https://www.google.com/maps/search/?api=1&amp;query=""&amp;SUBSTITUTE(F901,"" "","""")),""📲 Avisar al cliente"""&amp;"),"""")"),"")</f>
        <v/>
      </c>
      <c r="L901" s="5" t="str">
        <f>IFERROR(__xludf.DUMMYFUNCTION("IF(C901&lt;&gt;"""",""https://api.qrserver.com/v1/create-qr-code/?size=200x200&amp;data=""&amp;ENCODEURL(""https://wa.me/507""&amp;REGEXREPLACE(C901,""[^0-9]"","""")&amp;""?text=""&amp;ENCODEURL(""Ya llegue. Codigo: ""&amp;A901&amp;"". Ubicacion: ""&amp;""https://www.google.com/maps/search/?a"&amp;"pi=1&amp;query=""&amp;SUBSTITUTE(F901,"" "",""""))),"""")"),"")</f>
        <v/>
      </c>
      <c r="M901" s="5" t="str">
        <f t="shared" si="6"/>
        <v/>
      </c>
      <c r="N901" s="5" t="str">
        <f>IFERROR(__xludf.DUMMYFUNCTION("IF(AND(F901&lt;&gt;"""",REGEXMATCH(SUBSTITUTE(F901,"" "",""""),""^-?\d+(\.\d+)?,-?\d+(\.\d+)?$""),VALUE(REGEXEXTRACT(SUBSTITUTE(F901,"" "",""""),""^-?\d+(\.\d+)?""))&gt;=-90,VALUE(REGEXEXTRACT(SUBSTITUTE(F901,"" "",""""),""^-?\d+(\.\d+)?""))&lt;=90,VALUE(REGEXEXTRACT"&amp;"(SUBSTITUTE(F901,"" "",""""),""-?\d+(\.\d+)?$""))&gt;=-180,VALUE(REGEXEXTRACT(SUBSTITUTE(F901,"" "",""""),""-?\d+(\.\d+)?$""))&lt;=180),""OK"",""REVISAR"")"),"#N/A")</f>
        <v>#N/A</v>
      </c>
    </row>
    <row r="902" ht="15.75" customHeight="1">
      <c r="A902" s="5" t="str">
        <f t="shared" si="1"/>
        <v>AD507-0900</v>
      </c>
      <c r="C902" s="5"/>
      <c r="F902" s="5"/>
      <c r="G902" s="5" t="str">
        <f t="shared" si="2"/>
        <v/>
      </c>
      <c r="H902" s="5" t="str">
        <f t="shared" si="3"/>
        <v/>
      </c>
      <c r="I902" s="5" t="str">
        <f t="shared" si="4"/>
        <v/>
      </c>
      <c r="J902" s="5" t="str">
        <f t="shared" si="5"/>
        <v/>
      </c>
      <c r="K902" s="5" t="str">
        <f>IFERROR(__xludf.DUMMYFUNCTION("IF(C902&lt;&gt;"""",HYPERLINK(""https://wa.me/507""&amp;REGEXREPLACE(C902,""[^0-9]"","""")&amp;""?text=""&amp;ENCODEURL(""Ya llegue. Codigo: ""&amp;A902&amp;"". Ubicacion: ""&amp;""https://www.google.com/maps/search/?api=1&amp;query=""&amp;SUBSTITUTE(F902,"" "","""")),""📲 Avisar al cliente"""&amp;"),"""")"),"")</f>
        <v/>
      </c>
      <c r="L902" s="5" t="str">
        <f>IFERROR(__xludf.DUMMYFUNCTION("IF(C902&lt;&gt;"""",""https://api.qrserver.com/v1/create-qr-code/?size=200x200&amp;data=""&amp;ENCODEURL(""https://wa.me/507""&amp;REGEXREPLACE(C902,""[^0-9]"","""")&amp;""?text=""&amp;ENCODEURL(""Ya llegue. Codigo: ""&amp;A902&amp;"". Ubicacion: ""&amp;""https://www.google.com/maps/search/?a"&amp;"pi=1&amp;query=""&amp;SUBSTITUTE(F902,"" "",""""))),"""")"),"")</f>
        <v/>
      </c>
      <c r="M902" s="5" t="str">
        <f t="shared" si="6"/>
        <v/>
      </c>
      <c r="N902" s="5" t="str">
        <f>IFERROR(__xludf.DUMMYFUNCTION("IF(AND(F902&lt;&gt;"""",REGEXMATCH(SUBSTITUTE(F902,"" "",""""),""^-?\d+(\.\d+)?,-?\d+(\.\d+)?$""),VALUE(REGEXEXTRACT(SUBSTITUTE(F902,"" "",""""),""^-?\d+(\.\d+)?""))&gt;=-90,VALUE(REGEXEXTRACT(SUBSTITUTE(F902,"" "",""""),""^-?\d+(\.\d+)?""))&lt;=90,VALUE(REGEXEXTRACT"&amp;"(SUBSTITUTE(F902,"" "",""""),""-?\d+(\.\d+)?$""))&gt;=-180,VALUE(REGEXEXTRACT(SUBSTITUTE(F902,"" "",""""),""-?\d+(\.\d+)?$""))&lt;=180),""OK"",""REVISAR"")"),"#N/A")</f>
        <v>#N/A</v>
      </c>
    </row>
    <row r="903" ht="15.75" customHeight="1">
      <c r="A903" s="5" t="str">
        <f t="shared" si="1"/>
        <v>AD507-0901</v>
      </c>
      <c r="C903" s="5"/>
      <c r="F903" s="5"/>
      <c r="G903" s="5" t="str">
        <f t="shared" si="2"/>
        <v/>
      </c>
      <c r="H903" s="5" t="str">
        <f t="shared" si="3"/>
        <v/>
      </c>
      <c r="I903" s="5" t="str">
        <f t="shared" si="4"/>
        <v/>
      </c>
      <c r="J903" s="5" t="str">
        <f t="shared" si="5"/>
        <v/>
      </c>
      <c r="K903" s="5" t="str">
        <f>IFERROR(__xludf.DUMMYFUNCTION("IF(C903&lt;&gt;"""",HYPERLINK(""https://wa.me/507""&amp;REGEXREPLACE(C903,""[^0-9]"","""")&amp;""?text=""&amp;ENCODEURL(""Ya llegue. Codigo: ""&amp;A903&amp;"". Ubicacion: ""&amp;""https://www.google.com/maps/search/?api=1&amp;query=""&amp;SUBSTITUTE(F903,"" "","""")),""📲 Avisar al cliente"""&amp;"),"""")"),"")</f>
        <v/>
      </c>
      <c r="L903" s="5" t="str">
        <f>IFERROR(__xludf.DUMMYFUNCTION("IF(C903&lt;&gt;"""",""https://api.qrserver.com/v1/create-qr-code/?size=200x200&amp;data=""&amp;ENCODEURL(""https://wa.me/507""&amp;REGEXREPLACE(C903,""[^0-9]"","""")&amp;""?text=""&amp;ENCODEURL(""Ya llegue. Codigo: ""&amp;A903&amp;"". Ubicacion: ""&amp;""https://www.google.com/maps/search/?a"&amp;"pi=1&amp;query=""&amp;SUBSTITUTE(F903,"" "",""""))),"""")"),"")</f>
        <v/>
      </c>
      <c r="M903" s="5" t="str">
        <f t="shared" si="6"/>
        <v/>
      </c>
      <c r="N903" s="5" t="str">
        <f>IFERROR(__xludf.DUMMYFUNCTION("IF(AND(F903&lt;&gt;"""",REGEXMATCH(SUBSTITUTE(F903,"" "",""""),""^-?\d+(\.\d+)?,-?\d+(\.\d+)?$""),VALUE(REGEXEXTRACT(SUBSTITUTE(F903,"" "",""""),""^-?\d+(\.\d+)?""))&gt;=-90,VALUE(REGEXEXTRACT(SUBSTITUTE(F903,"" "",""""),""^-?\d+(\.\d+)?""))&lt;=90,VALUE(REGEXEXTRACT"&amp;"(SUBSTITUTE(F903,"" "",""""),""-?\d+(\.\d+)?$""))&gt;=-180,VALUE(REGEXEXTRACT(SUBSTITUTE(F903,"" "",""""),""-?\d+(\.\d+)?$""))&lt;=180),""OK"",""REVISAR"")"),"#N/A")</f>
        <v>#N/A</v>
      </c>
    </row>
    <row r="904" ht="15.75" customHeight="1">
      <c r="A904" s="5" t="str">
        <f t="shared" si="1"/>
        <v>AD507-0902</v>
      </c>
      <c r="C904" s="5"/>
      <c r="F904" s="5"/>
      <c r="G904" s="5" t="str">
        <f t="shared" si="2"/>
        <v/>
      </c>
      <c r="H904" s="5" t="str">
        <f t="shared" si="3"/>
        <v/>
      </c>
      <c r="I904" s="5" t="str">
        <f t="shared" si="4"/>
        <v/>
      </c>
      <c r="J904" s="5" t="str">
        <f t="shared" si="5"/>
        <v/>
      </c>
      <c r="K904" s="5" t="str">
        <f>IFERROR(__xludf.DUMMYFUNCTION("IF(C904&lt;&gt;"""",HYPERLINK(""https://wa.me/507""&amp;REGEXREPLACE(C904,""[^0-9]"","""")&amp;""?text=""&amp;ENCODEURL(""Ya llegue. Codigo: ""&amp;A904&amp;"". Ubicacion: ""&amp;""https://www.google.com/maps/search/?api=1&amp;query=""&amp;SUBSTITUTE(F904,"" "","""")),""📲 Avisar al cliente"""&amp;"),"""")"),"")</f>
        <v/>
      </c>
      <c r="L904" s="5" t="str">
        <f>IFERROR(__xludf.DUMMYFUNCTION("IF(C904&lt;&gt;"""",""https://api.qrserver.com/v1/create-qr-code/?size=200x200&amp;data=""&amp;ENCODEURL(""https://wa.me/507""&amp;REGEXREPLACE(C904,""[^0-9]"","""")&amp;""?text=""&amp;ENCODEURL(""Ya llegue. Codigo: ""&amp;A904&amp;"". Ubicacion: ""&amp;""https://www.google.com/maps/search/?a"&amp;"pi=1&amp;query=""&amp;SUBSTITUTE(F904,"" "",""""))),"""")"),"")</f>
        <v/>
      </c>
      <c r="M904" s="5" t="str">
        <f t="shared" si="6"/>
        <v/>
      </c>
      <c r="N904" s="5" t="str">
        <f>IFERROR(__xludf.DUMMYFUNCTION("IF(AND(F904&lt;&gt;"""",REGEXMATCH(SUBSTITUTE(F904,"" "",""""),""^-?\d+(\.\d+)?,-?\d+(\.\d+)?$""),VALUE(REGEXEXTRACT(SUBSTITUTE(F904,"" "",""""),""^-?\d+(\.\d+)?""))&gt;=-90,VALUE(REGEXEXTRACT(SUBSTITUTE(F904,"" "",""""),""^-?\d+(\.\d+)?""))&lt;=90,VALUE(REGEXEXTRACT"&amp;"(SUBSTITUTE(F904,"" "",""""),""-?\d+(\.\d+)?$""))&gt;=-180,VALUE(REGEXEXTRACT(SUBSTITUTE(F904,"" "",""""),""-?\d+(\.\d+)?$""))&lt;=180),""OK"",""REVISAR"")"),"#N/A")</f>
        <v>#N/A</v>
      </c>
    </row>
    <row r="905" ht="15.75" customHeight="1">
      <c r="A905" s="5" t="str">
        <f t="shared" si="1"/>
        <v>AD507-0903</v>
      </c>
      <c r="C905" s="5"/>
      <c r="F905" s="5"/>
      <c r="G905" s="5" t="str">
        <f t="shared" si="2"/>
        <v/>
      </c>
      <c r="H905" s="5" t="str">
        <f t="shared" si="3"/>
        <v/>
      </c>
      <c r="I905" s="5" t="str">
        <f t="shared" si="4"/>
        <v/>
      </c>
      <c r="J905" s="5" t="str">
        <f t="shared" si="5"/>
        <v/>
      </c>
      <c r="K905" s="5" t="str">
        <f>IFERROR(__xludf.DUMMYFUNCTION("IF(C905&lt;&gt;"""",HYPERLINK(""https://wa.me/507""&amp;REGEXREPLACE(C905,""[^0-9]"","""")&amp;""?text=""&amp;ENCODEURL(""Ya llegue. Codigo: ""&amp;A905&amp;"". Ubicacion: ""&amp;""https://www.google.com/maps/search/?api=1&amp;query=""&amp;SUBSTITUTE(F905,"" "","""")),""📲 Avisar al cliente"""&amp;"),"""")"),"")</f>
        <v/>
      </c>
      <c r="L905" s="5" t="str">
        <f>IFERROR(__xludf.DUMMYFUNCTION("IF(C905&lt;&gt;"""",""https://api.qrserver.com/v1/create-qr-code/?size=200x200&amp;data=""&amp;ENCODEURL(""https://wa.me/507""&amp;REGEXREPLACE(C905,""[^0-9]"","""")&amp;""?text=""&amp;ENCODEURL(""Ya llegue. Codigo: ""&amp;A905&amp;"". Ubicacion: ""&amp;""https://www.google.com/maps/search/?a"&amp;"pi=1&amp;query=""&amp;SUBSTITUTE(F905,"" "",""""))),"""")"),"")</f>
        <v/>
      </c>
      <c r="M905" s="5" t="str">
        <f t="shared" si="6"/>
        <v/>
      </c>
      <c r="N905" s="5" t="str">
        <f>IFERROR(__xludf.DUMMYFUNCTION("IF(AND(F905&lt;&gt;"""",REGEXMATCH(SUBSTITUTE(F905,"" "",""""),""^-?\d+(\.\d+)?,-?\d+(\.\d+)?$""),VALUE(REGEXEXTRACT(SUBSTITUTE(F905,"" "",""""),""^-?\d+(\.\d+)?""))&gt;=-90,VALUE(REGEXEXTRACT(SUBSTITUTE(F905,"" "",""""),""^-?\d+(\.\d+)?""))&lt;=90,VALUE(REGEXEXTRACT"&amp;"(SUBSTITUTE(F905,"" "",""""),""-?\d+(\.\d+)?$""))&gt;=-180,VALUE(REGEXEXTRACT(SUBSTITUTE(F905,"" "",""""),""-?\d+(\.\d+)?$""))&lt;=180),""OK"",""REVISAR"")"),"#N/A")</f>
        <v>#N/A</v>
      </c>
    </row>
    <row r="906" ht="15.75" customHeight="1">
      <c r="A906" s="5" t="str">
        <f t="shared" si="1"/>
        <v>AD507-0904</v>
      </c>
      <c r="C906" s="5"/>
      <c r="F906" s="5"/>
      <c r="G906" s="5" t="str">
        <f t="shared" si="2"/>
        <v/>
      </c>
      <c r="H906" s="5" t="str">
        <f t="shared" si="3"/>
        <v/>
      </c>
      <c r="I906" s="5" t="str">
        <f t="shared" si="4"/>
        <v/>
      </c>
      <c r="J906" s="5" t="str">
        <f t="shared" si="5"/>
        <v/>
      </c>
      <c r="K906" s="5" t="str">
        <f>IFERROR(__xludf.DUMMYFUNCTION("IF(C906&lt;&gt;"""",HYPERLINK(""https://wa.me/507""&amp;REGEXREPLACE(C906,""[^0-9]"","""")&amp;""?text=""&amp;ENCODEURL(""Ya llegue. Codigo: ""&amp;A906&amp;"". Ubicacion: ""&amp;""https://www.google.com/maps/search/?api=1&amp;query=""&amp;SUBSTITUTE(F906,"" "","""")),""📲 Avisar al cliente"""&amp;"),"""")"),"")</f>
        <v/>
      </c>
      <c r="L906" s="5" t="str">
        <f>IFERROR(__xludf.DUMMYFUNCTION("IF(C906&lt;&gt;"""",""https://api.qrserver.com/v1/create-qr-code/?size=200x200&amp;data=""&amp;ENCODEURL(""https://wa.me/507""&amp;REGEXREPLACE(C906,""[^0-9]"","""")&amp;""?text=""&amp;ENCODEURL(""Ya llegue. Codigo: ""&amp;A906&amp;"". Ubicacion: ""&amp;""https://www.google.com/maps/search/?a"&amp;"pi=1&amp;query=""&amp;SUBSTITUTE(F906,"" "",""""))),"""")"),"")</f>
        <v/>
      </c>
      <c r="M906" s="5" t="str">
        <f t="shared" si="6"/>
        <v/>
      </c>
      <c r="N906" s="5" t="str">
        <f>IFERROR(__xludf.DUMMYFUNCTION("IF(AND(F906&lt;&gt;"""",REGEXMATCH(SUBSTITUTE(F906,"" "",""""),""^-?\d+(\.\d+)?,-?\d+(\.\d+)?$""),VALUE(REGEXEXTRACT(SUBSTITUTE(F906,"" "",""""),""^-?\d+(\.\d+)?""))&gt;=-90,VALUE(REGEXEXTRACT(SUBSTITUTE(F906,"" "",""""),""^-?\d+(\.\d+)?""))&lt;=90,VALUE(REGEXEXTRACT"&amp;"(SUBSTITUTE(F906,"" "",""""),""-?\d+(\.\d+)?$""))&gt;=-180,VALUE(REGEXEXTRACT(SUBSTITUTE(F906,"" "",""""),""-?\d+(\.\d+)?$""))&lt;=180),""OK"",""REVISAR"")"),"#N/A")</f>
        <v>#N/A</v>
      </c>
    </row>
    <row r="907" ht="15.75" customHeight="1">
      <c r="A907" s="5" t="str">
        <f t="shared" si="1"/>
        <v>AD507-0905</v>
      </c>
      <c r="C907" s="5"/>
      <c r="F907" s="5"/>
      <c r="G907" s="5" t="str">
        <f t="shared" si="2"/>
        <v/>
      </c>
      <c r="H907" s="5" t="str">
        <f t="shared" si="3"/>
        <v/>
      </c>
      <c r="I907" s="5" t="str">
        <f t="shared" si="4"/>
        <v/>
      </c>
      <c r="J907" s="5" t="str">
        <f t="shared" si="5"/>
        <v/>
      </c>
      <c r="K907" s="5" t="str">
        <f>IFERROR(__xludf.DUMMYFUNCTION("IF(C907&lt;&gt;"""",HYPERLINK(""https://wa.me/507""&amp;REGEXREPLACE(C907,""[^0-9]"","""")&amp;""?text=""&amp;ENCODEURL(""Ya llegue. Codigo: ""&amp;A907&amp;"". Ubicacion: ""&amp;""https://www.google.com/maps/search/?api=1&amp;query=""&amp;SUBSTITUTE(F907,"" "","""")),""📲 Avisar al cliente"""&amp;"),"""")"),"")</f>
        <v/>
      </c>
      <c r="L907" s="5" t="str">
        <f>IFERROR(__xludf.DUMMYFUNCTION("IF(C907&lt;&gt;"""",""https://api.qrserver.com/v1/create-qr-code/?size=200x200&amp;data=""&amp;ENCODEURL(""https://wa.me/507""&amp;REGEXREPLACE(C907,""[^0-9]"","""")&amp;""?text=""&amp;ENCODEURL(""Ya llegue. Codigo: ""&amp;A907&amp;"". Ubicacion: ""&amp;""https://www.google.com/maps/search/?a"&amp;"pi=1&amp;query=""&amp;SUBSTITUTE(F907,"" "",""""))),"""")"),"")</f>
        <v/>
      </c>
      <c r="M907" s="5" t="str">
        <f t="shared" si="6"/>
        <v/>
      </c>
      <c r="N907" s="5" t="str">
        <f>IFERROR(__xludf.DUMMYFUNCTION("IF(AND(F907&lt;&gt;"""",REGEXMATCH(SUBSTITUTE(F907,"" "",""""),""^-?\d+(\.\d+)?,-?\d+(\.\d+)?$""),VALUE(REGEXEXTRACT(SUBSTITUTE(F907,"" "",""""),""^-?\d+(\.\d+)?""))&gt;=-90,VALUE(REGEXEXTRACT(SUBSTITUTE(F907,"" "",""""),""^-?\d+(\.\d+)?""))&lt;=90,VALUE(REGEXEXTRACT"&amp;"(SUBSTITUTE(F907,"" "",""""),""-?\d+(\.\d+)?$""))&gt;=-180,VALUE(REGEXEXTRACT(SUBSTITUTE(F907,"" "",""""),""-?\d+(\.\d+)?$""))&lt;=180),""OK"",""REVISAR"")"),"#N/A")</f>
        <v>#N/A</v>
      </c>
    </row>
    <row r="908" ht="15.75" customHeight="1">
      <c r="A908" s="5" t="str">
        <f t="shared" si="1"/>
        <v>AD507-0906</v>
      </c>
      <c r="C908" s="5"/>
      <c r="F908" s="5"/>
      <c r="G908" s="5" t="str">
        <f t="shared" si="2"/>
        <v/>
      </c>
      <c r="H908" s="5" t="str">
        <f t="shared" si="3"/>
        <v/>
      </c>
      <c r="I908" s="5" t="str">
        <f t="shared" si="4"/>
        <v/>
      </c>
      <c r="J908" s="5" t="str">
        <f t="shared" si="5"/>
        <v/>
      </c>
      <c r="K908" s="5" t="str">
        <f>IFERROR(__xludf.DUMMYFUNCTION("IF(C908&lt;&gt;"""",HYPERLINK(""https://wa.me/507""&amp;REGEXREPLACE(C908,""[^0-9]"","""")&amp;""?text=""&amp;ENCODEURL(""Ya llegue. Codigo: ""&amp;A908&amp;"". Ubicacion: ""&amp;""https://www.google.com/maps/search/?api=1&amp;query=""&amp;SUBSTITUTE(F908,"" "","""")),""📲 Avisar al cliente"""&amp;"),"""")"),"")</f>
        <v/>
      </c>
      <c r="L908" s="5" t="str">
        <f>IFERROR(__xludf.DUMMYFUNCTION("IF(C908&lt;&gt;"""",""https://api.qrserver.com/v1/create-qr-code/?size=200x200&amp;data=""&amp;ENCODEURL(""https://wa.me/507""&amp;REGEXREPLACE(C908,""[^0-9]"","""")&amp;""?text=""&amp;ENCODEURL(""Ya llegue. Codigo: ""&amp;A908&amp;"". Ubicacion: ""&amp;""https://www.google.com/maps/search/?a"&amp;"pi=1&amp;query=""&amp;SUBSTITUTE(F908,"" "",""""))),"""")"),"")</f>
        <v/>
      </c>
      <c r="M908" s="5" t="str">
        <f t="shared" si="6"/>
        <v/>
      </c>
      <c r="N908" s="5" t="str">
        <f>IFERROR(__xludf.DUMMYFUNCTION("IF(AND(F908&lt;&gt;"""",REGEXMATCH(SUBSTITUTE(F908,"" "",""""),""^-?\d+(\.\d+)?,-?\d+(\.\d+)?$""),VALUE(REGEXEXTRACT(SUBSTITUTE(F908,"" "",""""),""^-?\d+(\.\d+)?""))&gt;=-90,VALUE(REGEXEXTRACT(SUBSTITUTE(F908,"" "",""""),""^-?\d+(\.\d+)?""))&lt;=90,VALUE(REGEXEXTRACT"&amp;"(SUBSTITUTE(F908,"" "",""""),""-?\d+(\.\d+)?$""))&gt;=-180,VALUE(REGEXEXTRACT(SUBSTITUTE(F908,"" "",""""),""-?\d+(\.\d+)?$""))&lt;=180),""OK"",""REVISAR"")"),"#N/A")</f>
        <v>#N/A</v>
      </c>
    </row>
    <row r="909" ht="15.75" customHeight="1">
      <c r="A909" s="5" t="str">
        <f t="shared" si="1"/>
        <v>AD507-0907</v>
      </c>
      <c r="C909" s="5"/>
      <c r="F909" s="5"/>
      <c r="G909" s="5" t="str">
        <f t="shared" si="2"/>
        <v/>
      </c>
      <c r="H909" s="5" t="str">
        <f t="shared" si="3"/>
        <v/>
      </c>
      <c r="I909" s="5" t="str">
        <f t="shared" si="4"/>
        <v/>
      </c>
      <c r="J909" s="5" t="str">
        <f t="shared" si="5"/>
        <v/>
      </c>
      <c r="K909" s="5" t="str">
        <f>IFERROR(__xludf.DUMMYFUNCTION("IF(C909&lt;&gt;"""",HYPERLINK(""https://wa.me/507""&amp;REGEXREPLACE(C909,""[^0-9]"","""")&amp;""?text=""&amp;ENCODEURL(""Ya llegue. Codigo: ""&amp;A909&amp;"". Ubicacion: ""&amp;""https://www.google.com/maps/search/?api=1&amp;query=""&amp;SUBSTITUTE(F909,"" "","""")),""📲 Avisar al cliente"""&amp;"),"""")"),"")</f>
        <v/>
      </c>
      <c r="L909" s="5" t="str">
        <f>IFERROR(__xludf.DUMMYFUNCTION("IF(C909&lt;&gt;"""",""https://api.qrserver.com/v1/create-qr-code/?size=200x200&amp;data=""&amp;ENCODEURL(""https://wa.me/507""&amp;REGEXREPLACE(C909,""[^0-9]"","""")&amp;""?text=""&amp;ENCODEURL(""Ya llegue. Codigo: ""&amp;A909&amp;"". Ubicacion: ""&amp;""https://www.google.com/maps/search/?a"&amp;"pi=1&amp;query=""&amp;SUBSTITUTE(F909,"" "",""""))),"""")"),"")</f>
        <v/>
      </c>
      <c r="M909" s="5" t="str">
        <f t="shared" si="6"/>
        <v/>
      </c>
      <c r="N909" s="5" t="str">
        <f>IFERROR(__xludf.DUMMYFUNCTION("IF(AND(F909&lt;&gt;"""",REGEXMATCH(SUBSTITUTE(F909,"" "",""""),""^-?\d+(\.\d+)?,-?\d+(\.\d+)?$""),VALUE(REGEXEXTRACT(SUBSTITUTE(F909,"" "",""""),""^-?\d+(\.\d+)?""))&gt;=-90,VALUE(REGEXEXTRACT(SUBSTITUTE(F909,"" "",""""),""^-?\d+(\.\d+)?""))&lt;=90,VALUE(REGEXEXTRACT"&amp;"(SUBSTITUTE(F909,"" "",""""),""-?\d+(\.\d+)?$""))&gt;=-180,VALUE(REGEXEXTRACT(SUBSTITUTE(F909,"" "",""""),""-?\d+(\.\d+)?$""))&lt;=180),""OK"",""REVISAR"")"),"#N/A")</f>
        <v>#N/A</v>
      </c>
    </row>
    <row r="910" ht="15.75" customHeight="1">
      <c r="A910" s="5" t="str">
        <f t="shared" si="1"/>
        <v>AD507-0908</v>
      </c>
      <c r="C910" s="5"/>
      <c r="F910" s="5"/>
      <c r="G910" s="5" t="str">
        <f t="shared" si="2"/>
        <v/>
      </c>
      <c r="H910" s="5" t="str">
        <f t="shared" si="3"/>
        <v/>
      </c>
      <c r="I910" s="5" t="str">
        <f t="shared" si="4"/>
        <v/>
      </c>
      <c r="J910" s="5" t="str">
        <f t="shared" si="5"/>
        <v/>
      </c>
      <c r="K910" s="5" t="str">
        <f>IFERROR(__xludf.DUMMYFUNCTION("IF(C910&lt;&gt;"""",HYPERLINK(""https://wa.me/507""&amp;REGEXREPLACE(C910,""[^0-9]"","""")&amp;""?text=""&amp;ENCODEURL(""Ya llegue. Codigo: ""&amp;A910&amp;"". Ubicacion: ""&amp;""https://www.google.com/maps/search/?api=1&amp;query=""&amp;SUBSTITUTE(F910,"" "","""")),""📲 Avisar al cliente"""&amp;"),"""")"),"")</f>
        <v/>
      </c>
      <c r="L910" s="5" t="str">
        <f>IFERROR(__xludf.DUMMYFUNCTION("IF(C910&lt;&gt;"""",""https://api.qrserver.com/v1/create-qr-code/?size=200x200&amp;data=""&amp;ENCODEURL(""https://wa.me/507""&amp;REGEXREPLACE(C910,""[^0-9]"","""")&amp;""?text=""&amp;ENCODEURL(""Ya llegue. Codigo: ""&amp;A910&amp;"". Ubicacion: ""&amp;""https://www.google.com/maps/search/?a"&amp;"pi=1&amp;query=""&amp;SUBSTITUTE(F910,"" "",""""))),"""")"),"")</f>
        <v/>
      </c>
      <c r="M910" s="5" t="str">
        <f t="shared" si="6"/>
        <v/>
      </c>
      <c r="N910" s="5" t="str">
        <f>IFERROR(__xludf.DUMMYFUNCTION("IF(AND(F910&lt;&gt;"""",REGEXMATCH(SUBSTITUTE(F910,"" "",""""),""^-?\d+(\.\d+)?,-?\d+(\.\d+)?$""),VALUE(REGEXEXTRACT(SUBSTITUTE(F910,"" "",""""),""^-?\d+(\.\d+)?""))&gt;=-90,VALUE(REGEXEXTRACT(SUBSTITUTE(F910,"" "",""""),""^-?\d+(\.\d+)?""))&lt;=90,VALUE(REGEXEXTRACT"&amp;"(SUBSTITUTE(F910,"" "",""""),""-?\d+(\.\d+)?$""))&gt;=-180,VALUE(REGEXEXTRACT(SUBSTITUTE(F910,"" "",""""),""-?\d+(\.\d+)?$""))&lt;=180),""OK"",""REVISAR"")"),"#N/A")</f>
        <v>#N/A</v>
      </c>
    </row>
    <row r="911" ht="15.75" customHeight="1">
      <c r="A911" s="5" t="str">
        <f t="shared" si="1"/>
        <v>AD507-0909</v>
      </c>
      <c r="C911" s="5"/>
      <c r="F911" s="5"/>
      <c r="G911" s="5" t="str">
        <f t="shared" si="2"/>
        <v/>
      </c>
      <c r="H911" s="5" t="str">
        <f t="shared" si="3"/>
        <v/>
      </c>
      <c r="I911" s="5" t="str">
        <f t="shared" si="4"/>
        <v/>
      </c>
      <c r="J911" s="5" t="str">
        <f t="shared" si="5"/>
        <v/>
      </c>
      <c r="K911" s="5" t="str">
        <f>IFERROR(__xludf.DUMMYFUNCTION("IF(C911&lt;&gt;"""",HYPERLINK(""https://wa.me/507""&amp;REGEXREPLACE(C911,""[^0-9]"","""")&amp;""?text=""&amp;ENCODEURL(""Ya llegue. Codigo: ""&amp;A911&amp;"". Ubicacion: ""&amp;""https://www.google.com/maps/search/?api=1&amp;query=""&amp;SUBSTITUTE(F911,"" "","""")),""📲 Avisar al cliente"""&amp;"),"""")"),"")</f>
        <v/>
      </c>
      <c r="L911" s="5" t="str">
        <f>IFERROR(__xludf.DUMMYFUNCTION("IF(C911&lt;&gt;"""",""https://api.qrserver.com/v1/create-qr-code/?size=200x200&amp;data=""&amp;ENCODEURL(""https://wa.me/507""&amp;REGEXREPLACE(C911,""[^0-9]"","""")&amp;""?text=""&amp;ENCODEURL(""Ya llegue. Codigo: ""&amp;A911&amp;"". Ubicacion: ""&amp;""https://www.google.com/maps/search/?a"&amp;"pi=1&amp;query=""&amp;SUBSTITUTE(F911,"" "",""""))),"""")"),"")</f>
        <v/>
      </c>
      <c r="M911" s="5" t="str">
        <f t="shared" si="6"/>
        <v/>
      </c>
      <c r="N911" s="5" t="str">
        <f>IFERROR(__xludf.DUMMYFUNCTION("IF(AND(F911&lt;&gt;"""",REGEXMATCH(SUBSTITUTE(F911,"" "",""""),""^-?\d+(\.\d+)?,-?\d+(\.\d+)?$""),VALUE(REGEXEXTRACT(SUBSTITUTE(F911,"" "",""""),""^-?\d+(\.\d+)?""))&gt;=-90,VALUE(REGEXEXTRACT(SUBSTITUTE(F911,"" "",""""),""^-?\d+(\.\d+)?""))&lt;=90,VALUE(REGEXEXTRACT"&amp;"(SUBSTITUTE(F911,"" "",""""),""-?\d+(\.\d+)?$""))&gt;=-180,VALUE(REGEXEXTRACT(SUBSTITUTE(F911,"" "",""""),""-?\d+(\.\d+)?$""))&lt;=180),""OK"",""REVISAR"")"),"#N/A")</f>
        <v>#N/A</v>
      </c>
    </row>
    <row r="912" ht="15.75" customHeight="1">
      <c r="A912" s="5" t="str">
        <f t="shared" si="1"/>
        <v>AD507-0910</v>
      </c>
      <c r="C912" s="5"/>
      <c r="F912" s="5"/>
      <c r="G912" s="5" t="str">
        <f t="shared" si="2"/>
        <v/>
      </c>
      <c r="H912" s="5" t="str">
        <f t="shared" si="3"/>
        <v/>
      </c>
      <c r="I912" s="5" t="str">
        <f t="shared" si="4"/>
        <v/>
      </c>
      <c r="J912" s="5" t="str">
        <f t="shared" si="5"/>
        <v/>
      </c>
      <c r="K912" s="5" t="str">
        <f>IFERROR(__xludf.DUMMYFUNCTION("IF(C912&lt;&gt;"""",HYPERLINK(""https://wa.me/507""&amp;REGEXREPLACE(C912,""[^0-9]"","""")&amp;""?text=""&amp;ENCODEURL(""Ya llegue. Codigo: ""&amp;A912&amp;"". Ubicacion: ""&amp;""https://www.google.com/maps/search/?api=1&amp;query=""&amp;SUBSTITUTE(F912,"" "","""")),""📲 Avisar al cliente"""&amp;"),"""")"),"")</f>
        <v/>
      </c>
      <c r="L912" s="5" t="str">
        <f>IFERROR(__xludf.DUMMYFUNCTION("IF(C912&lt;&gt;"""",""https://api.qrserver.com/v1/create-qr-code/?size=200x200&amp;data=""&amp;ENCODEURL(""https://wa.me/507""&amp;REGEXREPLACE(C912,""[^0-9]"","""")&amp;""?text=""&amp;ENCODEURL(""Ya llegue. Codigo: ""&amp;A912&amp;"". Ubicacion: ""&amp;""https://www.google.com/maps/search/?a"&amp;"pi=1&amp;query=""&amp;SUBSTITUTE(F912,"" "",""""))),"""")"),"")</f>
        <v/>
      </c>
      <c r="M912" s="5" t="str">
        <f t="shared" si="6"/>
        <v/>
      </c>
      <c r="N912" s="5" t="str">
        <f>IFERROR(__xludf.DUMMYFUNCTION("IF(AND(F912&lt;&gt;"""",REGEXMATCH(SUBSTITUTE(F912,"" "",""""),""^-?\d+(\.\d+)?,-?\d+(\.\d+)?$""),VALUE(REGEXEXTRACT(SUBSTITUTE(F912,"" "",""""),""^-?\d+(\.\d+)?""))&gt;=-90,VALUE(REGEXEXTRACT(SUBSTITUTE(F912,"" "",""""),""^-?\d+(\.\d+)?""))&lt;=90,VALUE(REGEXEXTRACT"&amp;"(SUBSTITUTE(F912,"" "",""""),""-?\d+(\.\d+)?$""))&gt;=-180,VALUE(REGEXEXTRACT(SUBSTITUTE(F912,"" "",""""),""-?\d+(\.\d+)?$""))&lt;=180),""OK"",""REVISAR"")"),"#N/A")</f>
        <v>#N/A</v>
      </c>
    </row>
    <row r="913" ht="15.75" customHeight="1">
      <c r="A913" s="5" t="str">
        <f t="shared" si="1"/>
        <v>AD507-0911</v>
      </c>
      <c r="C913" s="5"/>
      <c r="F913" s="5"/>
      <c r="G913" s="5" t="str">
        <f t="shared" si="2"/>
        <v/>
      </c>
      <c r="H913" s="5" t="str">
        <f t="shared" si="3"/>
        <v/>
      </c>
      <c r="I913" s="5" t="str">
        <f t="shared" si="4"/>
        <v/>
      </c>
      <c r="J913" s="5" t="str">
        <f t="shared" si="5"/>
        <v/>
      </c>
      <c r="K913" s="5" t="str">
        <f>IFERROR(__xludf.DUMMYFUNCTION("IF(C913&lt;&gt;"""",HYPERLINK(""https://wa.me/507""&amp;REGEXREPLACE(C913,""[^0-9]"","""")&amp;""?text=""&amp;ENCODEURL(""Ya llegue. Codigo: ""&amp;A913&amp;"". Ubicacion: ""&amp;""https://www.google.com/maps/search/?api=1&amp;query=""&amp;SUBSTITUTE(F913,"" "","""")),""📲 Avisar al cliente"""&amp;"),"""")"),"")</f>
        <v/>
      </c>
      <c r="L913" s="5" t="str">
        <f>IFERROR(__xludf.DUMMYFUNCTION("IF(C913&lt;&gt;"""",""https://api.qrserver.com/v1/create-qr-code/?size=200x200&amp;data=""&amp;ENCODEURL(""https://wa.me/507""&amp;REGEXREPLACE(C913,""[^0-9]"","""")&amp;""?text=""&amp;ENCODEURL(""Ya llegue. Codigo: ""&amp;A913&amp;"". Ubicacion: ""&amp;""https://www.google.com/maps/search/?a"&amp;"pi=1&amp;query=""&amp;SUBSTITUTE(F913,"" "",""""))),"""")"),"")</f>
        <v/>
      </c>
      <c r="M913" s="5" t="str">
        <f t="shared" si="6"/>
        <v/>
      </c>
      <c r="N913" s="5" t="str">
        <f>IFERROR(__xludf.DUMMYFUNCTION("IF(AND(F913&lt;&gt;"""",REGEXMATCH(SUBSTITUTE(F913,"" "",""""),""^-?\d+(\.\d+)?,-?\d+(\.\d+)?$""),VALUE(REGEXEXTRACT(SUBSTITUTE(F913,"" "",""""),""^-?\d+(\.\d+)?""))&gt;=-90,VALUE(REGEXEXTRACT(SUBSTITUTE(F913,"" "",""""),""^-?\d+(\.\d+)?""))&lt;=90,VALUE(REGEXEXTRACT"&amp;"(SUBSTITUTE(F913,"" "",""""),""-?\d+(\.\d+)?$""))&gt;=-180,VALUE(REGEXEXTRACT(SUBSTITUTE(F913,"" "",""""),""-?\d+(\.\d+)?$""))&lt;=180),""OK"",""REVISAR"")"),"#N/A")</f>
        <v>#N/A</v>
      </c>
    </row>
    <row r="914" ht="15.75" customHeight="1">
      <c r="A914" s="5" t="str">
        <f t="shared" si="1"/>
        <v>AD507-0912</v>
      </c>
      <c r="C914" s="5"/>
      <c r="F914" s="5"/>
      <c r="G914" s="5" t="str">
        <f t="shared" si="2"/>
        <v/>
      </c>
      <c r="H914" s="5" t="str">
        <f t="shared" si="3"/>
        <v/>
      </c>
      <c r="I914" s="5" t="str">
        <f t="shared" si="4"/>
        <v/>
      </c>
      <c r="J914" s="5" t="str">
        <f t="shared" si="5"/>
        <v/>
      </c>
      <c r="K914" s="5" t="str">
        <f>IFERROR(__xludf.DUMMYFUNCTION("IF(C914&lt;&gt;"""",HYPERLINK(""https://wa.me/507""&amp;REGEXREPLACE(C914,""[^0-9]"","""")&amp;""?text=""&amp;ENCODEURL(""Ya llegue. Codigo: ""&amp;A914&amp;"". Ubicacion: ""&amp;""https://www.google.com/maps/search/?api=1&amp;query=""&amp;SUBSTITUTE(F914,"" "","""")),""📲 Avisar al cliente"""&amp;"),"""")"),"")</f>
        <v/>
      </c>
      <c r="L914" s="5" t="str">
        <f>IFERROR(__xludf.DUMMYFUNCTION("IF(C914&lt;&gt;"""",""https://api.qrserver.com/v1/create-qr-code/?size=200x200&amp;data=""&amp;ENCODEURL(""https://wa.me/507""&amp;REGEXREPLACE(C914,""[^0-9]"","""")&amp;""?text=""&amp;ENCODEURL(""Ya llegue. Codigo: ""&amp;A914&amp;"". Ubicacion: ""&amp;""https://www.google.com/maps/search/?a"&amp;"pi=1&amp;query=""&amp;SUBSTITUTE(F914,"" "",""""))),"""")"),"")</f>
        <v/>
      </c>
      <c r="M914" s="5" t="str">
        <f t="shared" si="6"/>
        <v/>
      </c>
      <c r="N914" s="5" t="str">
        <f>IFERROR(__xludf.DUMMYFUNCTION("IF(AND(F914&lt;&gt;"""",REGEXMATCH(SUBSTITUTE(F914,"" "",""""),""^-?\d+(\.\d+)?,-?\d+(\.\d+)?$""),VALUE(REGEXEXTRACT(SUBSTITUTE(F914,"" "",""""),""^-?\d+(\.\d+)?""))&gt;=-90,VALUE(REGEXEXTRACT(SUBSTITUTE(F914,"" "",""""),""^-?\d+(\.\d+)?""))&lt;=90,VALUE(REGEXEXTRACT"&amp;"(SUBSTITUTE(F914,"" "",""""),""-?\d+(\.\d+)?$""))&gt;=-180,VALUE(REGEXEXTRACT(SUBSTITUTE(F914,"" "",""""),""-?\d+(\.\d+)?$""))&lt;=180),""OK"",""REVISAR"")"),"#N/A")</f>
        <v>#N/A</v>
      </c>
    </row>
    <row r="915" ht="15.75" customHeight="1">
      <c r="A915" s="5" t="str">
        <f t="shared" si="1"/>
        <v>AD507-0913</v>
      </c>
      <c r="C915" s="5"/>
      <c r="F915" s="5"/>
      <c r="G915" s="5" t="str">
        <f t="shared" si="2"/>
        <v/>
      </c>
      <c r="H915" s="5" t="str">
        <f t="shared" si="3"/>
        <v/>
      </c>
      <c r="I915" s="5" t="str">
        <f t="shared" si="4"/>
        <v/>
      </c>
      <c r="J915" s="5" t="str">
        <f t="shared" si="5"/>
        <v/>
      </c>
      <c r="K915" s="5" t="str">
        <f>IFERROR(__xludf.DUMMYFUNCTION("IF(C915&lt;&gt;"""",HYPERLINK(""https://wa.me/507""&amp;REGEXREPLACE(C915,""[^0-9]"","""")&amp;""?text=""&amp;ENCODEURL(""Ya llegue. Codigo: ""&amp;A915&amp;"". Ubicacion: ""&amp;""https://www.google.com/maps/search/?api=1&amp;query=""&amp;SUBSTITUTE(F915,"" "","""")),""📲 Avisar al cliente"""&amp;"),"""")"),"")</f>
        <v/>
      </c>
      <c r="L915" s="5" t="str">
        <f>IFERROR(__xludf.DUMMYFUNCTION("IF(C915&lt;&gt;"""",""https://api.qrserver.com/v1/create-qr-code/?size=200x200&amp;data=""&amp;ENCODEURL(""https://wa.me/507""&amp;REGEXREPLACE(C915,""[^0-9]"","""")&amp;""?text=""&amp;ENCODEURL(""Ya llegue. Codigo: ""&amp;A915&amp;"". Ubicacion: ""&amp;""https://www.google.com/maps/search/?a"&amp;"pi=1&amp;query=""&amp;SUBSTITUTE(F915,"" "",""""))),"""")"),"")</f>
        <v/>
      </c>
      <c r="M915" s="5" t="str">
        <f t="shared" si="6"/>
        <v/>
      </c>
      <c r="N915" s="5" t="str">
        <f>IFERROR(__xludf.DUMMYFUNCTION("IF(AND(F915&lt;&gt;"""",REGEXMATCH(SUBSTITUTE(F915,"" "",""""),""^-?\d+(\.\d+)?,-?\d+(\.\d+)?$""),VALUE(REGEXEXTRACT(SUBSTITUTE(F915,"" "",""""),""^-?\d+(\.\d+)?""))&gt;=-90,VALUE(REGEXEXTRACT(SUBSTITUTE(F915,"" "",""""),""^-?\d+(\.\d+)?""))&lt;=90,VALUE(REGEXEXTRACT"&amp;"(SUBSTITUTE(F915,"" "",""""),""-?\d+(\.\d+)?$""))&gt;=-180,VALUE(REGEXEXTRACT(SUBSTITUTE(F915,"" "",""""),""-?\d+(\.\d+)?$""))&lt;=180),""OK"",""REVISAR"")"),"#N/A")</f>
        <v>#N/A</v>
      </c>
    </row>
    <row r="916" ht="15.75" customHeight="1">
      <c r="A916" s="5" t="str">
        <f t="shared" si="1"/>
        <v>AD507-0914</v>
      </c>
      <c r="C916" s="5"/>
      <c r="F916" s="5"/>
      <c r="G916" s="5" t="str">
        <f t="shared" si="2"/>
        <v/>
      </c>
      <c r="H916" s="5" t="str">
        <f t="shared" si="3"/>
        <v/>
      </c>
      <c r="I916" s="5" t="str">
        <f t="shared" si="4"/>
        <v/>
      </c>
      <c r="J916" s="5" t="str">
        <f t="shared" si="5"/>
        <v/>
      </c>
      <c r="K916" s="5" t="str">
        <f>IFERROR(__xludf.DUMMYFUNCTION("IF(C916&lt;&gt;"""",HYPERLINK(""https://wa.me/507""&amp;REGEXREPLACE(C916,""[^0-9]"","""")&amp;""?text=""&amp;ENCODEURL(""Ya llegue. Codigo: ""&amp;A916&amp;"". Ubicacion: ""&amp;""https://www.google.com/maps/search/?api=1&amp;query=""&amp;SUBSTITUTE(F916,"" "","""")),""📲 Avisar al cliente"""&amp;"),"""")"),"")</f>
        <v/>
      </c>
      <c r="L916" s="5" t="str">
        <f>IFERROR(__xludf.DUMMYFUNCTION("IF(C916&lt;&gt;"""",""https://api.qrserver.com/v1/create-qr-code/?size=200x200&amp;data=""&amp;ENCODEURL(""https://wa.me/507""&amp;REGEXREPLACE(C916,""[^0-9]"","""")&amp;""?text=""&amp;ENCODEURL(""Ya llegue. Codigo: ""&amp;A916&amp;"". Ubicacion: ""&amp;""https://www.google.com/maps/search/?a"&amp;"pi=1&amp;query=""&amp;SUBSTITUTE(F916,"" "",""""))),"""")"),"")</f>
        <v/>
      </c>
      <c r="M916" s="5" t="str">
        <f t="shared" si="6"/>
        <v/>
      </c>
      <c r="N916" s="5" t="str">
        <f>IFERROR(__xludf.DUMMYFUNCTION("IF(AND(F916&lt;&gt;"""",REGEXMATCH(SUBSTITUTE(F916,"" "",""""),""^-?\d+(\.\d+)?,-?\d+(\.\d+)?$""),VALUE(REGEXEXTRACT(SUBSTITUTE(F916,"" "",""""),""^-?\d+(\.\d+)?""))&gt;=-90,VALUE(REGEXEXTRACT(SUBSTITUTE(F916,"" "",""""),""^-?\d+(\.\d+)?""))&lt;=90,VALUE(REGEXEXTRACT"&amp;"(SUBSTITUTE(F916,"" "",""""),""-?\d+(\.\d+)?$""))&gt;=-180,VALUE(REGEXEXTRACT(SUBSTITUTE(F916,"" "",""""),""-?\d+(\.\d+)?$""))&lt;=180),""OK"",""REVISAR"")"),"#N/A")</f>
        <v>#N/A</v>
      </c>
    </row>
    <row r="917" ht="15.75" customHeight="1">
      <c r="A917" s="5" t="str">
        <f t="shared" si="1"/>
        <v>AD507-0915</v>
      </c>
      <c r="C917" s="5"/>
      <c r="F917" s="5"/>
      <c r="G917" s="5" t="str">
        <f t="shared" si="2"/>
        <v/>
      </c>
      <c r="H917" s="5" t="str">
        <f t="shared" si="3"/>
        <v/>
      </c>
      <c r="I917" s="5" t="str">
        <f t="shared" si="4"/>
        <v/>
      </c>
      <c r="J917" s="5" t="str">
        <f t="shared" si="5"/>
        <v/>
      </c>
      <c r="K917" s="5" t="str">
        <f>IFERROR(__xludf.DUMMYFUNCTION("IF(C917&lt;&gt;"""",HYPERLINK(""https://wa.me/507""&amp;REGEXREPLACE(C917,""[^0-9]"","""")&amp;""?text=""&amp;ENCODEURL(""Ya llegue. Codigo: ""&amp;A917&amp;"". Ubicacion: ""&amp;""https://www.google.com/maps/search/?api=1&amp;query=""&amp;SUBSTITUTE(F917,"" "","""")),""📲 Avisar al cliente"""&amp;"),"""")"),"")</f>
        <v/>
      </c>
      <c r="L917" s="5" t="str">
        <f>IFERROR(__xludf.DUMMYFUNCTION("IF(C917&lt;&gt;"""",""https://api.qrserver.com/v1/create-qr-code/?size=200x200&amp;data=""&amp;ENCODEURL(""https://wa.me/507""&amp;REGEXREPLACE(C917,""[^0-9]"","""")&amp;""?text=""&amp;ENCODEURL(""Ya llegue. Codigo: ""&amp;A917&amp;"". Ubicacion: ""&amp;""https://www.google.com/maps/search/?a"&amp;"pi=1&amp;query=""&amp;SUBSTITUTE(F917,"" "",""""))),"""")"),"")</f>
        <v/>
      </c>
      <c r="M917" s="5" t="str">
        <f t="shared" si="6"/>
        <v/>
      </c>
      <c r="N917" s="5" t="str">
        <f>IFERROR(__xludf.DUMMYFUNCTION("IF(AND(F917&lt;&gt;"""",REGEXMATCH(SUBSTITUTE(F917,"" "",""""),""^-?\d+(\.\d+)?,-?\d+(\.\d+)?$""),VALUE(REGEXEXTRACT(SUBSTITUTE(F917,"" "",""""),""^-?\d+(\.\d+)?""))&gt;=-90,VALUE(REGEXEXTRACT(SUBSTITUTE(F917,"" "",""""),""^-?\d+(\.\d+)?""))&lt;=90,VALUE(REGEXEXTRACT"&amp;"(SUBSTITUTE(F917,"" "",""""),""-?\d+(\.\d+)?$""))&gt;=-180,VALUE(REGEXEXTRACT(SUBSTITUTE(F917,"" "",""""),""-?\d+(\.\d+)?$""))&lt;=180),""OK"",""REVISAR"")"),"#N/A")</f>
        <v>#N/A</v>
      </c>
    </row>
    <row r="918" ht="15.75" customHeight="1">
      <c r="A918" s="5" t="str">
        <f t="shared" si="1"/>
        <v>AD507-0916</v>
      </c>
      <c r="C918" s="5"/>
      <c r="F918" s="5"/>
      <c r="G918" s="5" t="str">
        <f t="shared" si="2"/>
        <v/>
      </c>
      <c r="H918" s="5" t="str">
        <f t="shared" si="3"/>
        <v/>
      </c>
      <c r="I918" s="5" t="str">
        <f t="shared" si="4"/>
        <v/>
      </c>
      <c r="J918" s="5" t="str">
        <f t="shared" si="5"/>
        <v/>
      </c>
      <c r="K918" s="5" t="str">
        <f>IFERROR(__xludf.DUMMYFUNCTION("IF(C918&lt;&gt;"""",HYPERLINK(""https://wa.me/507""&amp;REGEXREPLACE(C918,""[^0-9]"","""")&amp;""?text=""&amp;ENCODEURL(""Ya llegue. Codigo: ""&amp;A918&amp;"". Ubicacion: ""&amp;""https://www.google.com/maps/search/?api=1&amp;query=""&amp;SUBSTITUTE(F918,"" "","""")),""📲 Avisar al cliente"""&amp;"),"""")"),"")</f>
        <v/>
      </c>
      <c r="L918" s="5" t="str">
        <f>IFERROR(__xludf.DUMMYFUNCTION("IF(C918&lt;&gt;"""",""https://api.qrserver.com/v1/create-qr-code/?size=200x200&amp;data=""&amp;ENCODEURL(""https://wa.me/507""&amp;REGEXREPLACE(C918,""[^0-9]"","""")&amp;""?text=""&amp;ENCODEURL(""Ya llegue. Codigo: ""&amp;A918&amp;"". Ubicacion: ""&amp;""https://www.google.com/maps/search/?a"&amp;"pi=1&amp;query=""&amp;SUBSTITUTE(F918,"" "",""""))),"""")"),"")</f>
        <v/>
      </c>
      <c r="M918" s="5" t="str">
        <f t="shared" si="6"/>
        <v/>
      </c>
      <c r="N918" s="5" t="str">
        <f>IFERROR(__xludf.DUMMYFUNCTION("IF(AND(F918&lt;&gt;"""",REGEXMATCH(SUBSTITUTE(F918,"" "",""""),""^-?\d+(\.\d+)?,-?\d+(\.\d+)?$""),VALUE(REGEXEXTRACT(SUBSTITUTE(F918,"" "",""""),""^-?\d+(\.\d+)?""))&gt;=-90,VALUE(REGEXEXTRACT(SUBSTITUTE(F918,"" "",""""),""^-?\d+(\.\d+)?""))&lt;=90,VALUE(REGEXEXTRACT"&amp;"(SUBSTITUTE(F918,"" "",""""),""-?\d+(\.\d+)?$""))&gt;=-180,VALUE(REGEXEXTRACT(SUBSTITUTE(F918,"" "",""""),""-?\d+(\.\d+)?$""))&lt;=180),""OK"",""REVISAR"")"),"#N/A")</f>
        <v>#N/A</v>
      </c>
    </row>
    <row r="919" ht="15.75" customHeight="1">
      <c r="A919" s="5" t="str">
        <f t="shared" si="1"/>
        <v>AD507-0917</v>
      </c>
      <c r="C919" s="5"/>
      <c r="F919" s="5"/>
      <c r="G919" s="5" t="str">
        <f t="shared" si="2"/>
        <v/>
      </c>
      <c r="H919" s="5" t="str">
        <f t="shared" si="3"/>
        <v/>
      </c>
      <c r="I919" s="5" t="str">
        <f t="shared" si="4"/>
        <v/>
      </c>
      <c r="J919" s="5" t="str">
        <f t="shared" si="5"/>
        <v/>
      </c>
      <c r="K919" s="5" t="str">
        <f>IFERROR(__xludf.DUMMYFUNCTION("IF(C919&lt;&gt;"""",HYPERLINK(""https://wa.me/507""&amp;REGEXREPLACE(C919,""[^0-9]"","""")&amp;""?text=""&amp;ENCODEURL(""Ya llegue. Codigo: ""&amp;A919&amp;"". Ubicacion: ""&amp;""https://www.google.com/maps/search/?api=1&amp;query=""&amp;SUBSTITUTE(F919,"" "","""")),""📲 Avisar al cliente"""&amp;"),"""")"),"")</f>
        <v/>
      </c>
      <c r="L919" s="5" t="str">
        <f>IFERROR(__xludf.DUMMYFUNCTION("IF(C919&lt;&gt;"""",""https://api.qrserver.com/v1/create-qr-code/?size=200x200&amp;data=""&amp;ENCODEURL(""https://wa.me/507""&amp;REGEXREPLACE(C919,""[^0-9]"","""")&amp;""?text=""&amp;ENCODEURL(""Ya llegue. Codigo: ""&amp;A919&amp;"". Ubicacion: ""&amp;""https://www.google.com/maps/search/?a"&amp;"pi=1&amp;query=""&amp;SUBSTITUTE(F919,"" "",""""))),"""")"),"")</f>
        <v/>
      </c>
      <c r="M919" s="5" t="str">
        <f t="shared" si="6"/>
        <v/>
      </c>
      <c r="N919" s="5" t="str">
        <f>IFERROR(__xludf.DUMMYFUNCTION("IF(AND(F919&lt;&gt;"""",REGEXMATCH(SUBSTITUTE(F919,"" "",""""),""^-?\d+(\.\d+)?,-?\d+(\.\d+)?$""),VALUE(REGEXEXTRACT(SUBSTITUTE(F919,"" "",""""),""^-?\d+(\.\d+)?""))&gt;=-90,VALUE(REGEXEXTRACT(SUBSTITUTE(F919,"" "",""""),""^-?\d+(\.\d+)?""))&lt;=90,VALUE(REGEXEXTRACT"&amp;"(SUBSTITUTE(F919,"" "",""""),""-?\d+(\.\d+)?$""))&gt;=-180,VALUE(REGEXEXTRACT(SUBSTITUTE(F919,"" "",""""),""-?\d+(\.\d+)?$""))&lt;=180),""OK"",""REVISAR"")"),"#N/A")</f>
        <v>#N/A</v>
      </c>
    </row>
    <row r="920" ht="15.75" customHeight="1">
      <c r="A920" s="5" t="str">
        <f t="shared" si="1"/>
        <v>AD507-0918</v>
      </c>
      <c r="C920" s="5"/>
      <c r="F920" s="5"/>
      <c r="G920" s="5" t="str">
        <f t="shared" si="2"/>
        <v/>
      </c>
      <c r="H920" s="5" t="str">
        <f t="shared" si="3"/>
        <v/>
      </c>
      <c r="I920" s="5" t="str">
        <f t="shared" si="4"/>
        <v/>
      </c>
      <c r="J920" s="5" t="str">
        <f t="shared" si="5"/>
        <v/>
      </c>
      <c r="K920" s="5" t="str">
        <f>IFERROR(__xludf.DUMMYFUNCTION("IF(C920&lt;&gt;"""",HYPERLINK(""https://wa.me/507""&amp;REGEXREPLACE(C920,""[^0-9]"","""")&amp;""?text=""&amp;ENCODEURL(""Ya llegue. Codigo: ""&amp;A920&amp;"". Ubicacion: ""&amp;""https://www.google.com/maps/search/?api=1&amp;query=""&amp;SUBSTITUTE(F920,"" "","""")),""📲 Avisar al cliente"""&amp;"),"""")"),"")</f>
        <v/>
      </c>
      <c r="L920" s="5" t="str">
        <f>IFERROR(__xludf.DUMMYFUNCTION("IF(C920&lt;&gt;"""",""https://api.qrserver.com/v1/create-qr-code/?size=200x200&amp;data=""&amp;ENCODEURL(""https://wa.me/507""&amp;REGEXREPLACE(C920,""[^0-9]"","""")&amp;""?text=""&amp;ENCODEURL(""Ya llegue. Codigo: ""&amp;A920&amp;"". Ubicacion: ""&amp;""https://www.google.com/maps/search/?a"&amp;"pi=1&amp;query=""&amp;SUBSTITUTE(F920,"" "",""""))),"""")"),"")</f>
        <v/>
      </c>
      <c r="M920" s="5" t="str">
        <f t="shared" si="6"/>
        <v/>
      </c>
      <c r="N920" s="5" t="str">
        <f>IFERROR(__xludf.DUMMYFUNCTION("IF(AND(F920&lt;&gt;"""",REGEXMATCH(SUBSTITUTE(F920,"" "",""""),""^-?\d+(\.\d+)?,-?\d+(\.\d+)?$""),VALUE(REGEXEXTRACT(SUBSTITUTE(F920,"" "",""""),""^-?\d+(\.\d+)?""))&gt;=-90,VALUE(REGEXEXTRACT(SUBSTITUTE(F920,"" "",""""),""^-?\d+(\.\d+)?""))&lt;=90,VALUE(REGEXEXTRACT"&amp;"(SUBSTITUTE(F920,"" "",""""),""-?\d+(\.\d+)?$""))&gt;=-180,VALUE(REGEXEXTRACT(SUBSTITUTE(F920,"" "",""""),""-?\d+(\.\d+)?$""))&lt;=180),""OK"",""REVISAR"")"),"#N/A")</f>
        <v>#N/A</v>
      </c>
    </row>
    <row r="921" ht="15.75" customHeight="1">
      <c r="A921" s="5" t="str">
        <f t="shared" si="1"/>
        <v>AD507-0919</v>
      </c>
      <c r="C921" s="5"/>
      <c r="F921" s="5"/>
      <c r="G921" s="5" t="str">
        <f t="shared" si="2"/>
        <v/>
      </c>
      <c r="H921" s="5" t="str">
        <f t="shared" si="3"/>
        <v/>
      </c>
      <c r="I921" s="5" t="str">
        <f t="shared" si="4"/>
        <v/>
      </c>
      <c r="J921" s="5" t="str">
        <f t="shared" si="5"/>
        <v/>
      </c>
      <c r="K921" s="5" t="str">
        <f>IFERROR(__xludf.DUMMYFUNCTION("IF(C921&lt;&gt;"""",HYPERLINK(""https://wa.me/507""&amp;REGEXREPLACE(C921,""[^0-9]"","""")&amp;""?text=""&amp;ENCODEURL(""Ya llegue. Codigo: ""&amp;A921&amp;"". Ubicacion: ""&amp;""https://www.google.com/maps/search/?api=1&amp;query=""&amp;SUBSTITUTE(F921,"" "","""")),""📲 Avisar al cliente"""&amp;"),"""")"),"")</f>
        <v/>
      </c>
      <c r="L921" s="5" t="str">
        <f>IFERROR(__xludf.DUMMYFUNCTION("IF(C921&lt;&gt;"""",""https://api.qrserver.com/v1/create-qr-code/?size=200x200&amp;data=""&amp;ENCODEURL(""https://wa.me/507""&amp;REGEXREPLACE(C921,""[^0-9]"","""")&amp;""?text=""&amp;ENCODEURL(""Ya llegue. Codigo: ""&amp;A921&amp;"". Ubicacion: ""&amp;""https://www.google.com/maps/search/?a"&amp;"pi=1&amp;query=""&amp;SUBSTITUTE(F921,"" "",""""))),"""")"),"")</f>
        <v/>
      </c>
      <c r="M921" s="5" t="str">
        <f t="shared" si="6"/>
        <v/>
      </c>
      <c r="N921" s="5" t="str">
        <f>IFERROR(__xludf.DUMMYFUNCTION("IF(AND(F921&lt;&gt;"""",REGEXMATCH(SUBSTITUTE(F921,"" "",""""),""^-?\d+(\.\d+)?,-?\d+(\.\d+)?$""),VALUE(REGEXEXTRACT(SUBSTITUTE(F921,"" "",""""),""^-?\d+(\.\d+)?""))&gt;=-90,VALUE(REGEXEXTRACT(SUBSTITUTE(F921,"" "",""""),""^-?\d+(\.\d+)?""))&lt;=90,VALUE(REGEXEXTRACT"&amp;"(SUBSTITUTE(F921,"" "",""""),""-?\d+(\.\d+)?$""))&gt;=-180,VALUE(REGEXEXTRACT(SUBSTITUTE(F921,"" "",""""),""-?\d+(\.\d+)?$""))&lt;=180),""OK"",""REVISAR"")"),"#N/A")</f>
        <v>#N/A</v>
      </c>
    </row>
    <row r="922" ht="15.75" customHeight="1">
      <c r="A922" s="5" t="str">
        <f t="shared" si="1"/>
        <v>AD507-0920</v>
      </c>
      <c r="C922" s="5"/>
      <c r="F922" s="5"/>
      <c r="G922" s="5" t="str">
        <f t="shared" si="2"/>
        <v/>
      </c>
      <c r="H922" s="5" t="str">
        <f t="shared" si="3"/>
        <v/>
      </c>
      <c r="I922" s="5" t="str">
        <f t="shared" si="4"/>
        <v/>
      </c>
      <c r="J922" s="5" t="str">
        <f t="shared" si="5"/>
        <v/>
      </c>
      <c r="K922" s="5" t="str">
        <f>IFERROR(__xludf.DUMMYFUNCTION("IF(C922&lt;&gt;"""",HYPERLINK(""https://wa.me/507""&amp;REGEXREPLACE(C922,""[^0-9]"","""")&amp;""?text=""&amp;ENCODEURL(""Ya llegue. Codigo: ""&amp;A922&amp;"". Ubicacion: ""&amp;""https://www.google.com/maps/search/?api=1&amp;query=""&amp;SUBSTITUTE(F922,"" "","""")),""📲 Avisar al cliente"""&amp;"),"""")"),"")</f>
        <v/>
      </c>
      <c r="L922" s="5" t="str">
        <f>IFERROR(__xludf.DUMMYFUNCTION("IF(C922&lt;&gt;"""",""https://api.qrserver.com/v1/create-qr-code/?size=200x200&amp;data=""&amp;ENCODEURL(""https://wa.me/507""&amp;REGEXREPLACE(C922,""[^0-9]"","""")&amp;""?text=""&amp;ENCODEURL(""Ya llegue. Codigo: ""&amp;A922&amp;"". Ubicacion: ""&amp;""https://www.google.com/maps/search/?a"&amp;"pi=1&amp;query=""&amp;SUBSTITUTE(F922,"" "",""""))),"""")"),"")</f>
        <v/>
      </c>
      <c r="M922" s="5" t="str">
        <f t="shared" si="6"/>
        <v/>
      </c>
      <c r="N922" s="5" t="str">
        <f>IFERROR(__xludf.DUMMYFUNCTION("IF(AND(F922&lt;&gt;"""",REGEXMATCH(SUBSTITUTE(F922,"" "",""""),""^-?\d+(\.\d+)?,-?\d+(\.\d+)?$""),VALUE(REGEXEXTRACT(SUBSTITUTE(F922,"" "",""""),""^-?\d+(\.\d+)?""))&gt;=-90,VALUE(REGEXEXTRACT(SUBSTITUTE(F922,"" "",""""),""^-?\d+(\.\d+)?""))&lt;=90,VALUE(REGEXEXTRACT"&amp;"(SUBSTITUTE(F922,"" "",""""),""-?\d+(\.\d+)?$""))&gt;=-180,VALUE(REGEXEXTRACT(SUBSTITUTE(F922,"" "",""""),""-?\d+(\.\d+)?$""))&lt;=180),""OK"",""REVISAR"")"),"#N/A")</f>
        <v>#N/A</v>
      </c>
    </row>
    <row r="923" ht="15.75" customHeight="1">
      <c r="A923" s="5" t="str">
        <f t="shared" si="1"/>
        <v>AD507-0921</v>
      </c>
      <c r="C923" s="5"/>
      <c r="F923" s="5"/>
      <c r="G923" s="5" t="str">
        <f t="shared" si="2"/>
        <v/>
      </c>
      <c r="H923" s="5" t="str">
        <f t="shared" si="3"/>
        <v/>
      </c>
      <c r="I923" s="5" t="str">
        <f t="shared" si="4"/>
        <v/>
      </c>
      <c r="J923" s="5" t="str">
        <f t="shared" si="5"/>
        <v/>
      </c>
      <c r="K923" s="5" t="str">
        <f>IFERROR(__xludf.DUMMYFUNCTION("IF(C923&lt;&gt;"""",HYPERLINK(""https://wa.me/507""&amp;REGEXREPLACE(C923,""[^0-9]"","""")&amp;""?text=""&amp;ENCODEURL(""Ya llegue. Codigo: ""&amp;A923&amp;"". Ubicacion: ""&amp;""https://www.google.com/maps/search/?api=1&amp;query=""&amp;SUBSTITUTE(F923,"" "","""")),""📲 Avisar al cliente"""&amp;"),"""")"),"")</f>
        <v/>
      </c>
      <c r="L923" s="5" t="str">
        <f>IFERROR(__xludf.DUMMYFUNCTION("IF(C923&lt;&gt;"""",""https://api.qrserver.com/v1/create-qr-code/?size=200x200&amp;data=""&amp;ENCODEURL(""https://wa.me/507""&amp;REGEXREPLACE(C923,""[^0-9]"","""")&amp;""?text=""&amp;ENCODEURL(""Ya llegue. Codigo: ""&amp;A923&amp;"". Ubicacion: ""&amp;""https://www.google.com/maps/search/?a"&amp;"pi=1&amp;query=""&amp;SUBSTITUTE(F923,"" "",""""))),"""")"),"")</f>
        <v/>
      </c>
      <c r="M923" s="5" t="str">
        <f t="shared" si="6"/>
        <v/>
      </c>
      <c r="N923" s="5" t="str">
        <f>IFERROR(__xludf.DUMMYFUNCTION("IF(AND(F923&lt;&gt;"""",REGEXMATCH(SUBSTITUTE(F923,"" "",""""),""^-?\d+(\.\d+)?,-?\d+(\.\d+)?$""),VALUE(REGEXEXTRACT(SUBSTITUTE(F923,"" "",""""),""^-?\d+(\.\d+)?""))&gt;=-90,VALUE(REGEXEXTRACT(SUBSTITUTE(F923,"" "",""""),""^-?\d+(\.\d+)?""))&lt;=90,VALUE(REGEXEXTRACT"&amp;"(SUBSTITUTE(F923,"" "",""""),""-?\d+(\.\d+)?$""))&gt;=-180,VALUE(REGEXEXTRACT(SUBSTITUTE(F923,"" "",""""),""-?\d+(\.\d+)?$""))&lt;=180),""OK"",""REVISAR"")"),"#N/A")</f>
        <v>#N/A</v>
      </c>
    </row>
    <row r="924" ht="15.75" customHeight="1">
      <c r="A924" s="5" t="str">
        <f t="shared" si="1"/>
        <v>AD507-0922</v>
      </c>
      <c r="C924" s="5"/>
      <c r="F924" s="5"/>
      <c r="G924" s="5" t="str">
        <f t="shared" si="2"/>
        <v/>
      </c>
      <c r="H924" s="5" t="str">
        <f t="shared" si="3"/>
        <v/>
      </c>
      <c r="I924" s="5" t="str">
        <f t="shared" si="4"/>
        <v/>
      </c>
      <c r="J924" s="5" t="str">
        <f t="shared" si="5"/>
        <v/>
      </c>
      <c r="K924" s="5" t="str">
        <f>IFERROR(__xludf.DUMMYFUNCTION("IF(C924&lt;&gt;"""",HYPERLINK(""https://wa.me/507""&amp;REGEXREPLACE(C924,""[^0-9]"","""")&amp;""?text=""&amp;ENCODEURL(""Ya llegue. Codigo: ""&amp;A924&amp;"". Ubicacion: ""&amp;""https://www.google.com/maps/search/?api=1&amp;query=""&amp;SUBSTITUTE(F924,"" "","""")),""📲 Avisar al cliente"""&amp;"),"""")"),"")</f>
        <v/>
      </c>
      <c r="L924" s="5" t="str">
        <f>IFERROR(__xludf.DUMMYFUNCTION("IF(C924&lt;&gt;"""",""https://api.qrserver.com/v1/create-qr-code/?size=200x200&amp;data=""&amp;ENCODEURL(""https://wa.me/507""&amp;REGEXREPLACE(C924,""[^0-9]"","""")&amp;""?text=""&amp;ENCODEURL(""Ya llegue. Codigo: ""&amp;A924&amp;"". Ubicacion: ""&amp;""https://www.google.com/maps/search/?a"&amp;"pi=1&amp;query=""&amp;SUBSTITUTE(F924,"" "",""""))),"""")"),"")</f>
        <v/>
      </c>
      <c r="M924" s="5" t="str">
        <f t="shared" si="6"/>
        <v/>
      </c>
      <c r="N924" s="5" t="str">
        <f>IFERROR(__xludf.DUMMYFUNCTION("IF(AND(F924&lt;&gt;"""",REGEXMATCH(SUBSTITUTE(F924,"" "",""""),""^-?\d+(\.\d+)?,-?\d+(\.\d+)?$""),VALUE(REGEXEXTRACT(SUBSTITUTE(F924,"" "",""""),""^-?\d+(\.\d+)?""))&gt;=-90,VALUE(REGEXEXTRACT(SUBSTITUTE(F924,"" "",""""),""^-?\d+(\.\d+)?""))&lt;=90,VALUE(REGEXEXTRACT"&amp;"(SUBSTITUTE(F924,"" "",""""),""-?\d+(\.\d+)?$""))&gt;=-180,VALUE(REGEXEXTRACT(SUBSTITUTE(F924,"" "",""""),""-?\d+(\.\d+)?$""))&lt;=180),""OK"",""REVISAR"")"),"#N/A")</f>
        <v>#N/A</v>
      </c>
    </row>
    <row r="925" ht="15.75" customHeight="1">
      <c r="A925" s="5" t="str">
        <f t="shared" si="1"/>
        <v>AD507-0923</v>
      </c>
      <c r="C925" s="5"/>
      <c r="F925" s="5"/>
      <c r="G925" s="5" t="str">
        <f t="shared" si="2"/>
        <v/>
      </c>
      <c r="H925" s="5" t="str">
        <f t="shared" si="3"/>
        <v/>
      </c>
      <c r="I925" s="5" t="str">
        <f t="shared" si="4"/>
        <v/>
      </c>
      <c r="J925" s="5" t="str">
        <f t="shared" si="5"/>
        <v/>
      </c>
      <c r="K925" s="5" t="str">
        <f>IFERROR(__xludf.DUMMYFUNCTION("IF(C925&lt;&gt;"""",HYPERLINK(""https://wa.me/507""&amp;REGEXREPLACE(C925,""[^0-9]"","""")&amp;""?text=""&amp;ENCODEURL(""Ya llegue. Codigo: ""&amp;A925&amp;"". Ubicacion: ""&amp;""https://www.google.com/maps/search/?api=1&amp;query=""&amp;SUBSTITUTE(F925,"" "","""")),""📲 Avisar al cliente"""&amp;"),"""")"),"")</f>
        <v/>
      </c>
      <c r="L925" s="5" t="str">
        <f>IFERROR(__xludf.DUMMYFUNCTION("IF(C925&lt;&gt;"""",""https://api.qrserver.com/v1/create-qr-code/?size=200x200&amp;data=""&amp;ENCODEURL(""https://wa.me/507""&amp;REGEXREPLACE(C925,""[^0-9]"","""")&amp;""?text=""&amp;ENCODEURL(""Ya llegue. Codigo: ""&amp;A925&amp;"". Ubicacion: ""&amp;""https://www.google.com/maps/search/?a"&amp;"pi=1&amp;query=""&amp;SUBSTITUTE(F925,"" "",""""))),"""")"),"")</f>
        <v/>
      </c>
      <c r="M925" s="5" t="str">
        <f t="shared" si="6"/>
        <v/>
      </c>
      <c r="N925" s="5" t="str">
        <f>IFERROR(__xludf.DUMMYFUNCTION("IF(AND(F925&lt;&gt;"""",REGEXMATCH(SUBSTITUTE(F925,"" "",""""),""^-?\d+(\.\d+)?,-?\d+(\.\d+)?$""),VALUE(REGEXEXTRACT(SUBSTITUTE(F925,"" "",""""),""^-?\d+(\.\d+)?""))&gt;=-90,VALUE(REGEXEXTRACT(SUBSTITUTE(F925,"" "",""""),""^-?\d+(\.\d+)?""))&lt;=90,VALUE(REGEXEXTRACT"&amp;"(SUBSTITUTE(F925,"" "",""""),""-?\d+(\.\d+)?$""))&gt;=-180,VALUE(REGEXEXTRACT(SUBSTITUTE(F925,"" "",""""),""-?\d+(\.\d+)?$""))&lt;=180),""OK"",""REVISAR"")"),"#N/A")</f>
        <v>#N/A</v>
      </c>
    </row>
    <row r="926" ht="15.75" customHeight="1">
      <c r="A926" s="5" t="str">
        <f t="shared" si="1"/>
        <v>AD507-0924</v>
      </c>
      <c r="C926" s="5"/>
      <c r="F926" s="5"/>
      <c r="G926" s="5" t="str">
        <f t="shared" si="2"/>
        <v/>
      </c>
      <c r="H926" s="5" t="str">
        <f t="shared" si="3"/>
        <v/>
      </c>
      <c r="I926" s="5" t="str">
        <f t="shared" si="4"/>
        <v/>
      </c>
      <c r="J926" s="5" t="str">
        <f t="shared" si="5"/>
        <v/>
      </c>
      <c r="K926" s="5" t="str">
        <f>IFERROR(__xludf.DUMMYFUNCTION("IF(C926&lt;&gt;"""",HYPERLINK(""https://wa.me/507""&amp;REGEXREPLACE(C926,""[^0-9]"","""")&amp;""?text=""&amp;ENCODEURL(""Ya llegue. Codigo: ""&amp;A926&amp;"". Ubicacion: ""&amp;""https://www.google.com/maps/search/?api=1&amp;query=""&amp;SUBSTITUTE(F926,"" "","""")),""📲 Avisar al cliente"""&amp;"),"""")"),"")</f>
        <v/>
      </c>
      <c r="L926" s="5" t="str">
        <f>IFERROR(__xludf.DUMMYFUNCTION("IF(C926&lt;&gt;"""",""https://api.qrserver.com/v1/create-qr-code/?size=200x200&amp;data=""&amp;ENCODEURL(""https://wa.me/507""&amp;REGEXREPLACE(C926,""[^0-9]"","""")&amp;""?text=""&amp;ENCODEURL(""Ya llegue. Codigo: ""&amp;A926&amp;"". Ubicacion: ""&amp;""https://www.google.com/maps/search/?a"&amp;"pi=1&amp;query=""&amp;SUBSTITUTE(F926,"" "",""""))),"""")"),"")</f>
        <v/>
      </c>
      <c r="M926" s="5" t="str">
        <f t="shared" si="6"/>
        <v/>
      </c>
      <c r="N926" s="5" t="str">
        <f>IFERROR(__xludf.DUMMYFUNCTION("IF(AND(F926&lt;&gt;"""",REGEXMATCH(SUBSTITUTE(F926,"" "",""""),""^-?\d+(\.\d+)?,-?\d+(\.\d+)?$""),VALUE(REGEXEXTRACT(SUBSTITUTE(F926,"" "",""""),""^-?\d+(\.\d+)?""))&gt;=-90,VALUE(REGEXEXTRACT(SUBSTITUTE(F926,"" "",""""),""^-?\d+(\.\d+)?""))&lt;=90,VALUE(REGEXEXTRACT"&amp;"(SUBSTITUTE(F926,"" "",""""),""-?\d+(\.\d+)?$""))&gt;=-180,VALUE(REGEXEXTRACT(SUBSTITUTE(F926,"" "",""""),""-?\d+(\.\d+)?$""))&lt;=180),""OK"",""REVISAR"")"),"#N/A")</f>
        <v>#N/A</v>
      </c>
    </row>
    <row r="927" ht="15.75" customHeight="1">
      <c r="A927" s="5" t="str">
        <f t="shared" si="1"/>
        <v>AD507-0925</v>
      </c>
      <c r="C927" s="5"/>
      <c r="F927" s="5"/>
      <c r="G927" s="5" t="str">
        <f t="shared" si="2"/>
        <v/>
      </c>
      <c r="H927" s="5" t="str">
        <f t="shared" si="3"/>
        <v/>
      </c>
      <c r="I927" s="5" t="str">
        <f t="shared" si="4"/>
        <v/>
      </c>
      <c r="J927" s="5" t="str">
        <f t="shared" si="5"/>
        <v/>
      </c>
      <c r="K927" s="5" t="str">
        <f>IFERROR(__xludf.DUMMYFUNCTION("IF(C927&lt;&gt;"""",HYPERLINK(""https://wa.me/507""&amp;REGEXREPLACE(C927,""[^0-9]"","""")&amp;""?text=""&amp;ENCODEURL(""Ya llegue. Codigo: ""&amp;A927&amp;"". Ubicacion: ""&amp;""https://www.google.com/maps/search/?api=1&amp;query=""&amp;SUBSTITUTE(F927,"" "","""")),""📲 Avisar al cliente"""&amp;"),"""")"),"")</f>
        <v/>
      </c>
      <c r="L927" s="5" t="str">
        <f>IFERROR(__xludf.DUMMYFUNCTION("IF(C927&lt;&gt;"""",""https://api.qrserver.com/v1/create-qr-code/?size=200x200&amp;data=""&amp;ENCODEURL(""https://wa.me/507""&amp;REGEXREPLACE(C927,""[^0-9]"","""")&amp;""?text=""&amp;ENCODEURL(""Ya llegue. Codigo: ""&amp;A927&amp;"". Ubicacion: ""&amp;""https://www.google.com/maps/search/?a"&amp;"pi=1&amp;query=""&amp;SUBSTITUTE(F927,"" "",""""))),"""")"),"")</f>
        <v/>
      </c>
      <c r="M927" s="5" t="str">
        <f t="shared" si="6"/>
        <v/>
      </c>
      <c r="N927" s="5" t="str">
        <f>IFERROR(__xludf.DUMMYFUNCTION("IF(AND(F927&lt;&gt;"""",REGEXMATCH(SUBSTITUTE(F927,"" "",""""),""^-?\d+(\.\d+)?,-?\d+(\.\d+)?$""),VALUE(REGEXEXTRACT(SUBSTITUTE(F927,"" "",""""),""^-?\d+(\.\d+)?""))&gt;=-90,VALUE(REGEXEXTRACT(SUBSTITUTE(F927,"" "",""""),""^-?\d+(\.\d+)?""))&lt;=90,VALUE(REGEXEXTRACT"&amp;"(SUBSTITUTE(F927,"" "",""""),""-?\d+(\.\d+)?$""))&gt;=-180,VALUE(REGEXEXTRACT(SUBSTITUTE(F927,"" "",""""),""-?\d+(\.\d+)?$""))&lt;=180),""OK"",""REVISAR"")"),"#N/A")</f>
        <v>#N/A</v>
      </c>
    </row>
    <row r="928" ht="15.75" customHeight="1">
      <c r="A928" s="5" t="str">
        <f t="shared" si="1"/>
        <v>AD507-0926</v>
      </c>
      <c r="C928" s="5"/>
      <c r="F928" s="5"/>
      <c r="G928" s="5" t="str">
        <f t="shared" si="2"/>
        <v/>
      </c>
      <c r="H928" s="5" t="str">
        <f t="shared" si="3"/>
        <v/>
      </c>
      <c r="I928" s="5" t="str">
        <f t="shared" si="4"/>
        <v/>
      </c>
      <c r="J928" s="5" t="str">
        <f t="shared" si="5"/>
        <v/>
      </c>
      <c r="K928" s="5" t="str">
        <f>IFERROR(__xludf.DUMMYFUNCTION("IF(C928&lt;&gt;"""",HYPERLINK(""https://wa.me/507""&amp;REGEXREPLACE(C928,""[^0-9]"","""")&amp;""?text=""&amp;ENCODEURL(""Ya llegue. Codigo: ""&amp;A928&amp;"". Ubicacion: ""&amp;""https://www.google.com/maps/search/?api=1&amp;query=""&amp;SUBSTITUTE(F928,"" "","""")),""📲 Avisar al cliente"""&amp;"),"""")"),"")</f>
        <v/>
      </c>
      <c r="L928" s="5" t="str">
        <f>IFERROR(__xludf.DUMMYFUNCTION("IF(C928&lt;&gt;"""",""https://api.qrserver.com/v1/create-qr-code/?size=200x200&amp;data=""&amp;ENCODEURL(""https://wa.me/507""&amp;REGEXREPLACE(C928,""[^0-9]"","""")&amp;""?text=""&amp;ENCODEURL(""Ya llegue. Codigo: ""&amp;A928&amp;"". Ubicacion: ""&amp;""https://www.google.com/maps/search/?a"&amp;"pi=1&amp;query=""&amp;SUBSTITUTE(F928,"" "",""""))),"""")"),"")</f>
        <v/>
      </c>
      <c r="M928" s="5" t="str">
        <f t="shared" si="6"/>
        <v/>
      </c>
      <c r="N928" s="5" t="str">
        <f>IFERROR(__xludf.DUMMYFUNCTION("IF(AND(F928&lt;&gt;"""",REGEXMATCH(SUBSTITUTE(F928,"" "",""""),""^-?\d+(\.\d+)?,-?\d+(\.\d+)?$""),VALUE(REGEXEXTRACT(SUBSTITUTE(F928,"" "",""""),""^-?\d+(\.\d+)?""))&gt;=-90,VALUE(REGEXEXTRACT(SUBSTITUTE(F928,"" "",""""),""^-?\d+(\.\d+)?""))&lt;=90,VALUE(REGEXEXTRACT"&amp;"(SUBSTITUTE(F928,"" "",""""),""-?\d+(\.\d+)?$""))&gt;=-180,VALUE(REGEXEXTRACT(SUBSTITUTE(F928,"" "",""""),""-?\d+(\.\d+)?$""))&lt;=180),""OK"",""REVISAR"")"),"#N/A")</f>
        <v>#N/A</v>
      </c>
    </row>
    <row r="929" ht="15.75" customHeight="1">
      <c r="A929" s="5" t="str">
        <f t="shared" si="1"/>
        <v>AD507-0927</v>
      </c>
      <c r="C929" s="5"/>
      <c r="F929" s="5"/>
      <c r="G929" s="5" t="str">
        <f t="shared" si="2"/>
        <v/>
      </c>
      <c r="H929" s="5" t="str">
        <f t="shared" si="3"/>
        <v/>
      </c>
      <c r="I929" s="5" t="str">
        <f t="shared" si="4"/>
        <v/>
      </c>
      <c r="J929" s="5" t="str">
        <f t="shared" si="5"/>
        <v/>
      </c>
      <c r="K929" s="5" t="str">
        <f>IFERROR(__xludf.DUMMYFUNCTION("IF(C929&lt;&gt;"""",HYPERLINK(""https://wa.me/507""&amp;REGEXREPLACE(C929,""[^0-9]"","""")&amp;""?text=""&amp;ENCODEURL(""Ya llegue. Codigo: ""&amp;A929&amp;"". Ubicacion: ""&amp;""https://www.google.com/maps/search/?api=1&amp;query=""&amp;SUBSTITUTE(F929,"" "","""")),""📲 Avisar al cliente"""&amp;"),"""")"),"")</f>
        <v/>
      </c>
      <c r="L929" s="5" t="str">
        <f>IFERROR(__xludf.DUMMYFUNCTION("IF(C929&lt;&gt;"""",""https://api.qrserver.com/v1/create-qr-code/?size=200x200&amp;data=""&amp;ENCODEURL(""https://wa.me/507""&amp;REGEXREPLACE(C929,""[^0-9]"","""")&amp;""?text=""&amp;ENCODEURL(""Ya llegue. Codigo: ""&amp;A929&amp;"". Ubicacion: ""&amp;""https://www.google.com/maps/search/?a"&amp;"pi=1&amp;query=""&amp;SUBSTITUTE(F929,"" "",""""))),"""")"),"")</f>
        <v/>
      </c>
      <c r="M929" s="5" t="str">
        <f t="shared" si="6"/>
        <v/>
      </c>
      <c r="N929" s="5" t="str">
        <f>IFERROR(__xludf.DUMMYFUNCTION("IF(AND(F929&lt;&gt;"""",REGEXMATCH(SUBSTITUTE(F929,"" "",""""),""^-?\d+(\.\d+)?,-?\d+(\.\d+)?$""),VALUE(REGEXEXTRACT(SUBSTITUTE(F929,"" "",""""),""^-?\d+(\.\d+)?""))&gt;=-90,VALUE(REGEXEXTRACT(SUBSTITUTE(F929,"" "",""""),""^-?\d+(\.\d+)?""))&lt;=90,VALUE(REGEXEXTRACT"&amp;"(SUBSTITUTE(F929,"" "",""""),""-?\d+(\.\d+)?$""))&gt;=-180,VALUE(REGEXEXTRACT(SUBSTITUTE(F929,"" "",""""),""-?\d+(\.\d+)?$""))&lt;=180),""OK"",""REVISAR"")"),"#N/A")</f>
        <v>#N/A</v>
      </c>
    </row>
    <row r="930" ht="15.75" customHeight="1">
      <c r="A930" s="5" t="str">
        <f t="shared" si="1"/>
        <v>AD507-0928</v>
      </c>
      <c r="C930" s="5"/>
      <c r="F930" s="5"/>
      <c r="G930" s="5" t="str">
        <f t="shared" si="2"/>
        <v/>
      </c>
      <c r="H930" s="5" t="str">
        <f t="shared" si="3"/>
        <v/>
      </c>
      <c r="I930" s="5" t="str">
        <f t="shared" si="4"/>
        <v/>
      </c>
      <c r="J930" s="5" t="str">
        <f t="shared" si="5"/>
        <v/>
      </c>
      <c r="K930" s="5" t="str">
        <f>IFERROR(__xludf.DUMMYFUNCTION("IF(C930&lt;&gt;"""",HYPERLINK(""https://wa.me/507""&amp;REGEXREPLACE(C930,""[^0-9]"","""")&amp;""?text=""&amp;ENCODEURL(""Ya llegue. Codigo: ""&amp;A930&amp;"". Ubicacion: ""&amp;""https://www.google.com/maps/search/?api=1&amp;query=""&amp;SUBSTITUTE(F930,"" "","""")),""📲 Avisar al cliente"""&amp;"),"""")"),"")</f>
        <v/>
      </c>
      <c r="L930" s="5" t="str">
        <f>IFERROR(__xludf.DUMMYFUNCTION("IF(C930&lt;&gt;"""",""https://api.qrserver.com/v1/create-qr-code/?size=200x200&amp;data=""&amp;ENCODEURL(""https://wa.me/507""&amp;REGEXREPLACE(C930,""[^0-9]"","""")&amp;""?text=""&amp;ENCODEURL(""Ya llegue. Codigo: ""&amp;A930&amp;"". Ubicacion: ""&amp;""https://www.google.com/maps/search/?a"&amp;"pi=1&amp;query=""&amp;SUBSTITUTE(F930,"" "",""""))),"""")"),"")</f>
        <v/>
      </c>
      <c r="M930" s="5" t="str">
        <f t="shared" si="6"/>
        <v/>
      </c>
      <c r="N930" s="5" t="str">
        <f>IFERROR(__xludf.DUMMYFUNCTION("IF(AND(F930&lt;&gt;"""",REGEXMATCH(SUBSTITUTE(F930,"" "",""""),""^-?\d+(\.\d+)?,-?\d+(\.\d+)?$""),VALUE(REGEXEXTRACT(SUBSTITUTE(F930,"" "",""""),""^-?\d+(\.\d+)?""))&gt;=-90,VALUE(REGEXEXTRACT(SUBSTITUTE(F930,"" "",""""),""^-?\d+(\.\d+)?""))&lt;=90,VALUE(REGEXEXTRACT"&amp;"(SUBSTITUTE(F930,"" "",""""),""-?\d+(\.\d+)?$""))&gt;=-180,VALUE(REGEXEXTRACT(SUBSTITUTE(F930,"" "",""""),""-?\d+(\.\d+)?$""))&lt;=180),""OK"",""REVISAR"")"),"#N/A")</f>
        <v>#N/A</v>
      </c>
    </row>
    <row r="931" ht="15.75" customHeight="1">
      <c r="A931" s="5" t="str">
        <f t="shared" si="1"/>
        <v>AD507-0929</v>
      </c>
      <c r="C931" s="5"/>
      <c r="F931" s="5"/>
      <c r="G931" s="5" t="str">
        <f t="shared" si="2"/>
        <v/>
      </c>
      <c r="H931" s="5" t="str">
        <f t="shared" si="3"/>
        <v/>
      </c>
      <c r="I931" s="5" t="str">
        <f t="shared" si="4"/>
        <v/>
      </c>
      <c r="J931" s="5" t="str">
        <f t="shared" si="5"/>
        <v/>
      </c>
      <c r="K931" s="5" t="str">
        <f>IFERROR(__xludf.DUMMYFUNCTION("IF(C931&lt;&gt;"""",HYPERLINK(""https://wa.me/507""&amp;REGEXREPLACE(C931,""[^0-9]"","""")&amp;""?text=""&amp;ENCODEURL(""Ya llegue. Codigo: ""&amp;A931&amp;"". Ubicacion: ""&amp;""https://www.google.com/maps/search/?api=1&amp;query=""&amp;SUBSTITUTE(F931,"" "","""")),""📲 Avisar al cliente"""&amp;"),"""")"),"")</f>
        <v/>
      </c>
      <c r="L931" s="5" t="str">
        <f>IFERROR(__xludf.DUMMYFUNCTION("IF(C931&lt;&gt;"""",""https://api.qrserver.com/v1/create-qr-code/?size=200x200&amp;data=""&amp;ENCODEURL(""https://wa.me/507""&amp;REGEXREPLACE(C931,""[^0-9]"","""")&amp;""?text=""&amp;ENCODEURL(""Ya llegue. Codigo: ""&amp;A931&amp;"". Ubicacion: ""&amp;""https://www.google.com/maps/search/?a"&amp;"pi=1&amp;query=""&amp;SUBSTITUTE(F931,"" "",""""))),"""")"),"")</f>
        <v/>
      </c>
      <c r="M931" s="5" t="str">
        <f t="shared" si="6"/>
        <v/>
      </c>
      <c r="N931" s="5" t="str">
        <f>IFERROR(__xludf.DUMMYFUNCTION("IF(AND(F931&lt;&gt;"""",REGEXMATCH(SUBSTITUTE(F931,"" "",""""),""^-?\d+(\.\d+)?,-?\d+(\.\d+)?$""),VALUE(REGEXEXTRACT(SUBSTITUTE(F931,"" "",""""),""^-?\d+(\.\d+)?""))&gt;=-90,VALUE(REGEXEXTRACT(SUBSTITUTE(F931,"" "",""""),""^-?\d+(\.\d+)?""))&lt;=90,VALUE(REGEXEXTRACT"&amp;"(SUBSTITUTE(F931,"" "",""""),""-?\d+(\.\d+)?$""))&gt;=-180,VALUE(REGEXEXTRACT(SUBSTITUTE(F931,"" "",""""),""-?\d+(\.\d+)?$""))&lt;=180),""OK"",""REVISAR"")"),"#N/A")</f>
        <v>#N/A</v>
      </c>
    </row>
    <row r="932" ht="15.75" customHeight="1">
      <c r="A932" s="5" t="str">
        <f t="shared" si="1"/>
        <v>AD507-0930</v>
      </c>
      <c r="C932" s="5"/>
      <c r="F932" s="5"/>
      <c r="G932" s="5" t="str">
        <f t="shared" si="2"/>
        <v/>
      </c>
      <c r="H932" s="5" t="str">
        <f t="shared" si="3"/>
        <v/>
      </c>
      <c r="I932" s="5" t="str">
        <f t="shared" si="4"/>
        <v/>
      </c>
      <c r="J932" s="5" t="str">
        <f t="shared" si="5"/>
        <v/>
      </c>
      <c r="K932" s="5" t="str">
        <f>IFERROR(__xludf.DUMMYFUNCTION("IF(C932&lt;&gt;"""",HYPERLINK(""https://wa.me/507""&amp;REGEXREPLACE(C932,""[^0-9]"","""")&amp;""?text=""&amp;ENCODEURL(""Ya llegue. Codigo: ""&amp;A932&amp;"". Ubicacion: ""&amp;""https://www.google.com/maps/search/?api=1&amp;query=""&amp;SUBSTITUTE(F932,"" "","""")),""📲 Avisar al cliente"""&amp;"),"""")"),"")</f>
        <v/>
      </c>
      <c r="L932" s="5" t="str">
        <f>IFERROR(__xludf.DUMMYFUNCTION("IF(C932&lt;&gt;"""",""https://api.qrserver.com/v1/create-qr-code/?size=200x200&amp;data=""&amp;ENCODEURL(""https://wa.me/507""&amp;REGEXREPLACE(C932,""[^0-9]"","""")&amp;""?text=""&amp;ENCODEURL(""Ya llegue. Codigo: ""&amp;A932&amp;"". Ubicacion: ""&amp;""https://www.google.com/maps/search/?a"&amp;"pi=1&amp;query=""&amp;SUBSTITUTE(F932,"" "",""""))),"""")"),"")</f>
        <v/>
      </c>
      <c r="M932" s="5" t="str">
        <f t="shared" si="6"/>
        <v/>
      </c>
      <c r="N932" s="5" t="str">
        <f>IFERROR(__xludf.DUMMYFUNCTION("IF(AND(F932&lt;&gt;"""",REGEXMATCH(SUBSTITUTE(F932,"" "",""""),""^-?\d+(\.\d+)?,-?\d+(\.\d+)?$""),VALUE(REGEXEXTRACT(SUBSTITUTE(F932,"" "",""""),""^-?\d+(\.\d+)?""))&gt;=-90,VALUE(REGEXEXTRACT(SUBSTITUTE(F932,"" "",""""),""^-?\d+(\.\d+)?""))&lt;=90,VALUE(REGEXEXTRACT"&amp;"(SUBSTITUTE(F932,"" "",""""),""-?\d+(\.\d+)?$""))&gt;=-180,VALUE(REGEXEXTRACT(SUBSTITUTE(F932,"" "",""""),""-?\d+(\.\d+)?$""))&lt;=180),""OK"",""REVISAR"")"),"#N/A")</f>
        <v>#N/A</v>
      </c>
    </row>
    <row r="933" ht="15.75" customHeight="1">
      <c r="A933" s="5" t="str">
        <f t="shared" si="1"/>
        <v>AD507-0931</v>
      </c>
      <c r="C933" s="5"/>
      <c r="F933" s="5"/>
      <c r="G933" s="5" t="str">
        <f t="shared" si="2"/>
        <v/>
      </c>
      <c r="H933" s="5" t="str">
        <f t="shared" si="3"/>
        <v/>
      </c>
      <c r="I933" s="5" t="str">
        <f t="shared" si="4"/>
        <v/>
      </c>
      <c r="J933" s="5" t="str">
        <f t="shared" si="5"/>
        <v/>
      </c>
      <c r="K933" s="5" t="str">
        <f>IFERROR(__xludf.DUMMYFUNCTION("IF(C933&lt;&gt;"""",HYPERLINK(""https://wa.me/507""&amp;REGEXREPLACE(C933,""[^0-9]"","""")&amp;""?text=""&amp;ENCODEURL(""Ya llegue. Codigo: ""&amp;A933&amp;"". Ubicacion: ""&amp;""https://www.google.com/maps/search/?api=1&amp;query=""&amp;SUBSTITUTE(F933,"" "","""")),""📲 Avisar al cliente"""&amp;"),"""")"),"")</f>
        <v/>
      </c>
      <c r="L933" s="5" t="str">
        <f>IFERROR(__xludf.DUMMYFUNCTION("IF(C933&lt;&gt;"""",""https://api.qrserver.com/v1/create-qr-code/?size=200x200&amp;data=""&amp;ENCODEURL(""https://wa.me/507""&amp;REGEXREPLACE(C933,""[^0-9]"","""")&amp;""?text=""&amp;ENCODEURL(""Ya llegue. Codigo: ""&amp;A933&amp;"". Ubicacion: ""&amp;""https://www.google.com/maps/search/?a"&amp;"pi=1&amp;query=""&amp;SUBSTITUTE(F933,"" "",""""))),"""")"),"")</f>
        <v/>
      </c>
      <c r="M933" s="5" t="str">
        <f t="shared" si="6"/>
        <v/>
      </c>
      <c r="N933" s="5" t="str">
        <f>IFERROR(__xludf.DUMMYFUNCTION("IF(AND(F933&lt;&gt;"""",REGEXMATCH(SUBSTITUTE(F933,"" "",""""),""^-?\d+(\.\d+)?,-?\d+(\.\d+)?$""),VALUE(REGEXEXTRACT(SUBSTITUTE(F933,"" "",""""),""^-?\d+(\.\d+)?""))&gt;=-90,VALUE(REGEXEXTRACT(SUBSTITUTE(F933,"" "",""""),""^-?\d+(\.\d+)?""))&lt;=90,VALUE(REGEXEXTRACT"&amp;"(SUBSTITUTE(F933,"" "",""""),""-?\d+(\.\d+)?$""))&gt;=-180,VALUE(REGEXEXTRACT(SUBSTITUTE(F933,"" "",""""),""-?\d+(\.\d+)?$""))&lt;=180),""OK"",""REVISAR"")"),"#N/A")</f>
        <v>#N/A</v>
      </c>
    </row>
    <row r="934" ht="15.75" customHeight="1">
      <c r="A934" s="5" t="str">
        <f t="shared" si="1"/>
        <v>AD507-0932</v>
      </c>
      <c r="C934" s="5"/>
      <c r="F934" s="5"/>
      <c r="G934" s="5" t="str">
        <f t="shared" si="2"/>
        <v/>
      </c>
      <c r="H934" s="5" t="str">
        <f t="shared" si="3"/>
        <v/>
      </c>
      <c r="I934" s="5" t="str">
        <f t="shared" si="4"/>
        <v/>
      </c>
      <c r="J934" s="5" t="str">
        <f t="shared" si="5"/>
        <v/>
      </c>
      <c r="K934" s="5" t="str">
        <f>IFERROR(__xludf.DUMMYFUNCTION("IF(C934&lt;&gt;"""",HYPERLINK(""https://wa.me/507""&amp;REGEXREPLACE(C934,""[^0-9]"","""")&amp;""?text=""&amp;ENCODEURL(""Ya llegue. Codigo: ""&amp;A934&amp;"". Ubicacion: ""&amp;""https://www.google.com/maps/search/?api=1&amp;query=""&amp;SUBSTITUTE(F934,"" "","""")),""📲 Avisar al cliente"""&amp;"),"""")"),"")</f>
        <v/>
      </c>
      <c r="L934" s="5" t="str">
        <f>IFERROR(__xludf.DUMMYFUNCTION("IF(C934&lt;&gt;"""",""https://api.qrserver.com/v1/create-qr-code/?size=200x200&amp;data=""&amp;ENCODEURL(""https://wa.me/507""&amp;REGEXREPLACE(C934,""[^0-9]"","""")&amp;""?text=""&amp;ENCODEURL(""Ya llegue. Codigo: ""&amp;A934&amp;"". Ubicacion: ""&amp;""https://www.google.com/maps/search/?a"&amp;"pi=1&amp;query=""&amp;SUBSTITUTE(F934,"" "",""""))),"""")"),"")</f>
        <v/>
      </c>
      <c r="M934" s="5" t="str">
        <f t="shared" si="6"/>
        <v/>
      </c>
      <c r="N934" s="5" t="str">
        <f>IFERROR(__xludf.DUMMYFUNCTION("IF(AND(F934&lt;&gt;"""",REGEXMATCH(SUBSTITUTE(F934,"" "",""""),""^-?\d+(\.\d+)?,-?\d+(\.\d+)?$""),VALUE(REGEXEXTRACT(SUBSTITUTE(F934,"" "",""""),""^-?\d+(\.\d+)?""))&gt;=-90,VALUE(REGEXEXTRACT(SUBSTITUTE(F934,"" "",""""),""^-?\d+(\.\d+)?""))&lt;=90,VALUE(REGEXEXTRACT"&amp;"(SUBSTITUTE(F934,"" "",""""),""-?\d+(\.\d+)?$""))&gt;=-180,VALUE(REGEXEXTRACT(SUBSTITUTE(F934,"" "",""""),""-?\d+(\.\d+)?$""))&lt;=180),""OK"",""REVISAR"")"),"#N/A")</f>
        <v>#N/A</v>
      </c>
    </row>
    <row r="935" ht="15.75" customHeight="1">
      <c r="A935" s="5" t="str">
        <f t="shared" si="1"/>
        <v>AD507-0933</v>
      </c>
      <c r="C935" s="5"/>
      <c r="F935" s="5"/>
      <c r="G935" s="5" t="str">
        <f t="shared" si="2"/>
        <v/>
      </c>
      <c r="H935" s="5" t="str">
        <f t="shared" si="3"/>
        <v/>
      </c>
      <c r="I935" s="5" t="str">
        <f t="shared" si="4"/>
        <v/>
      </c>
      <c r="J935" s="5" t="str">
        <f t="shared" si="5"/>
        <v/>
      </c>
      <c r="K935" s="5" t="str">
        <f>IFERROR(__xludf.DUMMYFUNCTION("IF(C935&lt;&gt;"""",HYPERLINK(""https://wa.me/507""&amp;REGEXREPLACE(C935,""[^0-9]"","""")&amp;""?text=""&amp;ENCODEURL(""Ya llegue. Codigo: ""&amp;A935&amp;"". Ubicacion: ""&amp;""https://www.google.com/maps/search/?api=1&amp;query=""&amp;SUBSTITUTE(F935,"" "","""")),""📲 Avisar al cliente"""&amp;"),"""")"),"")</f>
        <v/>
      </c>
      <c r="L935" s="5" t="str">
        <f>IFERROR(__xludf.DUMMYFUNCTION("IF(C935&lt;&gt;"""",""https://api.qrserver.com/v1/create-qr-code/?size=200x200&amp;data=""&amp;ENCODEURL(""https://wa.me/507""&amp;REGEXREPLACE(C935,""[^0-9]"","""")&amp;""?text=""&amp;ENCODEURL(""Ya llegue. Codigo: ""&amp;A935&amp;"". Ubicacion: ""&amp;""https://www.google.com/maps/search/?a"&amp;"pi=1&amp;query=""&amp;SUBSTITUTE(F935,"" "",""""))),"""")"),"")</f>
        <v/>
      </c>
      <c r="M935" s="5" t="str">
        <f t="shared" si="6"/>
        <v/>
      </c>
      <c r="N935" s="5" t="str">
        <f>IFERROR(__xludf.DUMMYFUNCTION("IF(AND(F935&lt;&gt;"""",REGEXMATCH(SUBSTITUTE(F935,"" "",""""),""^-?\d+(\.\d+)?,-?\d+(\.\d+)?$""),VALUE(REGEXEXTRACT(SUBSTITUTE(F935,"" "",""""),""^-?\d+(\.\d+)?""))&gt;=-90,VALUE(REGEXEXTRACT(SUBSTITUTE(F935,"" "",""""),""^-?\d+(\.\d+)?""))&lt;=90,VALUE(REGEXEXTRACT"&amp;"(SUBSTITUTE(F935,"" "",""""),""-?\d+(\.\d+)?$""))&gt;=-180,VALUE(REGEXEXTRACT(SUBSTITUTE(F935,"" "",""""),""-?\d+(\.\d+)?$""))&lt;=180),""OK"",""REVISAR"")"),"#N/A")</f>
        <v>#N/A</v>
      </c>
    </row>
    <row r="936" ht="15.75" customHeight="1">
      <c r="A936" s="5" t="str">
        <f t="shared" si="1"/>
        <v>AD507-0934</v>
      </c>
      <c r="C936" s="5"/>
      <c r="F936" s="5"/>
      <c r="G936" s="5" t="str">
        <f t="shared" si="2"/>
        <v/>
      </c>
      <c r="H936" s="5" t="str">
        <f t="shared" si="3"/>
        <v/>
      </c>
      <c r="I936" s="5" t="str">
        <f t="shared" si="4"/>
        <v/>
      </c>
      <c r="J936" s="5" t="str">
        <f t="shared" si="5"/>
        <v/>
      </c>
      <c r="K936" s="5" t="str">
        <f>IFERROR(__xludf.DUMMYFUNCTION("IF(C936&lt;&gt;"""",HYPERLINK(""https://wa.me/507""&amp;REGEXREPLACE(C936,""[^0-9]"","""")&amp;""?text=""&amp;ENCODEURL(""Ya llegue. Codigo: ""&amp;A936&amp;"". Ubicacion: ""&amp;""https://www.google.com/maps/search/?api=1&amp;query=""&amp;SUBSTITUTE(F936,"" "","""")),""📲 Avisar al cliente"""&amp;"),"""")"),"")</f>
        <v/>
      </c>
      <c r="L936" s="5" t="str">
        <f>IFERROR(__xludf.DUMMYFUNCTION("IF(C936&lt;&gt;"""",""https://api.qrserver.com/v1/create-qr-code/?size=200x200&amp;data=""&amp;ENCODEURL(""https://wa.me/507""&amp;REGEXREPLACE(C936,""[^0-9]"","""")&amp;""?text=""&amp;ENCODEURL(""Ya llegue. Codigo: ""&amp;A936&amp;"". Ubicacion: ""&amp;""https://www.google.com/maps/search/?a"&amp;"pi=1&amp;query=""&amp;SUBSTITUTE(F936,"" "",""""))),"""")"),"")</f>
        <v/>
      </c>
      <c r="M936" s="5" t="str">
        <f t="shared" si="6"/>
        <v/>
      </c>
      <c r="N936" s="5" t="str">
        <f>IFERROR(__xludf.DUMMYFUNCTION("IF(AND(F936&lt;&gt;"""",REGEXMATCH(SUBSTITUTE(F936,"" "",""""),""^-?\d+(\.\d+)?,-?\d+(\.\d+)?$""),VALUE(REGEXEXTRACT(SUBSTITUTE(F936,"" "",""""),""^-?\d+(\.\d+)?""))&gt;=-90,VALUE(REGEXEXTRACT(SUBSTITUTE(F936,"" "",""""),""^-?\d+(\.\d+)?""))&lt;=90,VALUE(REGEXEXTRACT"&amp;"(SUBSTITUTE(F936,"" "",""""),""-?\d+(\.\d+)?$""))&gt;=-180,VALUE(REGEXEXTRACT(SUBSTITUTE(F936,"" "",""""),""-?\d+(\.\d+)?$""))&lt;=180),""OK"",""REVISAR"")"),"#N/A")</f>
        <v>#N/A</v>
      </c>
    </row>
    <row r="937" ht="15.75" customHeight="1">
      <c r="A937" s="5" t="str">
        <f t="shared" si="1"/>
        <v>AD507-0935</v>
      </c>
      <c r="C937" s="5"/>
      <c r="F937" s="5"/>
      <c r="G937" s="5" t="str">
        <f t="shared" si="2"/>
        <v/>
      </c>
      <c r="H937" s="5" t="str">
        <f t="shared" si="3"/>
        <v/>
      </c>
      <c r="I937" s="5" t="str">
        <f t="shared" si="4"/>
        <v/>
      </c>
      <c r="J937" s="5" t="str">
        <f t="shared" si="5"/>
        <v/>
      </c>
      <c r="K937" s="5" t="str">
        <f>IFERROR(__xludf.DUMMYFUNCTION("IF(C937&lt;&gt;"""",HYPERLINK(""https://wa.me/507""&amp;REGEXREPLACE(C937,""[^0-9]"","""")&amp;""?text=""&amp;ENCODEURL(""Ya llegue. Codigo: ""&amp;A937&amp;"". Ubicacion: ""&amp;""https://www.google.com/maps/search/?api=1&amp;query=""&amp;SUBSTITUTE(F937,"" "","""")),""📲 Avisar al cliente"""&amp;"),"""")"),"")</f>
        <v/>
      </c>
      <c r="L937" s="5" t="str">
        <f>IFERROR(__xludf.DUMMYFUNCTION("IF(C937&lt;&gt;"""",""https://api.qrserver.com/v1/create-qr-code/?size=200x200&amp;data=""&amp;ENCODEURL(""https://wa.me/507""&amp;REGEXREPLACE(C937,""[^0-9]"","""")&amp;""?text=""&amp;ENCODEURL(""Ya llegue. Codigo: ""&amp;A937&amp;"". Ubicacion: ""&amp;""https://www.google.com/maps/search/?a"&amp;"pi=1&amp;query=""&amp;SUBSTITUTE(F937,"" "",""""))),"""")"),"")</f>
        <v/>
      </c>
      <c r="M937" s="5" t="str">
        <f t="shared" si="6"/>
        <v/>
      </c>
      <c r="N937" s="5" t="str">
        <f>IFERROR(__xludf.DUMMYFUNCTION("IF(AND(F937&lt;&gt;"""",REGEXMATCH(SUBSTITUTE(F937,"" "",""""),""^-?\d+(\.\d+)?,-?\d+(\.\d+)?$""),VALUE(REGEXEXTRACT(SUBSTITUTE(F937,"" "",""""),""^-?\d+(\.\d+)?""))&gt;=-90,VALUE(REGEXEXTRACT(SUBSTITUTE(F937,"" "",""""),""^-?\d+(\.\d+)?""))&lt;=90,VALUE(REGEXEXTRACT"&amp;"(SUBSTITUTE(F937,"" "",""""),""-?\d+(\.\d+)?$""))&gt;=-180,VALUE(REGEXEXTRACT(SUBSTITUTE(F937,"" "",""""),""-?\d+(\.\d+)?$""))&lt;=180),""OK"",""REVISAR"")"),"#N/A")</f>
        <v>#N/A</v>
      </c>
    </row>
    <row r="938" ht="15.75" customHeight="1">
      <c r="A938" s="5" t="str">
        <f t="shared" si="1"/>
        <v>AD507-0936</v>
      </c>
      <c r="C938" s="5"/>
      <c r="F938" s="5"/>
      <c r="G938" s="5" t="str">
        <f t="shared" si="2"/>
        <v/>
      </c>
      <c r="H938" s="5" t="str">
        <f t="shared" si="3"/>
        <v/>
      </c>
      <c r="I938" s="5" t="str">
        <f t="shared" si="4"/>
        <v/>
      </c>
      <c r="J938" s="5" t="str">
        <f t="shared" si="5"/>
        <v/>
      </c>
      <c r="K938" s="5" t="str">
        <f>IFERROR(__xludf.DUMMYFUNCTION("IF(C938&lt;&gt;"""",HYPERLINK(""https://wa.me/507""&amp;REGEXREPLACE(C938,""[^0-9]"","""")&amp;""?text=""&amp;ENCODEURL(""Ya llegue. Codigo: ""&amp;A938&amp;"". Ubicacion: ""&amp;""https://www.google.com/maps/search/?api=1&amp;query=""&amp;SUBSTITUTE(F938,"" "","""")),""📲 Avisar al cliente"""&amp;"),"""")"),"")</f>
        <v/>
      </c>
      <c r="L938" s="5" t="str">
        <f>IFERROR(__xludf.DUMMYFUNCTION("IF(C938&lt;&gt;"""",""https://api.qrserver.com/v1/create-qr-code/?size=200x200&amp;data=""&amp;ENCODEURL(""https://wa.me/507""&amp;REGEXREPLACE(C938,""[^0-9]"","""")&amp;""?text=""&amp;ENCODEURL(""Ya llegue. Codigo: ""&amp;A938&amp;"". Ubicacion: ""&amp;""https://www.google.com/maps/search/?a"&amp;"pi=1&amp;query=""&amp;SUBSTITUTE(F938,"" "",""""))),"""")"),"")</f>
        <v/>
      </c>
      <c r="M938" s="5" t="str">
        <f t="shared" si="6"/>
        <v/>
      </c>
      <c r="N938" s="5" t="str">
        <f>IFERROR(__xludf.DUMMYFUNCTION("IF(AND(F938&lt;&gt;"""",REGEXMATCH(SUBSTITUTE(F938,"" "",""""),""^-?\d+(\.\d+)?,-?\d+(\.\d+)?$""),VALUE(REGEXEXTRACT(SUBSTITUTE(F938,"" "",""""),""^-?\d+(\.\d+)?""))&gt;=-90,VALUE(REGEXEXTRACT(SUBSTITUTE(F938,"" "",""""),""^-?\d+(\.\d+)?""))&lt;=90,VALUE(REGEXEXTRACT"&amp;"(SUBSTITUTE(F938,"" "",""""),""-?\d+(\.\d+)?$""))&gt;=-180,VALUE(REGEXEXTRACT(SUBSTITUTE(F938,"" "",""""),""-?\d+(\.\d+)?$""))&lt;=180),""OK"",""REVISAR"")"),"#N/A")</f>
        <v>#N/A</v>
      </c>
    </row>
    <row r="939" ht="15.75" customHeight="1">
      <c r="A939" s="5" t="str">
        <f t="shared" si="1"/>
        <v>AD507-0937</v>
      </c>
      <c r="C939" s="5"/>
      <c r="F939" s="5"/>
      <c r="G939" s="5" t="str">
        <f t="shared" si="2"/>
        <v/>
      </c>
      <c r="H939" s="5" t="str">
        <f t="shared" si="3"/>
        <v/>
      </c>
      <c r="I939" s="5" t="str">
        <f t="shared" si="4"/>
        <v/>
      </c>
      <c r="J939" s="5" t="str">
        <f t="shared" si="5"/>
        <v/>
      </c>
      <c r="K939" s="5" t="str">
        <f>IFERROR(__xludf.DUMMYFUNCTION("IF(C939&lt;&gt;"""",HYPERLINK(""https://wa.me/507""&amp;REGEXREPLACE(C939,""[^0-9]"","""")&amp;""?text=""&amp;ENCODEURL(""Ya llegue. Codigo: ""&amp;A939&amp;"". Ubicacion: ""&amp;""https://www.google.com/maps/search/?api=1&amp;query=""&amp;SUBSTITUTE(F939,"" "","""")),""📲 Avisar al cliente"""&amp;"),"""")"),"")</f>
        <v/>
      </c>
      <c r="L939" s="5" t="str">
        <f>IFERROR(__xludf.DUMMYFUNCTION("IF(C939&lt;&gt;"""",""https://api.qrserver.com/v1/create-qr-code/?size=200x200&amp;data=""&amp;ENCODEURL(""https://wa.me/507""&amp;REGEXREPLACE(C939,""[^0-9]"","""")&amp;""?text=""&amp;ENCODEURL(""Ya llegue. Codigo: ""&amp;A939&amp;"". Ubicacion: ""&amp;""https://www.google.com/maps/search/?a"&amp;"pi=1&amp;query=""&amp;SUBSTITUTE(F939,"" "",""""))),"""")"),"")</f>
        <v/>
      </c>
      <c r="M939" s="5" t="str">
        <f t="shared" si="6"/>
        <v/>
      </c>
      <c r="N939" s="5" t="str">
        <f>IFERROR(__xludf.DUMMYFUNCTION("IF(AND(F939&lt;&gt;"""",REGEXMATCH(SUBSTITUTE(F939,"" "",""""),""^-?\d+(\.\d+)?,-?\d+(\.\d+)?$""),VALUE(REGEXEXTRACT(SUBSTITUTE(F939,"" "",""""),""^-?\d+(\.\d+)?""))&gt;=-90,VALUE(REGEXEXTRACT(SUBSTITUTE(F939,"" "",""""),""^-?\d+(\.\d+)?""))&lt;=90,VALUE(REGEXEXTRACT"&amp;"(SUBSTITUTE(F939,"" "",""""),""-?\d+(\.\d+)?$""))&gt;=-180,VALUE(REGEXEXTRACT(SUBSTITUTE(F939,"" "",""""),""-?\d+(\.\d+)?$""))&lt;=180),""OK"",""REVISAR"")"),"#N/A")</f>
        <v>#N/A</v>
      </c>
    </row>
    <row r="940" ht="15.75" customHeight="1">
      <c r="A940" s="5" t="str">
        <f t="shared" si="1"/>
        <v>AD507-0938</v>
      </c>
      <c r="C940" s="5"/>
      <c r="F940" s="5"/>
      <c r="G940" s="5" t="str">
        <f t="shared" si="2"/>
        <v/>
      </c>
      <c r="H940" s="5" t="str">
        <f t="shared" si="3"/>
        <v/>
      </c>
      <c r="I940" s="5" t="str">
        <f t="shared" si="4"/>
        <v/>
      </c>
      <c r="J940" s="5" t="str">
        <f t="shared" si="5"/>
        <v/>
      </c>
      <c r="K940" s="5" t="str">
        <f>IFERROR(__xludf.DUMMYFUNCTION("IF(C940&lt;&gt;"""",HYPERLINK(""https://wa.me/507""&amp;REGEXREPLACE(C940,""[^0-9]"","""")&amp;""?text=""&amp;ENCODEURL(""Ya llegue. Codigo: ""&amp;A940&amp;"". Ubicacion: ""&amp;""https://www.google.com/maps/search/?api=1&amp;query=""&amp;SUBSTITUTE(F940,"" "","""")),""📲 Avisar al cliente"""&amp;"),"""")"),"")</f>
        <v/>
      </c>
      <c r="L940" s="5" t="str">
        <f>IFERROR(__xludf.DUMMYFUNCTION("IF(C940&lt;&gt;"""",""https://api.qrserver.com/v1/create-qr-code/?size=200x200&amp;data=""&amp;ENCODEURL(""https://wa.me/507""&amp;REGEXREPLACE(C940,""[^0-9]"","""")&amp;""?text=""&amp;ENCODEURL(""Ya llegue. Codigo: ""&amp;A940&amp;"". Ubicacion: ""&amp;""https://www.google.com/maps/search/?a"&amp;"pi=1&amp;query=""&amp;SUBSTITUTE(F940,"" "",""""))),"""")"),"")</f>
        <v/>
      </c>
      <c r="M940" s="5" t="str">
        <f t="shared" si="6"/>
        <v/>
      </c>
      <c r="N940" s="5" t="str">
        <f>IFERROR(__xludf.DUMMYFUNCTION("IF(AND(F940&lt;&gt;"""",REGEXMATCH(SUBSTITUTE(F940,"" "",""""),""^-?\d+(\.\d+)?,-?\d+(\.\d+)?$""),VALUE(REGEXEXTRACT(SUBSTITUTE(F940,"" "",""""),""^-?\d+(\.\d+)?""))&gt;=-90,VALUE(REGEXEXTRACT(SUBSTITUTE(F940,"" "",""""),""^-?\d+(\.\d+)?""))&lt;=90,VALUE(REGEXEXTRACT"&amp;"(SUBSTITUTE(F940,"" "",""""),""-?\d+(\.\d+)?$""))&gt;=-180,VALUE(REGEXEXTRACT(SUBSTITUTE(F940,"" "",""""),""-?\d+(\.\d+)?$""))&lt;=180),""OK"",""REVISAR"")"),"#N/A")</f>
        <v>#N/A</v>
      </c>
    </row>
    <row r="941" ht="15.75" customHeight="1">
      <c r="A941" s="5" t="str">
        <f t="shared" si="1"/>
        <v>AD507-0939</v>
      </c>
      <c r="C941" s="5"/>
      <c r="F941" s="5"/>
      <c r="G941" s="5" t="str">
        <f t="shared" si="2"/>
        <v/>
      </c>
      <c r="H941" s="5" t="str">
        <f t="shared" si="3"/>
        <v/>
      </c>
      <c r="I941" s="5" t="str">
        <f t="shared" si="4"/>
        <v/>
      </c>
      <c r="J941" s="5" t="str">
        <f t="shared" si="5"/>
        <v/>
      </c>
      <c r="K941" s="5" t="str">
        <f>IFERROR(__xludf.DUMMYFUNCTION("IF(C941&lt;&gt;"""",HYPERLINK(""https://wa.me/507""&amp;REGEXREPLACE(C941,""[^0-9]"","""")&amp;""?text=""&amp;ENCODEURL(""Ya llegue. Codigo: ""&amp;A941&amp;"". Ubicacion: ""&amp;""https://www.google.com/maps/search/?api=1&amp;query=""&amp;SUBSTITUTE(F941,"" "","""")),""📲 Avisar al cliente"""&amp;"),"""")"),"")</f>
        <v/>
      </c>
      <c r="L941" s="5" t="str">
        <f>IFERROR(__xludf.DUMMYFUNCTION("IF(C941&lt;&gt;"""",""https://api.qrserver.com/v1/create-qr-code/?size=200x200&amp;data=""&amp;ENCODEURL(""https://wa.me/507""&amp;REGEXREPLACE(C941,""[^0-9]"","""")&amp;""?text=""&amp;ENCODEURL(""Ya llegue. Codigo: ""&amp;A941&amp;"". Ubicacion: ""&amp;""https://www.google.com/maps/search/?a"&amp;"pi=1&amp;query=""&amp;SUBSTITUTE(F941,"" "",""""))),"""")"),"")</f>
        <v/>
      </c>
      <c r="M941" s="5" t="str">
        <f t="shared" si="6"/>
        <v/>
      </c>
      <c r="N941" s="5" t="str">
        <f>IFERROR(__xludf.DUMMYFUNCTION("IF(AND(F941&lt;&gt;"""",REGEXMATCH(SUBSTITUTE(F941,"" "",""""),""^-?\d+(\.\d+)?,-?\d+(\.\d+)?$""),VALUE(REGEXEXTRACT(SUBSTITUTE(F941,"" "",""""),""^-?\d+(\.\d+)?""))&gt;=-90,VALUE(REGEXEXTRACT(SUBSTITUTE(F941,"" "",""""),""^-?\d+(\.\d+)?""))&lt;=90,VALUE(REGEXEXTRACT"&amp;"(SUBSTITUTE(F941,"" "",""""),""-?\d+(\.\d+)?$""))&gt;=-180,VALUE(REGEXEXTRACT(SUBSTITUTE(F941,"" "",""""),""-?\d+(\.\d+)?$""))&lt;=180),""OK"",""REVISAR"")"),"#N/A")</f>
        <v>#N/A</v>
      </c>
    </row>
    <row r="942" ht="15.75" customHeight="1">
      <c r="A942" s="5" t="str">
        <f t="shared" si="1"/>
        <v>AD507-0940</v>
      </c>
      <c r="C942" s="5"/>
      <c r="F942" s="5"/>
      <c r="G942" s="5" t="str">
        <f t="shared" si="2"/>
        <v/>
      </c>
      <c r="H942" s="5" t="str">
        <f t="shared" si="3"/>
        <v/>
      </c>
      <c r="I942" s="5" t="str">
        <f t="shared" si="4"/>
        <v/>
      </c>
      <c r="J942" s="5" t="str">
        <f t="shared" si="5"/>
        <v/>
      </c>
      <c r="K942" s="5" t="str">
        <f>IFERROR(__xludf.DUMMYFUNCTION("IF(C942&lt;&gt;"""",HYPERLINK(""https://wa.me/507""&amp;REGEXREPLACE(C942,""[^0-9]"","""")&amp;""?text=""&amp;ENCODEURL(""Ya llegue. Codigo: ""&amp;A942&amp;"". Ubicacion: ""&amp;""https://www.google.com/maps/search/?api=1&amp;query=""&amp;SUBSTITUTE(F942,"" "","""")),""📲 Avisar al cliente"""&amp;"),"""")"),"")</f>
        <v/>
      </c>
      <c r="L942" s="5" t="str">
        <f>IFERROR(__xludf.DUMMYFUNCTION("IF(C942&lt;&gt;"""",""https://api.qrserver.com/v1/create-qr-code/?size=200x200&amp;data=""&amp;ENCODEURL(""https://wa.me/507""&amp;REGEXREPLACE(C942,""[^0-9]"","""")&amp;""?text=""&amp;ENCODEURL(""Ya llegue. Codigo: ""&amp;A942&amp;"". Ubicacion: ""&amp;""https://www.google.com/maps/search/?a"&amp;"pi=1&amp;query=""&amp;SUBSTITUTE(F942,"" "",""""))),"""")"),"")</f>
        <v/>
      </c>
      <c r="M942" s="5" t="str">
        <f t="shared" si="6"/>
        <v/>
      </c>
      <c r="N942" s="5" t="str">
        <f>IFERROR(__xludf.DUMMYFUNCTION("IF(AND(F942&lt;&gt;"""",REGEXMATCH(SUBSTITUTE(F942,"" "",""""),""^-?\d+(\.\d+)?,-?\d+(\.\d+)?$""),VALUE(REGEXEXTRACT(SUBSTITUTE(F942,"" "",""""),""^-?\d+(\.\d+)?""))&gt;=-90,VALUE(REGEXEXTRACT(SUBSTITUTE(F942,"" "",""""),""^-?\d+(\.\d+)?""))&lt;=90,VALUE(REGEXEXTRACT"&amp;"(SUBSTITUTE(F942,"" "",""""),""-?\d+(\.\d+)?$""))&gt;=-180,VALUE(REGEXEXTRACT(SUBSTITUTE(F942,"" "",""""),""-?\d+(\.\d+)?$""))&lt;=180),""OK"",""REVISAR"")"),"#N/A")</f>
        <v>#N/A</v>
      </c>
    </row>
    <row r="943" ht="15.75" customHeight="1">
      <c r="A943" s="5" t="str">
        <f t="shared" si="1"/>
        <v>AD507-0941</v>
      </c>
      <c r="C943" s="5"/>
      <c r="F943" s="5"/>
      <c r="G943" s="5" t="str">
        <f t="shared" si="2"/>
        <v/>
      </c>
      <c r="H943" s="5" t="str">
        <f t="shared" si="3"/>
        <v/>
      </c>
      <c r="I943" s="5" t="str">
        <f t="shared" si="4"/>
        <v/>
      </c>
      <c r="J943" s="5" t="str">
        <f t="shared" si="5"/>
        <v/>
      </c>
      <c r="K943" s="5" t="str">
        <f>IFERROR(__xludf.DUMMYFUNCTION("IF(C943&lt;&gt;"""",HYPERLINK(""https://wa.me/507""&amp;REGEXREPLACE(C943,""[^0-9]"","""")&amp;""?text=""&amp;ENCODEURL(""Ya llegue. Codigo: ""&amp;A943&amp;"". Ubicacion: ""&amp;""https://www.google.com/maps/search/?api=1&amp;query=""&amp;SUBSTITUTE(F943,"" "","""")),""📲 Avisar al cliente"""&amp;"),"""")"),"")</f>
        <v/>
      </c>
      <c r="L943" s="5" t="str">
        <f>IFERROR(__xludf.DUMMYFUNCTION("IF(C943&lt;&gt;"""",""https://api.qrserver.com/v1/create-qr-code/?size=200x200&amp;data=""&amp;ENCODEURL(""https://wa.me/507""&amp;REGEXREPLACE(C943,""[^0-9]"","""")&amp;""?text=""&amp;ENCODEURL(""Ya llegue. Codigo: ""&amp;A943&amp;"". Ubicacion: ""&amp;""https://www.google.com/maps/search/?a"&amp;"pi=1&amp;query=""&amp;SUBSTITUTE(F943,"" "",""""))),"""")"),"")</f>
        <v/>
      </c>
      <c r="M943" s="5" t="str">
        <f t="shared" si="6"/>
        <v/>
      </c>
      <c r="N943" s="5" t="str">
        <f>IFERROR(__xludf.DUMMYFUNCTION("IF(AND(F943&lt;&gt;"""",REGEXMATCH(SUBSTITUTE(F943,"" "",""""),""^-?\d+(\.\d+)?,-?\d+(\.\d+)?$""),VALUE(REGEXEXTRACT(SUBSTITUTE(F943,"" "",""""),""^-?\d+(\.\d+)?""))&gt;=-90,VALUE(REGEXEXTRACT(SUBSTITUTE(F943,"" "",""""),""^-?\d+(\.\d+)?""))&lt;=90,VALUE(REGEXEXTRACT"&amp;"(SUBSTITUTE(F943,"" "",""""),""-?\d+(\.\d+)?$""))&gt;=-180,VALUE(REGEXEXTRACT(SUBSTITUTE(F943,"" "",""""),""-?\d+(\.\d+)?$""))&lt;=180),""OK"",""REVISAR"")"),"#N/A")</f>
        <v>#N/A</v>
      </c>
    </row>
    <row r="944" ht="15.75" customHeight="1">
      <c r="A944" s="5" t="str">
        <f t="shared" si="1"/>
        <v>AD507-0942</v>
      </c>
      <c r="C944" s="5"/>
      <c r="F944" s="5"/>
      <c r="G944" s="5" t="str">
        <f t="shared" si="2"/>
        <v/>
      </c>
      <c r="H944" s="5" t="str">
        <f t="shared" si="3"/>
        <v/>
      </c>
      <c r="I944" s="5" t="str">
        <f t="shared" si="4"/>
        <v/>
      </c>
      <c r="J944" s="5" t="str">
        <f t="shared" si="5"/>
        <v/>
      </c>
      <c r="K944" s="5" t="str">
        <f>IFERROR(__xludf.DUMMYFUNCTION("IF(C944&lt;&gt;"""",HYPERLINK(""https://wa.me/507""&amp;REGEXREPLACE(C944,""[^0-9]"","""")&amp;""?text=""&amp;ENCODEURL(""Ya llegue. Codigo: ""&amp;A944&amp;"". Ubicacion: ""&amp;""https://www.google.com/maps/search/?api=1&amp;query=""&amp;SUBSTITUTE(F944,"" "","""")),""📲 Avisar al cliente"""&amp;"),"""")"),"")</f>
        <v/>
      </c>
      <c r="L944" s="5" t="str">
        <f>IFERROR(__xludf.DUMMYFUNCTION("IF(C944&lt;&gt;"""",""https://api.qrserver.com/v1/create-qr-code/?size=200x200&amp;data=""&amp;ENCODEURL(""https://wa.me/507""&amp;REGEXREPLACE(C944,""[^0-9]"","""")&amp;""?text=""&amp;ENCODEURL(""Ya llegue. Codigo: ""&amp;A944&amp;"". Ubicacion: ""&amp;""https://www.google.com/maps/search/?a"&amp;"pi=1&amp;query=""&amp;SUBSTITUTE(F944,"" "",""""))),"""")"),"")</f>
        <v/>
      </c>
      <c r="M944" s="5" t="str">
        <f t="shared" si="6"/>
        <v/>
      </c>
      <c r="N944" s="5" t="str">
        <f>IFERROR(__xludf.DUMMYFUNCTION("IF(AND(F944&lt;&gt;"""",REGEXMATCH(SUBSTITUTE(F944,"" "",""""),""^-?\d+(\.\d+)?,-?\d+(\.\d+)?$""),VALUE(REGEXEXTRACT(SUBSTITUTE(F944,"" "",""""),""^-?\d+(\.\d+)?""))&gt;=-90,VALUE(REGEXEXTRACT(SUBSTITUTE(F944,"" "",""""),""^-?\d+(\.\d+)?""))&lt;=90,VALUE(REGEXEXTRACT"&amp;"(SUBSTITUTE(F944,"" "",""""),""-?\d+(\.\d+)?$""))&gt;=-180,VALUE(REGEXEXTRACT(SUBSTITUTE(F944,"" "",""""),""-?\d+(\.\d+)?$""))&lt;=180),""OK"",""REVISAR"")"),"#N/A")</f>
        <v>#N/A</v>
      </c>
    </row>
    <row r="945" ht="15.75" customHeight="1">
      <c r="A945" s="5" t="str">
        <f t="shared" si="1"/>
        <v>AD507-0943</v>
      </c>
      <c r="C945" s="5"/>
      <c r="F945" s="5"/>
      <c r="G945" s="5" t="str">
        <f t="shared" si="2"/>
        <v/>
      </c>
      <c r="H945" s="5" t="str">
        <f t="shared" si="3"/>
        <v/>
      </c>
      <c r="I945" s="5" t="str">
        <f t="shared" si="4"/>
        <v/>
      </c>
      <c r="J945" s="5" t="str">
        <f t="shared" si="5"/>
        <v/>
      </c>
      <c r="K945" s="5" t="str">
        <f>IFERROR(__xludf.DUMMYFUNCTION("IF(C945&lt;&gt;"""",HYPERLINK(""https://wa.me/507""&amp;REGEXREPLACE(C945,""[^0-9]"","""")&amp;""?text=""&amp;ENCODEURL(""Ya llegue. Codigo: ""&amp;A945&amp;"". Ubicacion: ""&amp;""https://www.google.com/maps/search/?api=1&amp;query=""&amp;SUBSTITUTE(F945,"" "","""")),""📲 Avisar al cliente"""&amp;"),"""")"),"")</f>
        <v/>
      </c>
      <c r="L945" s="5" t="str">
        <f>IFERROR(__xludf.DUMMYFUNCTION("IF(C945&lt;&gt;"""",""https://api.qrserver.com/v1/create-qr-code/?size=200x200&amp;data=""&amp;ENCODEURL(""https://wa.me/507""&amp;REGEXREPLACE(C945,""[^0-9]"","""")&amp;""?text=""&amp;ENCODEURL(""Ya llegue. Codigo: ""&amp;A945&amp;"". Ubicacion: ""&amp;""https://www.google.com/maps/search/?a"&amp;"pi=1&amp;query=""&amp;SUBSTITUTE(F945,"" "",""""))),"""")"),"")</f>
        <v/>
      </c>
      <c r="M945" s="5" t="str">
        <f t="shared" si="6"/>
        <v/>
      </c>
      <c r="N945" s="5" t="str">
        <f>IFERROR(__xludf.DUMMYFUNCTION("IF(AND(F945&lt;&gt;"""",REGEXMATCH(SUBSTITUTE(F945,"" "",""""),""^-?\d+(\.\d+)?,-?\d+(\.\d+)?$""),VALUE(REGEXEXTRACT(SUBSTITUTE(F945,"" "",""""),""^-?\d+(\.\d+)?""))&gt;=-90,VALUE(REGEXEXTRACT(SUBSTITUTE(F945,"" "",""""),""^-?\d+(\.\d+)?""))&lt;=90,VALUE(REGEXEXTRACT"&amp;"(SUBSTITUTE(F945,"" "",""""),""-?\d+(\.\d+)?$""))&gt;=-180,VALUE(REGEXEXTRACT(SUBSTITUTE(F945,"" "",""""),""-?\d+(\.\d+)?$""))&lt;=180),""OK"",""REVISAR"")"),"#N/A")</f>
        <v>#N/A</v>
      </c>
    </row>
    <row r="946" ht="15.75" customHeight="1">
      <c r="A946" s="5" t="str">
        <f t="shared" si="1"/>
        <v>AD507-0944</v>
      </c>
      <c r="C946" s="5"/>
      <c r="F946" s="5"/>
      <c r="G946" s="5" t="str">
        <f t="shared" si="2"/>
        <v/>
      </c>
      <c r="H946" s="5" t="str">
        <f t="shared" si="3"/>
        <v/>
      </c>
      <c r="I946" s="5" t="str">
        <f t="shared" si="4"/>
        <v/>
      </c>
      <c r="J946" s="5" t="str">
        <f t="shared" si="5"/>
        <v/>
      </c>
      <c r="K946" s="5" t="str">
        <f>IFERROR(__xludf.DUMMYFUNCTION("IF(C946&lt;&gt;"""",HYPERLINK(""https://wa.me/507""&amp;REGEXREPLACE(C946,""[^0-9]"","""")&amp;""?text=""&amp;ENCODEURL(""Ya llegue. Codigo: ""&amp;A946&amp;"". Ubicacion: ""&amp;""https://www.google.com/maps/search/?api=1&amp;query=""&amp;SUBSTITUTE(F946,"" "","""")),""📲 Avisar al cliente"""&amp;"),"""")"),"")</f>
        <v/>
      </c>
      <c r="L946" s="5" t="str">
        <f>IFERROR(__xludf.DUMMYFUNCTION("IF(C946&lt;&gt;"""",""https://api.qrserver.com/v1/create-qr-code/?size=200x200&amp;data=""&amp;ENCODEURL(""https://wa.me/507""&amp;REGEXREPLACE(C946,""[^0-9]"","""")&amp;""?text=""&amp;ENCODEURL(""Ya llegue. Codigo: ""&amp;A946&amp;"". Ubicacion: ""&amp;""https://www.google.com/maps/search/?a"&amp;"pi=1&amp;query=""&amp;SUBSTITUTE(F946,"" "",""""))),"""")"),"")</f>
        <v/>
      </c>
      <c r="M946" s="5" t="str">
        <f t="shared" si="6"/>
        <v/>
      </c>
      <c r="N946" s="5" t="str">
        <f>IFERROR(__xludf.DUMMYFUNCTION("IF(AND(F946&lt;&gt;"""",REGEXMATCH(SUBSTITUTE(F946,"" "",""""),""^-?\d+(\.\d+)?,-?\d+(\.\d+)?$""),VALUE(REGEXEXTRACT(SUBSTITUTE(F946,"" "",""""),""^-?\d+(\.\d+)?""))&gt;=-90,VALUE(REGEXEXTRACT(SUBSTITUTE(F946,"" "",""""),""^-?\d+(\.\d+)?""))&lt;=90,VALUE(REGEXEXTRACT"&amp;"(SUBSTITUTE(F946,"" "",""""),""-?\d+(\.\d+)?$""))&gt;=-180,VALUE(REGEXEXTRACT(SUBSTITUTE(F946,"" "",""""),""-?\d+(\.\d+)?$""))&lt;=180),""OK"",""REVISAR"")"),"#N/A")</f>
        <v>#N/A</v>
      </c>
    </row>
    <row r="947" ht="15.75" customHeight="1">
      <c r="A947" s="5" t="str">
        <f t="shared" si="1"/>
        <v>AD507-0945</v>
      </c>
      <c r="C947" s="5"/>
      <c r="F947" s="5"/>
      <c r="G947" s="5" t="str">
        <f t="shared" si="2"/>
        <v/>
      </c>
      <c r="H947" s="5" t="str">
        <f t="shared" si="3"/>
        <v/>
      </c>
      <c r="I947" s="5" t="str">
        <f t="shared" si="4"/>
        <v/>
      </c>
      <c r="J947" s="5" t="str">
        <f t="shared" si="5"/>
        <v/>
      </c>
      <c r="K947" s="5" t="str">
        <f>IFERROR(__xludf.DUMMYFUNCTION("IF(C947&lt;&gt;"""",HYPERLINK(""https://wa.me/507""&amp;REGEXREPLACE(C947,""[^0-9]"","""")&amp;""?text=""&amp;ENCODEURL(""Ya llegue. Codigo: ""&amp;A947&amp;"". Ubicacion: ""&amp;""https://www.google.com/maps/search/?api=1&amp;query=""&amp;SUBSTITUTE(F947,"" "","""")),""📲 Avisar al cliente"""&amp;"),"""")"),"")</f>
        <v/>
      </c>
      <c r="L947" s="5" t="str">
        <f>IFERROR(__xludf.DUMMYFUNCTION("IF(C947&lt;&gt;"""",""https://api.qrserver.com/v1/create-qr-code/?size=200x200&amp;data=""&amp;ENCODEURL(""https://wa.me/507""&amp;REGEXREPLACE(C947,""[^0-9]"","""")&amp;""?text=""&amp;ENCODEURL(""Ya llegue. Codigo: ""&amp;A947&amp;"". Ubicacion: ""&amp;""https://www.google.com/maps/search/?a"&amp;"pi=1&amp;query=""&amp;SUBSTITUTE(F947,"" "",""""))),"""")"),"")</f>
        <v/>
      </c>
      <c r="M947" s="5" t="str">
        <f t="shared" si="6"/>
        <v/>
      </c>
      <c r="N947" s="5" t="str">
        <f>IFERROR(__xludf.DUMMYFUNCTION("IF(AND(F947&lt;&gt;"""",REGEXMATCH(SUBSTITUTE(F947,"" "",""""),""^-?\d+(\.\d+)?,-?\d+(\.\d+)?$""),VALUE(REGEXEXTRACT(SUBSTITUTE(F947,"" "",""""),""^-?\d+(\.\d+)?""))&gt;=-90,VALUE(REGEXEXTRACT(SUBSTITUTE(F947,"" "",""""),""^-?\d+(\.\d+)?""))&lt;=90,VALUE(REGEXEXTRACT"&amp;"(SUBSTITUTE(F947,"" "",""""),""-?\d+(\.\d+)?$""))&gt;=-180,VALUE(REGEXEXTRACT(SUBSTITUTE(F947,"" "",""""),""-?\d+(\.\d+)?$""))&lt;=180),""OK"",""REVISAR"")"),"#N/A")</f>
        <v>#N/A</v>
      </c>
    </row>
    <row r="948" ht="15.75" customHeight="1">
      <c r="A948" s="5" t="str">
        <f t="shared" si="1"/>
        <v>AD507-0946</v>
      </c>
      <c r="C948" s="5"/>
      <c r="F948" s="5"/>
      <c r="G948" s="5" t="str">
        <f t="shared" si="2"/>
        <v/>
      </c>
      <c r="H948" s="5" t="str">
        <f t="shared" si="3"/>
        <v/>
      </c>
      <c r="I948" s="5" t="str">
        <f t="shared" si="4"/>
        <v/>
      </c>
      <c r="J948" s="5" t="str">
        <f t="shared" si="5"/>
        <v/>
      </c>
      <c r="K948" s="5" t="str">
        <f>IFERROR(__xludf.DUMMYFUNCTION("IF(C948&lt;&gt;"""",HYPERLINK(""https://wa.me/507""&amp;REGEXREPLACE(C948,""[^0-9]"","""")&amp;""?text=""&amp;ENCODEURL(""Ya llegue. Codigo: ""&amp;A948&amp;"". Ubicacion: ""&amp;""https://www.google.com/maps/search/?api=1&amp;query=""&amp;SUBSTITUTE(F948,"" "","""")),""📲 Avisar al cliente"""&amp;"),"""")"),"")</f>
        <v/>
      </c>
      <c r="L948" s="5" t="str">
        <f>IFERROR(__xludf.DUMMYFUNCTION("IF(C948&lt;&gt;"""",""https://api.qrserver.com/v1/create-qr-code/?size=200x200&amp;data=""&amp;ENCODEURL(""https://wa.me/507""&amp;REGEXREPLACE(C948,""[^0-9]"","""")&amp;""?text=""&amp;ENCODEURL(""Ya llegue. Codigo: ""&amp;A948&amp;"". Ubicacion: ""&amp;""https://www.google.com/maps/search/?a"&amp;"pi=1&amp;query=""&amp;SUBSTITUTE(F948,"" "",""""))),"""")"),"")</f>
        <v/>
      </c>
      <c r="M948" s="5" t="str">
        <f t="shared" si="6"/>
        <v/>
      </c>
      <c r="N948" s="5" t="str">
        <f>IFERROR(__xludf.DUMMYFUNCTION("IF(AND(F948&lt;&gt;"""",REGEXMATCH(SUBSTITUTE(F948,"" "",""""),""^-?\d+(\.\d+)?,-?\d+(\.\d+)?$""),VALUE(REGEXEXTRACT(SUBSTITUTE(F948,"" "",""""),""^-?\d+(\.\d+)?""))&gt;=-90,VALUE(REGEXEXTRACT(SUBSTITUTE(F948,"" "",""""),""^-?\d+(\.\d+)?""))&lt;=90,VALUE(REGEXEXTRACT"&amp;"(SUBSTITUTE(F948,"" "",""""),""-?\d+(\.\d+)?$""))&gt;=-180,VALUE(REGEXEXTRACT(SUBSTITUTE(F948,"" "",""""),""-?\d+(\.\d+)?$""))&lt;=180),""OK"",""REVISAR"")"),"#N/A")</f>
        <v>#N/A</v>
      </c>
    </row>
    <row r="949" ht="15.75" customHeight="1">
      <c r="A949" s="5" t="str">
        <f t="shared" si="1"/>
        <v>AD507-0947</v>
      </c>
      <c r="C949" s="5"/>
      <c r="F949" s="5"/>
      <c r="G949" s="5" t="str">
        <f t="shared" si="2"/>
        <v/>
      </c>
      <c r="H949" s="5" t="str">
        <f t="shared" si="3"/>
        <v/>
      </c>
      <c r="I949" s="5" t="str">
        <f t="shared" si="4"/>
        <v/>
      </c>
      <c r="J949" s="5" t="str">
        <f t="shared" si="5"/>
        <v/>
      </c>
      <c r="K949" s="5" t="str">
        <f>IFERROR(__xludf.DUMMYFUNCTION("IF(C949&lt;&gt;"""",HYPERLINK(""https://wa.me/507""&amp;REGEXREPLACE(C949,""[^0-9]"","""")&amp;""?text=""&amp;ENCODEURL(""Ya llegue. Codigo: ""&amp;A949&amp;"". Ubicacion: ""&amp;""https://www.google.com/maps/search/?api=1&amp;query=""&amp;SUBSTITUTE(F949,"" "","""")),""📲 Avisar al cliente"""&amp;"),"""")"),"")</f>
        <v/>
      </c>
      <c r="L949" s="5" t="str">
        <f>IFERROR(__xludf.DUMMYFUNCTION("IF(C949&lt;&gt;"""",""https://api.qrserver.com/v1/create-qr-code/?size=200x200&amp;data=""&amp;ENCODEURL(""https://wa.me/507""&amp;REGEXREPLACE(C949,""[^0-9]"","""")&amp;""?text=""&amp;ENCODEURL(""Ya llegue. Codigo: ""&amp;A949&amp;"". Ubicacion: ""&amp;""https://www.google.com/maps/search/?a"&amp;"pi=1&amp;query=""&amp;SUBSTITUTE(F949,"" "",""""))),"""")"),"")</f>
        <v/>
      </c>
      <c r="M949" s="5" t="str">
        <f t="shared" si="6"/>
        <v/>
      </c>
      <c r="N949" s="5" t="str">
        <f>IFERROR(__xludf.DUMMYFUNCTION("IF(AND(F949&lt;&gt;"""",REGEXMATCH(SUBSTITUTE(F949,"" "",""""),""^-?\d+(\.\d+)?,-?\d+(\.\d+)?$""),VALUE(REGEXEXTRACT(SUBSTITUTE(F949,"" "",""""),""^-?\d+(\.\d+)?""))&gt;=-90,VALUE(REGEXEXTRACT(SUBSTITUTE(F949,"" "",""""),""^-?\d+(\.\d+)?""))&lt;=90,VALUE(REGEXEXTRACT"&amp;"(SUBSTITUTE(F949,"" "",""""),""-?\d+(\.\d+)?$""))&gt;=-180,VALUE(REGEXEXTRACT(SUBSTITUTE(F949,"" "",""""),""-?\d+(\.\d+)?$""))&lt;=180),""OK"",""REVISAR"")"),"#N/A")</f>
        <v>#N/A</v>
      </c>
    </row>
    <row r="950" ht="15.75" customHeight="1">
      <c r="A950" s="5" t="str">
        <f t="shared" si="1"/>
        <v>AD507-0948</v>
      </c>
      <c r="C950" s="5"/>
      <c r="F950" s="5"/>
      <c r="G950" s="5" t="str">
        <f t="shared" si="2"/>
        <v/>
      </c>
      <c r="H950" s="5" t="str">
        <f t="shared" si="3"/>
        <v/>
      </c>
      <c r="I950" s="5" t="str">
        <f t="shared" si="4"/>
        <v/>
      </c>
      <c r="J950" s="5" t="str">
        <f t="shared" si="5"/>
        <v/>
      </c>
      <c r="K950" s="5" t="str">
        <f>IFERROR(__xludf.DUMMYFUNCTION("IF(C950&lt;&gt;"""",HYPERLINK(""https://wa.me/507""&amp;REGEXREPLACE(C950,""[^0-9]"","""")&amp;""?text=""&amp;ENCODEURL(""Ya llegue. Codigo: ""&amp;A950&amp;"". Ubicacion: ""&amp;""https://www.google.com/maps/search/?api=1&amp;query=""&amp;SUBSTITUTE(F950,"" "","""")),""📲 Avisar al cliente"""&amp;"),"""")"),"")</f>
        <v/>
      </c>
      <c r="L950" s="5" t="str">
        <f>IFERROR(__xludf.DUMMYFUNCTION("IF(C950&lt;&gt;"""",""https://api.qrserver.com/v1/create-qr-code/?size=200x200&amp;data=""&amp;ENCODEURL(""https://wa.me/507""&amp;REGEXREPLACE(C950,""[^0-9]"","""")&amp;""?text=""&amp;ENCODEURL(""Ya llegue. Codigo: ""&amp;A950&amp;"". Ubicacion: ""&amp;""https://www.google.com/maps/search/?a"&amp;"pi=1&amp;query=""&amp;SUBSTITUTE(F950,"" "",""""))),"""")"),"")</f>
        <v/>
      </c>
      <c r="M950" s="5" t="str">
        <f t="shared" si="6"/>
        <v/>
      </c>
      <c r="N950" s="5" t="str">
        <f>IFERROR(__xludf.DUMMYFUNCTION("IF(AND(F950&lt;&gt;"""",REGEXMATCH(SUBSTITUTE(F950,"" "",""""),""^-?\d+(\.\d+)?,-?\d+(\.\d+)?$""),VALUE(REGEXEXTRACT(SUBSTITUTE(F950,"" "",""""),""^-?\d+(\.\d+)?""))&gt;=-90,VALUE(REGEXEXTRACT(SUBSTITUTE(F950,"" "",""""),""^-?\d+(\.\d+)?""))&lt;=90,VALUE(REGEXEXTRACT"&amp;"(SUBSTITUTE(F950,"" "",""""),""-?\d+(\.\d+)?$""))&gt;=-180,VALUE(REGEXEXTRACT(SUBSTITUTE(F950,"" "",""""),""-?\d+(\.\d+)?$""))&lt;=180),""OK"",""REVISAR"")"),"#N/A")</f>
        <v>#N/A</v>
      </c>
    </row>
    <row r="951" ht="15.75" customHeight="1">
      <c r="A951" s="5" t="str">
        <f t="shared" si="1"/>
        <v>AD507-0949</v>
      </c>
      <c r="C951" s="5"/>
      <c r="F951" s="5"/>
      <c r="G951" s="5" t="str">
        <f t="shared" si="2"/>
        <v/>
      </c>
      <c r="H951" s="5" t="str">
        <f t="shared" si="3"/>
        <v/>
      </c>
      <c r="I951" s="5" t="str">
        <f t="shared" si="4"/>
        <v/>
      </c>
      <c r="J951" s="5" t="str">
        <f t="shared" si="5"/>
        <v/>
      </c>
      <c r="K951" s="5" t="str">
        <f>IFERROR(__xludf.DUMMYFUNCTION("IF(C951&lt;&gt;"""",HYPERLINK(""https://wa.me/507""&amp;REGEXREPLACE(C951,""[^0-9]"","""")&amp;""?text=""&amp;ENCODEURL(""Ya llegue. Codigo: ""&amp;A951&amp;"". Ubicacion: ""&amp;""https://www.google.com/maps/search/?api=1&amp;query=""&amp;SUBSTITUTE(F951,"" "","""")),""📲 Avisar al cliente"""&amp;"),"""")"),"")</f>
        <v/>
      </c>
      <c r="L951" s="5" t="str">
        <f>IFERROR(__xludf.DUMMYFUNCTION("IF(C951&lt;&gt;"""",""https://api.qrserver.com/v1/create-qr-code/?size=200x200&amp;data=""&amp;ENCODEURL(""https://wa.me/507""&amp;REGEXREPLACE(C951,""[^0-9]"","""")&amp;""?text=""&amp;ENCODEURL(""Ya llegue. Codigo: ""&amp;A951&amp;"". Ubicacion: ""&amp;""https://www.google.com/maps/search/?a"&amp;"pi=1&amp;query=""&amp;SUBSTITUTE(F951,"" "",""""))),"""")"),"")</f>
        <v/>
      </c>
      <c r="M951" s="5" t="str">
        <f t="shared" si="6"/>
        <v/>
      </c>
      <c r="N951" s="5" t="str">
        <f>IFERROR(__xludf.DUMMYFUNCTION("IF(AND(F951&lt;&gt;"""",REGEXMATCH(SUBSTITUTE(F951,"" "",""""),""^-?\d+(\.\d+)?,-?\d+(\.\d+)?$""),VALUE(REGEXEXTRACT(SUBSTITUTE(F951,"" "",""""),""^-?\d+(\.\d+)?""))&gt;=-90,VALUE(REGEXEXTRACT(SUBSTITUTE(F951,"" "",""""),""^-?\d+(\.\d+)?""))&lt;=90,VALUE(REGEXEXTRACT"&amp;"(SUBSTITUTE(F951,"" "",""""),""-?\d+(\.\d+)?$""))&gt;=-180,VALUE(REGEXEXTRACT(SUBSTITUTE(F951,"" "",""""),""-?\d+(\.\d+)?$""))&lt;=180),""OK"",""REVISAR"")"),"#N/A")</f>
        <v>#N/A</v>
      </c>
    </row>
    <row r="952" ht="15.75" customHeight="1">
      <c r="A952" s="5" t="str">
        <f t="shared" si="1"/>
        <v>AD507-0950</v>
      </c>
      <c r="C952" s="5"/>
      <c r="F952" s="5"/>
      <c r="G952" s="5" t="str">
        <f t="shared" si="2"/>
        <v/>
      </c>
      <c r="H952" s="5" t="str">
        <f t="shared" si="3"/>
        <v/>
      </c>
      <c r="I952" s="5" t="str">
        <f t="shared" si="4"/>
        <v/>
      </c>
      <c r="J952" s="5" t="str">
        <f t="shared" si="5"/>
        <v/>
      </c>
      <c r="K952" s="5" t="str">
        <f>IFERROR(__xludf.DUMMYFUNCTION("IF(C952&lt;&gt;"""",HYPERLINK(""https://wa.me/507""&amp;REGEXREPLACE(C952,""[^0-9]"","""")&amp;""?text=""&amp;ENCODEURL(""Ya llegue. Codigo: ""&amp;A952&amp;"". Ubicacion: ""&amp;""https://www.google.com/maps/search/?api=1&amp;query=""&amp;SUBSTITUTE(F952,"" "","""")),""📲 Avisar al cliente"""&amp;"),"""")"),"")</f>
        <v/>
      </c>
      <c r="L952" s="5" t="str">
        <f>IFERROR(__xludf.DUMMYFUNCTION("IF(C952&lt;&gt;"""",""https://api.qrserver.com/v1/create-qr-code/?size=200x200&amp;data=""&amp;ENCODEURL(""https://wa.me/507""&amp;REGEXREPLACE(C952,""[^0-9]"","""")&amp;""?text=""&amp;ENCODEURL(""Ya llegue. Codigo: ""&amp;A952&amp;"". Ubicacion: ""&amp;""https://www.google.com/maps/search/?a"&amp;"pi=1&amp;query=""&amp;SUBSTITUTE(F952,"" "",""""))),"""")"),"")</f>
        <v/>
      </c>
      <c r="M952" s="5" t="str">
        <f t="shared" si="6"/>
        <v/>
      </c>
      <c r="N952" s="5" t="str">
        <f>IFERROR(__xludf.DUMMYFUNCTION("IF(AND(F952&lt;&gt;"""",REGEXMATCH(SUBSTITUTE(F952,"" "",""""),""^-?\d+(\.\d+)?,-?\d+(\.\d+)?$""),VALUE(REGEXEXTRACT(SUBSTITUTE(F952,"" "",""""),""^-?\d+(\.\d+)?""))&gt;=-90,VALUE(REGEXEXTRACT(SUBSTITUTE(F952,"" "",""""),""^-?\d+(\.\d+)?""))&lt;=90,VALUE(REGEXEXTRACT"&amp;"(SUBSTITUTE(F952,"" "",""""),""-?\d+(\.\d+)?$""))&gt;=-180,VALUE(REGEXEXTRACT(SUBSTITUTE(F952,"" "",""""),""-?\d+(\.\d+)?$""))&lt;=180),""OK"",""REVISAR"")"),"#N/A")</f>
        <v>#N/A</v>
      </c>
    </row>
    <row r="953" ht="15.75" customHeight="1">
      <c r="A953" s="5" t="str">
        <f t="shared" si="1"/>
        <v>AD507-0951</v>
      </c>
      <c r="C953" s="5"/>
      <c r="F953" s="5"/>
      <c r="G953" s="5" t="str">
        <f t="shared" si="2"/>
        <v/>
      </c>
      <c r="H953" s="5" t="str">
        <f t="shared" si="3"/>
        <v/>
      </c>
      <c r="I953" s="5" t="str">
        <f t="shared" si="4"/>
        <v/>
      </c>
      <c r="J953" s="5" t="str">
        <f t="shared" si="5"/>
        <v/>
      </c>
      <c r="K953" s="5" t="str">
        <f>IFERROR(__xludf.DUMMYFUNCTION("IF(C953&lt;&gt;"""",HYPERLINK(""https://wa.me/507""&amp;REGEXREPLACE(C953,""[^0-9]"","""")&amp;""?text=""&amp;ENCODEURL(""Ya llegue. Codigo: ""&amp;A953&amp;"". Ubicacion: ""&amp;""https://www.google.com/maps/search/?api=1&amp;query=""&amp;SUBSTITUTE(F953,"" "","""")),""📲 Avisar al cliente"""&amp;"),"""")"),"")</f>
        <v/>
      </c>
      <c r="L953" s="5" t="str">
        <f>IFERROR(__xludf.DUMMYFUNCTION("IF(C953&lt;&gt;"""",""https://api.qrserver.com/v1/create-qr-code/?size=200x200&amp;data=""&amp;ENCODEURL(""https://wa.me/507""&amp;REGEXREPLACE(C953,""[^0-9]"","""")&amp;""?text=""&amp;ENCODEURL(""Ya llegue. Codigo: ""&amp;A953&amp;"". Ubicacion: ""&amp;""https://www.google.com/maps/search/?a"&amp;"pi=1&amp;query=""&amp;SUBSTITUTE(F953,"" "",""""))),"""")"),"")</f>
        <v/>
      </c>
      <c r="M953" s="5" t="str">
        <f t="shared" si="6"/>
        <v/>
      </c>
      <c r="N953" s="5" t="str">
        <f>IFERROR(__xludf.DUMMYFUNCTION("IF(AND(F953&lt;&gt;"""",REGEXMATCH(SUBSTITUTE(F953,"" "",""""),""^-?\d+(\.\d+)?,-?\d+(\.\d+)?$""),VALUE(REGEXEXTRACT(SUBSTITUTE(F953,"" "",""""),""^-?\d+(\.\d+)?""))&gt;=-90,VALUE(REGEXEXTRACT(SUBSTITUTE(F953,"" "",""""),""^-?\d+(\.\d+)?""))&lt;=90,VALUE(REGEXEXTRACT"&amp;"(SUBSTITUTE(F953,"" "",""""),""-?\d+(\.\d+)?$""))&gt;=-180,VALUE(REGEXEXTRACT(SUBSTITUTE(F953,"" "",""""),""-?\d+(\.\d+)?$""))&lt;=180),""OK"",""REVISAR"")"),"#N/A")</f>
        <v>#N/A</v>
      </c>
    </row>
    <row r="954" ht="15.75" customHeight="1">
      <c r="A954" s="5" t="str">
        <f t="shared" si="1"/>
        <v>AD507-0952</v>
      </c>
      <c r="C954" s="5"/>
      <c r="F954" s="5"/>
      <c r="G954" s="5" t="str">
        <f t="shared" si="2"/>
        <v/>
      </c>
      <c r="H954" s="5" t="str">
        <f t="shared" si="3"/>
        <v/>
      </c>
      <c r="I954" s="5" t="str">
        <f t="shared" si="4"/>
        <v/>
      </c>
      <c r="J954" s="5" t="str">
        <f t="shared" si="5"/>
        <v/>
      </c>
      <c r="K954" s="5" t="str">
        <f>IFERROR(__xludf.DUMMYFUNCTION("IF(C954&lt;&gt;"""",HYPERLINK(""https://wa.me/507""&amp;REGEXREPLACE(C954,""[^0-9]"","""")&amp;""?text=""&amp;ENCODEURL(""Ya llegue. Codigo: ""&amp;A954&amp;"". Ubicacion: ""&amp;""https://www.google.com/maps/search/?api=1&amp;query=""&amp;SUBSTITUTE(F954,"" "","""")),""📲 Avisar al cliente"""&amp;"),"""")"),"")</f>
        <v/>
      </c>
      <c r="L954" s="5" t="str">
        <f>IFERROR(__xludf.DUMMYFUNCTION("IF(C954&lt;&gt;"""",""https://api.qrserver.com/v1/create-qr-code/?size=200x200&amp;data=""&amp;ENCODEURL(""https://wa.me/507""&amp;REGEXREPLACE(C954,""[^0-9]"","""")&amp;""?text=""&amp;ENCODEURL(""Ya llegue. Codigo: ""&amp;A954&amp;"". Ubicacion: ""&amp;""https://www.google.com/maps/search/?a"&amp;"pi=1&amp;query=""&amp;SUBSTITUTE(F954,"" "",""""))),"""")"),"")</f>
        <v/>
      </c>
      <c r="M954" s="5" t="str">
        <f t="shared" si="6"/>
        <v/>
      </c>
      <c r="N954" s="5" t="str">
        <f>IFERROR(__xludf.DUMMYFUNCTION("IF(AND(F954&lt;&gt;"""",REGEXMATCH(SUBSTITUTE(F954,"" "",""""),""^-?\d+(\.\d+)?,-?\d+(\.\d+)?$""),VALUE(REGEXEXTRACT(SUBSTITUTE(F954,"" "",""""),""^-?\d+(\.\d+)?""))&gt;=-90,VALUE(REGEXEXTRACT(SUBSTITUTE(F954,"" "",""""),""^-?\d+(\.\d+)?""))&lt;=90,VALUE(REGEXEXTRACT"&amp;"(SUBSTITUTE(F954,"" "",""""),""-?\d+(\.\d+)?$""))&gt;=-180,VALUE(REGEXEXTRACT(SUBSTITUTE(F954,"" "",""""),""-?\d+(\.\d+)?$""))&lt;=180),""OK"",""REVISAR"")"),"#N/A")</f>
        <v>#N/A</v>
      </c>
    </row>
    <row r="955" ht="15.75" customHeight="1">
      <c r="A955" s="5" t="str">
        <f t="shared" si="1"/>
        <v>AD507-0953</v>
      </c>
      <c r="C955" s="5"/>
      <c r="F955" s="5"/>
      <c r="G955" s="5" t="str">
        <f t="shared" si="2"/>
        <v/>
      </c>
      <c r="H955" s="5" t="str">
        <f t="shared" si="3"/>
        <v/>
      </c>
      <c r="I955" s="5" t="str">
        <f t="shared" si="4"/>
        <v/>
      </c>
      <c r="J955" s="5" t="str">
        <f t="shared" si="5"/>
        <v/>
      </c>
      <c r="K955" s="5" t="str">
        <f>IFERROR(__xludf.DUMMYFUNCTION("IF(C955&lt;&gt;"""",HYPERLINK(""https://wa.me/507""&amp;REGEXREPLACE(C955,""[^0-9]"","""")&amp;""?text=""&amp;ENCODEURL(""Ya llegue. Codigo: ""&amp;A955&amp;"". Ubicacion: ""&amp;""https://www.google.com/maps/search/?api=1&amp;query=""&amp;SUBSTITUTE(F955,"" "","""")),""📲 Avisar al cliente"""&amp;"),"""")"),"")</f>
        <v/>
      </c>
      <c r="L955" s="5" t="str">
        <f>IFERROR(__xludf.DUMMYFUNCTION("IF(C955&lt;&gt;"""",""https://api.qrserver.com/v1/create-qr-code/?size=200x200&amp;data=""&amp;ENCODEURL(""https://wa.me/507""&amp;REGEXREPLACE(C955,""[^0-9]"","""")&amp;""?text=""&amp;ENCODEURL(""Ya llegue. Codigo: ""&amp;A955&amp;"". Ubicacion: ""&amp;""https://www.google.com/maps/search/?a"&amp;"pi=1&amp;query=""&amp;SUBSTITUTE(F955,"" "",""""))),"""")"),"")</f>
        <v/>
      </c>
      <c r="M955" s="5" t="str">
        <f t="shared" si="6"/>
        <v/>
      </c>
      <c r="N955" s="5" t="str">
        <f>IFERROR(__xludf.DUMMYFUNCTION("IF(AND(F955&lt;&gt;"""",REGEXMATCH(SUBSTITUTE(F955,"" "",""""),""^-?\d+(\.\d+)?,-?\d+(\.\d+)?$""),VALUE(REGEXEXTRACT(SUBSTITUTE(F955,"" "",""""),""^-?\d+(\.\d+)?""))&gt;=-90,VALUE(REGEXEXTRACT(SUBSTITUTE(F955,"" "",""""),""^-?\d+(\.\d+)?""))&lt;=90,VALUE(REGEXEXTRACT"&amp;"(SUBSTITUTE(F955,"" "",""""),""-?\d+(\.\d+)?$""))&gt;=-180,VALUE(REGEXEXTRACT(SUBSTITUTE(F955,"" "",""""),""-?\d+(\.\d+)?$""))&lt;=180),""OK"",""REVISAR"")"),"#N/A")</f>
        <v>#N/A</v>
      </c>
    </row>
    <row r="956" ht="15.75" customHeight="1">
      <c r="A956" s="5" t="str">
        <f t="shared" si="1"/>
        <v>AD507-0954</v>
      </c>
      <c r="C956" s="5"/>
      <c r="F956" s="5"/>
      <c r="G956" s="5" t="str">
        <f t="shared" si="2"/>
        <v/>
      </c>
      <c r="H956" s="5" t="str">
        <f t="shared" si="3"/>
        <v/>
      </c>
      <c r="I956" s="5" t="str">
        <f t="shared" si="4"/>
        <v/>
      </c>
      <c r="J956" s="5" t="str">
        <f t="shared" si="5"/>
        <v/>
      </c>
      <c r="K956" s="5" t="str">
        <f>IFERROR(__xludf.DUMMYFUNCTION("IF(C956&lt;&gt;"""",HYPERLINK(""https://wa.me/507""&amp;REGEXREPLACE(C956,""[^0-9]"","""")&amp;""?text=""&amp;ENCODEURL(""Ya llegue. Codigo: ""&amp;A956&amp;"". Ubicacion: ""&amp;""https://www.google.com/maps/search/?api=1&amp;query=""&amp;SUBSTITUTE(F956,"" "","""")),""📲 Avisar al cliente"""&amp;"),"""")"),"")</f>
        <v/>
      </c>
      <c r="L956" s="5" t="str">
        <f>IFERROR(__xludf.DUMMYFUNCTION("IF(C956&lt;&gt;"""",""https://api.qrserver.com/v1/create-qr-code/?size=200x200&amp;data=""&amp;ENCODEURL(""https://wa.me/507""&amp;REGEXREPLACE(C956,""[^0-9]"","""")&amp;""?text=""&amp;ENCODEURL(""Ya llegue. Codigo: ""&amp;A956&amp;"". Ubicacion: ""&amp;""https://www.google.com/maps/search/?a"&amp;"pi=1&amp;query=""&amp;SUBSTITUTE(F956,"" "",""""))),"""")"),"")</f>
        <v/>
      </c>
      <c r="M956" s="5" t="str">
        <f t="shared" si="6"/>
        <v/>
      </c>
      <c r="N956" s="5" t="str">
        <f>IFERROR(__xludf.DUMMYFUNCTION("IF(AND(F956&lt;&gt;"""",REGEXMATCH(SUBSTITUTE(F956,"" "",""""),""^-?\d+(\.\d+)?,-?\d+(\.\d+)?$""),VALUE(REGEXEXTRACT(SUBSTITUTE(F956,"" "",""""),""^-?\d+(\.\d+)?""))&gt;=-90,VALUE(REGEXEXTRACT(SUBSTITUTE(F956,"" "",""""),""^-?\d+(\.\d+)?""))&lt;=90,VALUE(REGEXEXTRACT"&amp;"(SUBSTITUTE(F956,"" "",""""),""-?\d+(\.\d+)?$""))&gt;=-180,VALUE(REGEXEXTRACT(SUBSTITUTE(F956,"" "",""""),""-?\d+(\.\d+)?$""))&lt;=180),""OK"",""REVISAR"")"),"#N/A")</f>
        <v>#N/A</v>
      </c>
    </row>
    <row r="957" ht="15.75" customHeight="1">
      <c r="A957" s="5" t="str">
        <f t="shared" si="1"/>
        <v>AD507-0955</v>
      </c>
      <c r="C957" s="5"/>
      <c r="F957" s="5"/>
      <c r="G957" s="5" t="str">
        <f t="shared" si="2"/>
        <v/>
      </c>
      <c r="H957" s="5" t="str">
        <f t="shared" si="3"/>
        <v/>
      </c>
      <c r="I957" s="5" t="str">
        <f t="shared" si="4"/>
        <v/>
      </c>
      <c r="J957" s="5" t="str">
        <f t="shared" si="5"/>
        <v/>
      </c>
      <c r="K957" s="5" t="str">
        <f>IFERROR(__xludf.DUMMYFUNCTION("IF(C957&lt;&gt;"""",HYPERLINK(""https://wa.me/507""&amp;REGEXREPLACE(C957,""[^0-9]"","""")&amp;""?text=""&amp;ENCODEURL(""Ya llegue. Codigo: ""&amp;A957&amp;"". Ubicacion: ""&amp;""https://www.google.com/maps/search/?api=1&amp;query=""&amp;SUBSTITUTE(F957,"" "","""")),""📲 Avisar al cliente"""&amp;"),"""")"),"")</f>
        <v/>
      </c>
      <c r="L957" s="5" t="str">
        <f>IFERROR(__xludf.DUMMYFUNCTION("IF(C957&lt;&gt;"""",""https://api.qrserver.com/v1/create-qr-code/?size=200x200&amp;data=""&amp;ENCODEURL(""https://wa.me/507""&amp;REGEXREPLACE(C957,""[^0-9]"","""")&amp;""?text=""&amp;ENCODEURL(""Ya llegue. Codigo: ""&amp;A957&amp;"". Ubicacion: ""&amp;""https://www.google.com/maps/search/?a"&amp;"pi=1&amp;query=""&amp;SUBSTITUTE(F957,"" "",""""))),"""")"),"")</f>
        <v/>
      </c>
      <c r="M957" s="5" t="str">
        <f t="shared" si="6"/>
        <v/>
      </c>
      <c r="N957" s="5" t="str">
        <f>IFERROR(__xludf.DUMMYFUNCTION("IF(AND(F957&lt;&gt;"""",REGEXMATCH(SUBSTITUTE(F957,"" "",""""),""^-?\d+(\.\d+)?,-?\d+(\.\d+)?$""),VALUE(REGEXEXTRACT(SUBSTITUTE(F957,"" "",""""),""^-?\d+(\.\d+)?""))&gt;=-90,VALUE(REGEXEXTRACT(SUBSTITUTE(F957,"" "",""""),""^-?\d+(\.\d+)?""))&lt;=90,VALUE(REGEXEXTRACT"&amp;"(SUBSTITUTE(F957,"" "",""""),""-?\d+(\.\d+)?$""))&gt;=-180,VALUE(REGEXEXTRACT(SUBSTITUTE(F957,"" "",""""),""-?\d+(\.\d+)?$""))&lt;=180),""OK"",""REVISAR"")"),"#N/A")</f>
        <v>#N/A</v>
      </c>
    </row>
    <row r="958" ht="15.75" customHeight="1">
      <c r="A958" s="5" t="str">
        <f t="shared" si="1"/>
        <v>AD507-0956</v>
      </c>
      <c r="C958" s="5"/>
      <c r="F958" s="5"/>
      <c r="G958" s="5" t="str">
        <f t="shared" si="2"/>
        <v/>
      </c>
      <c r="H958" s="5" t="str">
        <f t="shared" si="3"/>
        <v/>
      </c>
      <c r="I958" s="5" t="str">
        <f t="shared" si="4"/>
        <v/>
      </c>
      <c r="J958" s="5" t="str">
        <f t="shared" si="5"/>
        <v/>
      </c>
      <c r="K958" s="5" t="str">
        <f>IFERROR(__xludf.DUMMYFUNCTION("IF(C958&lt;&gt;"""",HYPERLINK(""https://wa.me/507""&amp;REGEXREPLACE(C958,""[^0-9]"","""")&amp;""?text=""&amp;ENCODEURL(""Ya llegue. Codigo: ""&amp;A958&amp;"". Ubicacion: ""&amp;""https://www.google.com/maps/search/?api=1&amp;query=""&amp;SUBSTITUTE(F958,"" "","""")),""📲 Avisar al cliente"""&amp;"),"""")"),"")</f>
        <v/>
      </c>
      <c r="L958" s="5" t="str">
        <f>IFERROR(__xludf.DUMMYFUNCTION("IF(C958&lt;&gt;"""",""https://api.qrserver.com/v1/create-qr-code/?size=200x200&amp;data=""&amp;ENCODEURL(""https://wa.me/507""&amp;REGEXREPLACE(C958,""[^0-9]"","""")&amp;""?text=""&amp;ENCODEURL(""Ya llegue. Codigo: ""&amp;A958&amp;"". Ubicacion: ""&amp;""https://www.google.com/maps/search/?a"&amp;"pi=1&amp;query=""&amp;SUBSTITUTE(F958,"" "",""""))),"""")"),"")</f>
        <v/>
      </c>
      <c r="M958" s="5" t="str">
        <f t="shared" si="6"/>
        <v/>
      </c>
      <c r="N958" s="5" t="str">
        <f>IFERROR(__xludf.DUMMYFUNCTION("IF(AND(F958&lt;&gt;"""",REGEXMATCH(SUBSTITUTE(F958,"" "",""""),""^-?\d+(\.\d+)?,-?\d+(\.\d+)?$""),VALUE(REGEXEXTRACT(SUBSTITUTE(F958,"" "",""""),""^-?\d+(\.\d+)?""))&gt;=-90,VALUE(REGEXEXTRACT(SUBSTITUTE(F958,"" "",""""),""^-?\d+(\.\d+)?""))&lt;=90,VALUE(REGEXEXTRACT"&amp;"(SUBSTITUTE(F958,"" "",""""),""-?\d+(\.\d+)?$""))&gt;=-180,VALUE(REGEXEXTRACT(SUBSTITUTE(F958,"" "",""""),""-?\d+(\.\d+)?$""))&lt;=180),""OK"",""REVISAR"")"),"#N/A")</f>
        <v>#N/A</v>
      </c>
    </row>
    <row r="959" ht="15.75" customHeight="1">
      <c r="A959" s="5" t="str">
        <f t="shared" si="1"/>
        <v>AD507-0957</v>
      </c>
      <c r="C959" s="5"/>
      <c r="F959" s="5"/>
      <c r="G959" s="5" t="str">
        <f t="shared" si="2"/>
        <v/>
      </c>
      <c r="H959" s="5" t="str">
        <f t="shared" si="3"/>
        <v/>
      </c>
      <c r="I959" s="5" t="str">
        <f t="shared" si="4"/>
        <v/>
      </c>
      <c r="J959" s="5" t="str">
        <f t="shared" si="5"/>
        <v/>
      </c>
      <c r="K959" s="5" t="str">
        <f>IFERROR(__xludf.DUMMYFUNCTION("IF(C959&lt;&gt;"""",HYPERLINK(""https://wa.me/507""&amp;REGEXREPLACE(C959,""[^0-9]"","""")&amp;""?text=""&amp;ENCODEURL(""Ya llegue. Codigo: ""&amp;A959&amp;"". Ubicacion: ""&amp;""https://www.google.com/maps/search/?api=1&amp;query=""&amp;SUBSTITUTE(F959,"" "","""")),""📲 Avisar al cliente"""&amp;"),"""")"),"")</f>
        <v/>
      </c>
      <c r="L959" s="5" t="str">
        <f>IFERROR(__xludf.DUMMYFUNCTION("IF(C959&lt;&gt;"""",""https://api.qrserver.com/v1/create-qr-code/?size=200x200&amp;data=""&amp;ENCODEURL(""https://wa.me/507""&amp;REGEXREPLACE(C959,""[^0-9]"","""")&amp;""?text=""&amp;ENCODEURL(""Ya llegue. Codigo: ""&amp;A959&amp;"". Ubicacion: ""&amp;""https://www.google.com/maps/search/?a"&amp;"pi=1&amp;query=""&amp;SUBSTITUTE(F959,"" "",""""))),"""")"),"")</f>
        <v/>
      </c>
      <c r="M959" s="5" t="str">
        <f t="shared" si="6"/>
        <v/>
      </c>
      <c r="N959" s="5" t="str">
        <f>IFERROR(__xludf.DUMMYFUNCTION("IF(AND(F959&lt;&gt;"""",REGEXMATCH(SUBSTITUTE(F959,"" "",""""),""^-?\d+(\.\d+)?,-?\d+(\.\d+)?$""),VALUE(REGEXEXTRACT(SUBSTITUTE(F959,"" "",""""),""^-?\d+(\.\d+)?""))&gt;=-90,VALUE(REGEXEXTRACT(SUBSTITUTE(F959,"" "",""""),""^-?\d+(\.\d+)?""))&lt;=90,VALUE(REGEXEXTRACT"&amp;"(SUBSTITUTE(F959,"" "",""""),""-?\d+(\.\d+)?$""))&gt;=-180,VALUE(REGEXEXTRACT(SUBSTITUTE(F959,"" "",""""),""-?\d+(\.\d+)?$""))&lt;=180),""OK"",""REVISAR"")"),"#N/A")</f>
        <v>#N/A</v>
      </c>
    </row>
    <row r="960" ht="15.75" customHeight="1">
      <c r="A960" s="5" t="str">
        <f t="shared" si="1"/>
        <v>AD507-0958</v>
      </c>
      <c r="C960" s="5"/>
      <c r="F960" s="5"/>
      <c r="G960" s="5" t="str">
        <f t="shared" si="2"/>
        <v/>
      </c>
      <c r="H960" s="5" t="str">
        <f t="shared" si="3"/>
        <v/>
      </c>
      <c r="I960" s="5" t="str">
        <f t="shared" si="4"/>
        <v/>
      </c>
      <c r="J960" s="5" t="str">
        <f t="shared" si="5"/>
        <v/>
      </c>
      <c r="K960" s="5" t="str">
        <f>IFERROR(__xludf.DUMMYFUNCTION("IF(C960&lt;&gt;"""",HYPERLINK(""https://wa.me/507""&amp;REGEXREPLACE(C960,""[^0-9]"","""")&amp;""?text=""&amp;ENCODEURL(""Ya llegue. Codigo: ""&amp;A960&amp;"". Ubicacion: ""&amp;""https://www.google.com/maps/search/?api=1&amp;query=""&amp;SUBSTITUTE(F960,"" "","""")),""📲 Avisar al cliente"""&amp;"),"""")"),"")</f>
        <v/>
      </c>
      <c r="L960" s="5" t="str">
        <f>IFERROR(__xludf.DUMMYFUNCTION("IF(C960&lt;&gt;"""",""https://api.qrserver.com/v1/create-qr-code/?size=200x200&amp;data=""&amp;ENCODEURL(""https://wa.me/507""&amp;REGEXREPLACE(C960,""[^0-9]"","""")&amp;""?text=""&amp;ENCODEURL(""Ya llegue. Codigo: ""&amp;A960&amp;"". Ubicacion: ""&amp;""https://www.google.com/maps/search/?a"&amp;"pi=1&amp;query=""&amp;SUBSTITUTE(F960,"" "",""""))),"""")"),"")</f>
        <v/>
      </c>
      <c r="M960" s="5" t="str">
        <f t="shared" si="6"/>
        <v/>
      </c>
      <c r="N960" s="5" t="str">
        <f>IFERROR(__xludf.DUMMYFUNCTION("IF(AND(F960&lt;&gt;"""",REGEXMATCH(SUBSTITUTE(F960,"" "",""""),""^-?\d+(\.\d+)?,-?\d+(\.\d+)?$""),VALUE(REGEXEXTRACT(SUBSTITUTE(F960,"" "",""""),""^-?\d+(\.\d+)?""))&gt;=-90,VALUE(REGEXEXTRACT(SUBSTITUTE(F960,"" "",""""),""^-?\d+(\.\d+)?""))&lt;=90,VALUE(REGEXEXTRACT"&amp;"(SUBSTITUTE(F960,"" "",""""),""-?\d+(\.\d+)?$""))&gt;=-180,VALUE(REGEXEXTRACT(SUBSTITUTE(F960,"" "",""""),""-?\d+(\.\d+)?$""))&lt;=180),""OK"",""REVISAR"")"),"#N/A")</f>
        <v>#N/A</v>
      </c>
    </row>
    <row r="961" ht="15.75" customHeight="1">
      <c r="A961" s="5" t="str">
        <f t="shared" si="1"/>
        <v>AD507-0959</v>
      </c>
      <c r="C961" s="5"/>
      <c r="F961" s="5"/>
      <c r="G961" s="5" t="str">
        <f t="shared" si="2"/>
        <v/>
      </c>
      <c r="H961" s="5" t="str">
        <f t="shared" si="3"/>
        <v/>
      </c>
      <c r="I961" s="5" t="str">
        <f t="shared" si="4"/>
        <v/>
      </c>
      <c r="J961" s="5" t="str">
        <f t="shared" si="5"/>
        <v/>
      </c>
      <c r="K961" s="5" t="str">
        <f>IFERROR(__xludf.DUMMYFUNCTION("IF(C961&lt;&gt;"""",HYPERLINK(""https://wa.me/507""&amp;REGEXREPLACE(C961,""[^0-9]"","""")&amp;""?text=""&amp;ENCODEURL(""Ya llegue. Codigo: ""&amp;A961&amp;"". Ubicacion: ""&amp;""https://www.google.com/maps/search/?api=1&amp;query=""&amp;SUBSTITUTE(F961,"" "","""")),""📲 Avisar al cliente"""&amp;"),"""")"),"")</f>
        <v/>
      </c>
      <c r="L961" s="5" t="str">
        <f>IFERROR(__xludf.DUMMYFUNCTION("IF(C961&lt;&gt;"""",""https://api.qrserver.com/v1/create-qr-code/?size=200x200&amp;data=""&amp;ENCODEURL(""https://wa.me/507""&amp;REGEXREPLACE(C961,""[^0-9]"","""")&amp;""?text=""&amp;ENCODEURL(""Ya llegue. Codigo: ""&amp;A961&amp;"". Ubicacion: ""&amp;""https://www.google.com/maps/search/?a"&amp;"pi=1&amp;query=""&amp;SUBSTITUTE(F961,"" "",""""))),"""")"),"")</f>
        <v/>
      </c>
      <c r="M961" s="5" t="str">
        <f t="shared" si="6"/>
        <v/>
      </c>
      <c r="N961" s="5" t="str">
        <f>IFERROR(__xludf.DUMMYFUNCTION("IF(AND(F961&lt;&gt;"""",REGEXMATCH(SUBSTITUTE(F961,"" "",""""),""^-?\d+(\.\d+)?,-?\d+(\.\d+)?$""),VALUE(REGEXEXTRACT(SUBSTITUTE(F961,"" "",""""),""^-?\d+(\.\d+)?""))&gt;=-90,VALUE(REGEXEXTRACT(SUBSTITUTE(F961,"" "",""""),""^-?\d+(\.\d+)?""))&lt;=90,VALUE(REGEXEXTRACT"&amp;"(SUBSTITUTE(F961,"" "",""""),""-?\d+(\.\d+)?$""))&gt;=-180,VALUE(REGEXEXTRACT(SUBSTITUTE(F961,"" "",""""),""-?\d+(\.\d+)?$""))&lt;=180),""OK"",""REVISAR"")"),"#N/A")</f>
        <v>#N/A</v>
      </c>
    </row>
    <row r="962" ht="15.75" customHeight="1">
      <c r="A962" s="5" t="str">
        <f t="shared" si="1"/>
        <v>AD507-0960</v>
      </c>
      <c r="C962" s="5"/>
      <c r="F962" s="5"/>
      <c r="G962" s="5" t="str">
        <f t="shared" si="2"/>
        <v/>
      </c>
      <c r="H962" s="5" t="str">
        <f t="shared" si="3"/>
        <v/>
      </c>
      <c r="I962" s="5" t="str">
        <f t="shared" si="4"/>
        <v/>
      </c>
      <c r="J962" s="5" t="str">
        <f t="shared" si="5"/>
        <v/>
      </c>
      <c r="K962" s="5" t="str">
        <f>IFERROR(__xludf.DUMMYFUNCTION("IF(C962&lt;&gt;"""",HYPERLINK(""https://wa.me/507""&amp;REGEXREPLACE(C962,""[^0-9]"","""")&amp;""?text=""&amp;ENCODEURL(""Ya llegue. Codigo: ""&amp;A962&amp;"". Ubicacion: ""&amp;""https://www.google.com/maps/search/?api=1&amp;query=""&amp;SUBSTITUTE(F962,"" "","""")),""📲 Avisar al cliente"""&amp;"),"""")"),"")</f>
        <v/>
      </c>
      <c r="L962" s="5" t="str">
        <f>IFERROR(__xludf.DUMMYFUNCTION("IF(C962&lt;&gt;"""",""https://api.qrserver.com/v1/create-qr-code/?size=200x200&amp;data=""&amp;ENCODEURL(""https://wa.me/507""&amp;REGEXREPLACE(C962,""[^0-9]"","""")&amp;""?text=""&amp;ENCODEURL(""Ya llegue. Codigo: ""&amp;A962&amp;"". Ubicacion: ""&amp;""https://www.google.com/maps/search/?a"&amp;"pi=1&amp;query=""&amp;SUBSTITUTE(F962,"" "",""""))),"""")"),"")</f>
        <v/>
      </c>
      <c r="M962" s="5" t="str">
        <f t="shared" si="6"/>
        <v/>
      </c>
      <c r="N962" s="5" t="str">
        <f>IFERROR(__xludf.DUMMYFUNCTION("IF(AND(F962&lt;&gt;"""",REGEXMATCH(SUBSTITUTE(F962,"" "",""""),""^-?\d+(\.\d+)?,-?\d+(\.\d+)?$""),VALUE(REGEXEXTRACT(SUBSTITUTE(F962,"" "",""""),""^-?\d+(\.\d+)?""))&gt;=-90,VALUE(REGEXEXTRACT(SUBSTITUTE(F962,"" "",""""),""^-?\d+(\.\d+)?""))&lt;=90,VALUE(REGEXEXTRACT"&amp;"(SUBSTITUTE(F962,"" "",""""),""-?\d+(\.\d+)?$""))&gt;=-180,VALUE(REGEXEXTRACT(SUBSTITUTE(F962,"" "",""""),""-?\d+(\.\d+)?$""))&lt;=180),""OK"",""REVISAR"")"),"#N/A")</f>
        <v>#N/A</v>
      </c>
    </row>
    <row r="963" ht="15.75" customHeight="1">
      <c r="A963" s="5" t="str">
        <f t="shared" si="1"/>
        <v>AD507-0961</v>
      </c>
      <c r="C963" s="5"/>
      <c r="F963" s="5"/>
      <c r="G963" s="5" t="str">
        <f t="shared" si="2"/>
        <v/>
      </c>
      <c r="H963" s="5" t="str">
        <f t="shared" si="3"/>
        <v/>
      </c>
      <c r="I963" s="5" t="str">
        <f t="shared" si="4"/>
        <v/>
      </c>
      <c r="J963" s="5" t="str">
        <f t="shared" si="5"/>
        <v/>
      </c>
      <c r="K963" s="5" t="str">
        <f>IFERROR(__xludf.DUMMYFUNCTION("IF(C963&lt;&gt;"""",HYPERLINK(""https://wa.me/507""&amp;REGEXREPLACE(C963,""[^0-9]"","""")&amp;""?text=""&amp;ENCODEURL(""Ya llegue. Codigo: ""&amp;A963&amp;"". Ubicacion: ""&amp;""https://www.google.com/maps/search/?api=1&amp;query=""&amp;SUBSTITUTE(F963,"" "","""")),""📲 Avisar al cliente"""&amp;"),"""")"),"")</f>
        <v/>
      </c>
      <c r="L963" s="5" t="str">
        <f>IFERROR(__xludf.DUMMYFUNCTION("IF(C963&lt;&gt;"""",""https://api.qrserver.com/v1/create-qr-code/?size=200x200&amp;data=""&amp;ENCODEURL(""https://wa.me/507""&amp;REGEXREPLACE(C963,""[^0-9]"","""")&amp;""?text=""&amp;ENCODEURL(""Ya llegue. Codigo: ""&amp;A963&amp;"". Ubicacion: ""&amp;""https://www.google.com/maps/search/?a"&amp;"pi=1&amp;query=""&amp;SUBSTITUTE(F963,"" "",""""))),"""")"),"")</f>
        <v/>
      </c>
      <c r="M963" s="5" t="str">
        <f t="shared" si="6"/>
        <v/>
      </c>
      <c r="N963" s="5" t="str">
        <f>IFERROR(__xludf.DUMMYFUNCTION("IF(AND(F963&lt;&gt;"""",REGEXMATCH(SUBSTITUTE(F963,"" "",""""),""^-?\d+(\.\d+)?,-?\d+(\.\d+)?$""),VALUE(REGEXEXTRACT(SUBSTITUTE(F963,"" "",""""),""^-?\d+(\.\d+)?""))&gt;=-90,VALUE(REGEXEXTRACT(SUBSTITUTE(F963,"" "",""""),""^-?\d+(\.\d+)?""))&lt;=90,VALUE(REGEXEXTRACT"&amp;"(SUBSTITUTE(F963,"" "",""""),""-?\d+(\.\d+)?$""))&gt;=-180,VALUE(REGEXEXTRACT(SUBSTITUTE(F963,"" "",""""),""-?\d+(\.\d+)?$""))&lt;=180),""OK"",""REVISAR"")"),"#N/A")</f>
        <v>#N/A</v>
      </c>
    </row>
    <row r="964" ht="15.75" customHeight="1">
      <c r="A964" s="5" t="str">
        <f t="shared" si="1"/>
        <v>AD507-0962</v>
      </c>
      <c r="C964" s="5"/>
      <c r="F964" s="5"/>
      <c r="G964" s="5" t="str">
        <f t="shared" si="2"/>
        <v/>
      </c>
      <c r="H964" s="5" t="str">
        <f t="shared" si="3"/>
        <v/>
      </c>
      <c r="I964" s="5" t="str">
        <f t="shared" si="4"/>
        <v/>
      </c>
      <c r="J964" s="5" t="str">
        <f t="shared" si="5"/>
        <v/>
      </c>
      <c r="K964" s="5" t="str">
        <f>IFERROR(__xludf.DUMMYFUNCTION("IF(C964&lt;&gt;"""",HYPERLINK(""https://wa.me/507""&amp;REGEXREPLACE(C964,""[^0-9]"","""")&amp;""?text=""&amp;ENCODEURL(""Ya llegue. Codigo: ""&amp;A964&amp;"". Ubicacion: ""&amp;""https://www.google.com/maps/search/?api=1&amp;query=""&amp;SUBSTITUTE(F964,"" "","""")),""📲 Avisar al cliente"""&amp;"),"""")"),"")</f>
        <v/>
      </c>
      <c r="L964" s="5" t="str">
        <f>IFERROR(__xludf.DUMMYFUNCTION("IF(C964&lt;&gt;"""",""https://api.qrserver.com/v1/create-qr-code/?size=200x200&amp;data=""&amp;ENCODEURL(""https://wa.me/507""&amp;REGEXREPLACE(C964,""[^0-9]"","""")&amp;""?text=""&amp;ENCODEURL(""Ya llegue. Codigo: ""&amp;A964&amp;"". Ubicacion: ""&amp;""https://www.google.com/maps/search/?a"&amp;"pi=1&amp;query=""&amp;SUBSTITUTE(F964,"" "",""""))),"""")"),"")</f>
        <v/>
      </c>
      <c r="M964" s="5" t="str">
        <f t="shared" si="6"/>
        <v/>
      </c>
      <c r="N964" s="5" t="str">
        <f>IFERROR(__xludf.DUMMYFUNCTION("IF(AND(F964&lt;&gt;"""",REGEXMATCH(SUBSTITUTE(F964,"" "",""""),""^-?\d+(\.\d+)?,-?\d+(\.\d+)?$""),VALUE(REGEXEXTRACT(SUBSTITUTE(F964,"" "",""""),""^-?\d+(\.\d+)?""))&gt;=-90,VALUE(REGEXEXTRACT(SUBSTITUTE(F964,"" "",""""),""^-?\d+(\.\d+)?""))&lt;=90,VALUE(REGEXEXTRACT"&amp;"(SUBSTITUTE(F964,"" "",""""),""-?\d+(\.\d+)?$""))&gt;=-180,VALUE(REGEXEXTRACT(SUBSTITUTE(F964,"" "",""""),""-?\d+(\.\d+)?$""))&lt;=180),""OK"",""REVISAR"")"),"#N/A")</f>
        <v>#N/A</v>
      </c>
    </row>
    <row r="965" ht="15.75" customHeight="1">
      <c r="A965" s="5" t="str">
        <f t="shared" si="1"/>
        <v>AD507-0963</v>
      </c>
      <c r="C965" s="5"/>
      <c r="F965" s="5"/>
      <c r="G965" s="5" t="str">
        <f t="shared" si="2"/>
        <v/>
      </c>
      <c r="H965" s="5" t="str">
        <f t="shared" si="3"/>
        <v/>
      </c>
      <c r="I965" s="5" t="str">
        <f t="shared" si="4"/>
        <v/>
      </c>
      <c r="J965" s="5" t="str">
        <f t="shared" si="5"/>
        <v/>
      </c>
      <c r="K965" s="5" t="str">
        <f>IFERROR(__xludf.DUMMYFUNCTION("IF(C965&lt;&gt;"""",HYPERLINK(""https://wa.me/507""&amp;REGEXREPLACE(C965,""[^0-9]"","""")&amp;""?text=""&amp;ENCODEURL(""Ya llegue. Codigo: ""&amp;A965&amp;"". Ubicacion: ""&amp;""https://www.google.com/maps/search/?api=1&amp;query=""&amp;SUBSTITUTE(F965,"" "","""")),""📲 Avisar al cliente"""&amp;"),"""")"),"")</f>
        <v/>
      </c>
      <c r="L965" s="5" t="str">
        <f>IFERROR(__xludf.DUMMYFUNCTION("IF(C965&lt;&gt;"""",""https://api.qrserver.com/v1/create-qr-code/?size=200x200&amp;data=""&amp;ENCODEURL(""https://wa.me/507""&amp;REGEXREPLACE(C965,""[^0-9]"","""")&amp;""?text=""&amp;ENCODEURL(""Ya llegue. Codigo: ""&amp;A965&amp;"". Ubicacion: ""&amp;""https://www.google.com/maps/search/?a"&amp;"pi=1&amp;query=""&amp;SUBSTITUTE(F965,"" "",""""))),"""")"),"")</f>
        <v/>
      </c>
      <c r="M965" s="5" t="str">
        <f t="shared" si="6"/>
        <v/>
      </c>
      <c r="N965" s="5" t="str">
        <f>IFERROR(__xludf.DUMMYFUNCTION("IF(AND(F965&lt;&gt;"""",REGEXMATCH(SUBSTITUTE(F965,"" "",""""),""^-?\d+(\.\d+)?,-?\d+(\.\d+)?$""),VALUE(REGEXEXTRACT(SUBSTITUTE(F965,"" "",""""),""^-?\d+(\.\d+)?""))&gt;=-90,VALUE(REGEXEXTRACT(SUBSTITUTE(F965,"" "",""""),""^-?\d+(\.\d+)?""))&lt;=90,VALUE(REGEXEXTRACT"&amp;"(SUBSTITUTE(F965,"" "",""""),""-?\d+(\.\d+)?$""))&gt;=-180,VALUE(REGEXEXTRACT(SUBSTITUTE(F965,"" "",""""),""-?\d+(\.\d+)?$""))&lt;=180),""OK"",""REVISAR"")"),"#N/A")</f>
        <v>#N/A</v>
      </c>
    </row>
    <row r="966" ht="15.75" customHeight="1">
      <c r="A966" s="5" t="str">
        <f t="shared" si="1"/>
        <v>AD507-0964</v>
      </c>
      <c r="C966" s="5"/>
      <c r="F966" s="5"/>
      <c r="G966" s="5" t="str">
        <f t="shared" si="2"/>
        <v/>
      </c>
      <c r="H966" s="5" t="str">
        <f t="shared" si="3"/>
        <v/>
      </c>
      <c r="I966" s="5" t="str">
        <f t="shared" si="4"/>
        <v/>
      </c>
      <c r="J966" s="5" t="str">
        <f t="shared" si="5"/>
        <v/>
      </c>
      <c r="K966" s="5" t="str">
        <f>IFERROR(__xludf.DUMMYFUNCTION("IF(C966&lt;&gt;"""",HYPERLINK(""https://wa.me/507""&amp;REGEXREPLACE(C966,""[^0-9]"","""")&amp;""?text=""&amp;ENCODEURL(""Ya llegue. Codigo: ""&amp;A966&amp;"". Ubicacion: ""&amp;""https://www.google.com/maps/search/?api=1&amp;query=""&amp;SUBSTITUTE(F966,"" "","""")),""📲 Avisar al cliente"""&amp;"),"""")"),"")</f>
        <v/>
      </c>
      <c r="L966" s="5" t="str">
        <f>IFERROR(__xludf.DUMMYFUNCTION("IF(C966&lt;&gt;"""",""https://api.qrserver.com/v1/create-qr-code/?size=200x200&amp;data=""&amp;ENCODEURL(""https://wa.me/507""&amp;REGEXREPLACE(C966,""[^0-9]"","""")&amp;""?text=""&amp;ENCODEURL(""Ya llegue. Codigo: ""&amp;A966&amp;"". Ubicacion: ""&amp;""https://www.google.com/maps/search/?a"&amp;"pi=1&amp;query=""&amp;SUBSTITUTE(F966,"" "",""""))),"""")"),"")</f>
        <v/>
      </c>
      <c r="M966" s="5" t="str">
        <f t="shared" si="6"/>
        <v/>
      </c>
      <c r="N966" s="5" t="str">
        <f>IFERROR(__xludf.DUMMYFUNCTION("IF(AND(F966&lt;&gt;"""",REGEXMATCH(SUBSTITUTE(F966,"" "",""""),""^-?\d+(\.\d+)?,-?\d+(\.\d+)?$""),VALUE(REGEXEXTRACT(SUBSTITUTE(F966,"" "",""""),""^-?\d+(\.\d+)?""))&gt;=-90,VALUE(REGEXEXTRACT(SUBSTITUTE(F966,"" "",""""),""^-?\d+(\.\d+)?""))&lt;=90,VALUE(REGEXEXTRACT"&amp;"(SUBSTITUTE(F966,"" "",""""),""-?\d+(\.\d+)?$""))&gt;=-180,VALUE(REGEXEXTRACT(SUBSTITUTE(F966,"" "",""""),""-?\d+(\.\d+)?$""))&lt;=180),""OK"",""REVISAR"")"),"#N/A")</f>
        <v>#N/A</v>
      </c>
    </row>
    <row r="967" ht="15.75" customHeight="1">
      <c r="A967" s="5" t="str">
        <f t="shared" si="1"/>
        <v>AD507-0965</v>
      </c>
      <c r="C967" s="5"/>
      <c r="F967" s="5"/>
      <c r="G967" s="5" t="str">
        <f t="shared" si="2"/>
        <v/>
      </c>
      <c r="H967" s="5" t="str">
        <f t="shared" si="3"/>
        <v/>
      </c>
      <c r="I967" s="5" t="str">
        <f t="shared" si="4"/>
        <v/>
      </c>
      <c r="J967" s="5" t="str">
        <f t="shared" si="5"/>
        <v/>
      </c>
      <c r="K967" s="5" t="str">
        <f>IFERROR(__xludf.DUMMYFUNCTION("IF(C967&lt;&gt;"""",HYPERLINK(""https://wa.me/507""&amp;REGEXREPLACE(C967,""[^0-9]"","""")&amp;""?text=""&amp;ENCODEURL(""Ya llegue. Codigo: ""&amp;A967&amp;"". Ubicacion: ""&amp;""https://www.google.com/maps/search/?api=1&amp;query=""&amp;SUBSTITUTE(F967,"" "","""")),""📲 Avisar al cliente"""&amp;"),"""")"),"")</f>
        <v/>
      </c>
      <c r="L967" s="5" t="str">
        <f>IFERROR(__xludf.DUMMYFUNCTION("IF(C967&lt;&gt;"""",""https://api.qrserver.com/v1/create-qr-code/?size=200x200&amp;data=""&amp;ENCODEURL(""https://wa.me/507""&amp;REGEXREPLACE(C967,""[^0-9]"","""")&amp;""?text=""&amp;ENCODEURL(""Ya llegue. Codigo: ""&amp;A967&amp;"". Ubicacion: ""&amp;""https://www.google.com/maps/search/?a"&amp;"pi=1&amp;query=""&amp;SUBSTITUTE(F967,"" "",""""))),"""")"),"")</f>
        <v/>
      </c>
      <c r="M967" s="5" t="str">
        <f t="shared" si="6"/>
        <v/>
      </c>
      <c r="N967" s="5" t="str">
        <f>IFERROR(__xludf.DUMMYFUNCTION("IF(AND(F967&lt;&gt;"""",REGEXMATCH(SUBSTITUTE(F967,"" "",""""),""^-?\d+(\.\d+)?,-?\d+(\.\d+)?$""),VALUE(REGEXEXTRACT(SUBSTITUTE(F967,"" "",""""),""^-?\d+(\.\d+)?""))&gt;=-90,VALUE(REGEXEXTRACT(SUBSTITUTE(F967,"" "",""""),""^-?\d+(\.\d+)?""))&lt;=90,VALUE(REGEXEXTRACT"&amp;"(SUBSTITUTE(F967,"" "",""""),""-?\d+(\.\d+)?$""))&gt;=-180,VALUE(REGEXEXTRACT(SUBSTITUTE(F967,"" "",""""),""-?\d+(\.\d+)?$""))&lt;=180),""OK"",""REVISAR"")"),"#N/A")</f>
        <v>#N/A</v>
      </c>
    </row>
    <row r="968" ht="15.75" customHeight="1">
      <c r="A968" s="5" t="str">
        <f t="shared" si="1"/>
        <v>AD507-0966</v>
      </c>
      <c r="C968" s="5"/>
      <c r="F968" s="5"/>
      <c r="G968" s="5" t="str">
        <f t="shared" si="2"/>
        <v/>
      </c>
      <c r="H968" s="5" t="str">
        <f t="shared" si="3"/>
        <v/>
      </c>
      <c r="I968" s="5" t="str">
        <f t="shared" si="4"/>
        <v/>
      </c>
      <c r="J968" s="5" t="str">
        <f t="shared" si="5"/>
        <v/>
      </c>
      <c r="K968" s="5" t="str">
        <f>IFERROR(__xludf.DUMMYFUNCTION("IF(C968&lt;&gt;"""",HYPERLINK(""https://wa.me/507""&amp;REGEXREPLACE(C968,""[^0-9]"","""")&amp;""?text=""&amp;ENCODEURL(""Ya llegue. Codigo: ""&amp;A968&amp;"". Ubicacion: ""&amp;""https://www.google.com/maps/search/?api=1&amp;query=""&amp;SUBSTITUTE(F968,"" "","""")),""📲 Avisar al cliente"""&amp;"),"""")"),"")</f>
        <v/>
      </c>
      <c r="L968" s="5" t="str">
        <f>IFERROR(__xludf.DUMMYFUNCTION("IF(C968&lt;&gt;"""",""https://api.qrserver.com/v1/create-qr-code/?size=200x200&amp;data=""&amp;ENCODEURL(""https://wa.me/507""&amp;REGEXREPLACE(C968,""[^0-9]"","""")&amp;""?text=""&amp;ENCODEURL(""Ya llegue. Codigo: ""&amp;A968&amp;"". Ubicacion: ""&amp;""https://www.google.com/maps/search/?a"&amp;"pi=1&amp;query=""&amp;SUBSTITUTE(F968,"" "",""""))),"""")"),"")</f>
        <v/>
      </c>
      <c r="M968" s="5" t="str">
        <f t="shared" si="6"/>
        <v/>
      </c>
      <c r="N968" s="5" t="str">
        <f>IFERROR(__xludf.DUMMYFUNCTION("IF(AND(F968&lt;&gt;"""",REGEXMATCH(SUBSTITUTE(F968,"" "",""""),""^-?\d+(\.\d+)?,-?\d+(\.\d+)?$""),VALUE(REGEXEXTRACT(SUBSTITUTE(F968,"" "",""""),""^-?\d+(\.\d+)?""))&gt;=-90,VALUE(REGEXEXTRACT(SUBSTITUTE(F968,"" "",""""),""^-?\d+(\.\d+)?""))&lt;=90,VALUE(REGEXEXTRACT"&amp;"(SUBSTITUTE(F968,"" "",""""),""-?\d+(\.\d+)?$""))&gt;=-180,VALUE(REGEXEXTRACT(SUBSTITUTE(F968,"" "",""""),""-?\d+(\.\d+)?$""))&lt;=180),""OK"",""REVISAR"")"),"#N/A")</f>
        <v>#N/A</v>
      </c>
    </row>
    <row r="969" ht="15.75" customHeight="1">
      <c r="A969" s="5" t="str">
        <f t="shared" si="1"/>
        <v>AD507-0967</v>
      </c>
      <c r="C969" s="5"/>
      <c r="F969" s="5"/>
      <c r="G969" s="5" t="str">
        <f t="shared" si="2"/>
        <v/>
      </c>
      <c r="H969" s="5" t="str">
        <f t="shared" si="3"/>
        <v/>
      </c>
      <c r="I969" s="5" t="str">
        <f t="shared" si="4"/>
        <v/>
      </c>
      <c r="J969" s="5" t="str">
        <f t="shared" si="5"/>
        <v/>
      </c>
      <c r="K969" s="5" t="str">
        <f>IFERROR(__xludf.DUMMYFUNCTION("IF(C969&lt;&gt;"""",HYPERLINK(""https://wa.me/507""&amp;REGEXREPLACE(C969,""[^0-9]"","""")&amp;""?text=""&amp;ENCODEURL(""Ya llegue. Codigo: ""&amp;A969&amp;"". Ubicacion: ""&amp;""https://www.google.com/maps/search/?api=1&amp;query=""&amp;SUBSTITUTE(F969,"" "","""")),""📲 Avisar al cliente"""&amp;"),"""")"),"")</f>
        <v/>
      </c>
      <c r="L969" s="5" t="str">
        <f>IFERROR(__xludf.DUMMYFUNCTION("IF(C969&lt;&gt;"""",""https://api.qrserver.com/v1/create-qr-code/?size=200x200&amp;data=""&amp;ENCODEURL(""https://wa.me/507""&amp;REGEXREPLACE(C969,""[^0-9]"","""")&amp;""?text=""&amp;ENCODEURL(""Ya llegue. Codigo: ""&amp;A969&amp;"". Ubicacion: ""&amp;""https://www.google.com/maps/search/?a"&amp;"pi=1&amp;query=""&amp;SUBSTITUTE(F969,"" "",""""))),"""")"),"")</f>
        <v/>
      </c>
      <c r="M969" s="5" t="str">
        <f t="shared" si="6"/>
        <v/>
      </c>
      <c r="N969" s="5" t="str">
        <f>IFERROR(__xludf.DUMMYFUNCTION("IF(AND(F969&lt;&gt;"""",REGEXMATCH(SUBSTITUTE(F969,"" "",""""),""^-?\d+(\.\d+)?,-?\d+(\.\d+)?$""),VALUE(REGEXEXTRACT(SUBSTITUTE(F969,"" "",""""),""^-?\d+(\.\d+)?""))&gt;=-90,VALUE(REGEXEXTRACT(SUBSTITUTE(F969,"" "",""""),""^-?\d+(\.\d+)?""))&lt;=90,VALUE(REGEXEXTRACT"&amp;"(SUBSTITUTE(F969,"" "",""""),""-?\d+(\.\d+)?$""))&gt;=-180,VALUE(REGEXEXTRACT(SUBSTITUTE(F969,"" "",""""),""-?\d+(\.\d+)?$""))&lt;=180),""OK"",""REVISAR"")"),"#N/A")</f>
        <v>#N/A</v>
      </c>
    </row>
    <row r="970" ht="15.75" customHeight="1">
      <c r="A970" s="5" t="str">
        <f t="shared" si="1"/>
        <v>AD507-0968</v>
      </c>
      <c r="C970" s="5"/>
      <c r="F970" s="5"/>
      <c r="G970" s="5" t="str">
        <f t="shared" si="2"/>
        <v/>
      </c>
      <c r="H970" s="5" t="str">
        <f t="shared" si="3"/>
        <v/>
      </c>
      <c r="I970" s="5" t="str">
        <f t="shared" si="4"/>
        <v/>
      </c>
      <c r="J970" s="5" t="str">
        <f t="shared" si="5"/>
        <v/>
      </c>
      <c r="K970" s="5" t="str">
        <f>IFERROR(__xludf.DUMMYFUNCTION("IF(C970&lt;&gt;"""",HYPERLINK(""https://wa.me/507""&amp;REGEXREPLACE(C970,""[^0-9]"","""")&amp;""?text=""&amp;ENCODEURL(""Ya llegue. Codigo: ""&amp;A970&amp;"". Ubicacion: ""&amp;""https://www.google.com/maps/search/?api=1&amp;query=""&amp;SUBSTITUTE(F970,"" "","""")),""📲 Avisar al cliente"""&amp;"),"""")"),"")</f>
        <v/>
      </c>
      <c r="L970" s="5" t="str">
        <f>IFERROR(__xludf.DUMMYFUNCTION("IF(C970&lt;&gt;"""",""https://api.qrserver.com/v1/create-qr-code/?size=200x200&amp;data=""&amp;ENCODEURL(""https://wa.me/507""&amp;REGEXREPLACE(C970,""[^0-9]"","""")&amp;""?text=""&amp;ENCODEURL(""Ya llegue. Codigo: ""&amp;A970&amp;"". Ubicacion: ""&amp;""https://www.google.com/maps/search/?a"&amp;"pi=1&amp;query=""&amp;SUBSTITUTE(F970,"" "",""""))),"""")"),"")</f>
        <v/>
      </c>
      <c r="M970" s="5" t="str">
        <f t="shared" si="6"/>
        <v/>
      </c>
      <c r="N970" s="5" t="str">
        <f>IFERROR(__xludf.DUMMYFUNCTION("IF(AND(F970&lt;&gt;"""",REGEXMATCH(SUBSTITUTE(F970,"" "",""""),""^-?\d+(\.\d+)?,-?\d+(\.\d+)?$""),VALUE(REGEXEXTRACT(SUBSTITUTE(F970,"" "",""""),""^-?\d+(\.\d+)?""))&gt;=-90,VALUE(REGEXEXTRACT(SUBSTITUTE(F970,"" "",""""),""^-?\d+(\.\d+)?""))&lt;=90,VALUE(REGEXEXTRACT"&amp;"(SUBSTITUTE(F970,"" "",""""),""-?\d+(\.\d+)?$""))&gt;=-180,VALUE(REGEXEXTRACT(SUBSTITUTE(F970,"" "",""""),""-?\d+(\.\d+)?$""))&lt;=180),""OK"",""REVISAR"")"),"#N/A")</f>
        <v>#N/A</v>
      </c>
    </row>
    <row r="971" ht="15.75" customHeight="1">
      <c r="A971" s="5" t="str">
        <f t="shared" si="1"/>
        <v>AD507-0969</v>
      </c>
      <c r="C971" s="5"/>
      <c r="F971" s="5"/>
      <c r="G971" s="5" t="str">
        <f t="shared" si="2"/>
        <v/>
      </c>
      <c r="H971" s="5" t="str">
        <f t="shared" si="3"/>
        <v/>
      </c>
      <c r="I971" s="5" t="str">
        <f t="shared" si="4"/>
        <v/>
      </c>
      <c r="J971" s="5" t="str">
        <f t="shared" si="5"/>
        <v/>
      </c>
      <c r="K971" s="5" t="str">
        <f>IFERROR(__xludf.DUMMYFUNCTION("IF(C971&lt;&gt;"""",HYPERLINK(""https://wa.me/507""&amp;REGEXREPLACE(C971,""[^0-9]"","""")&amp;""?text=""&amp;ENCODEURL(""Ya llegue. Codigo: ""&amp;A971&amp;"". Ubicacion: ""&amp;""https://www.google.com/maps/search/?api=1&amp;query=""&amp;SUBSTITUTE(F971,"" "","""")),""📲 Avisar al cliente"""&amp;"),"""")"),"")</f>
        <v/>
      </c>
      <c r="L971" s="5" t="str">
        <f>IFERROR(__xludf.DUMMYFUNCTION("IF(C971&lt;&gt;"""",""https://api.qrserver.com/v1/create-qr-code/?size=200x200&amp;data=""&amp;ENCODEURL(""https://wa.me/507""&amp;REGEXREPLACE(C971,""[^0-9]"","""")&amp;""?text=""&amp;ENCODEURL(""Ya llegue. Codigo: ""&amp;A971&amp;"". Ubicacion: ""&amp;""https://www.google.com/maps/search/?a"&amp;"pi=1&amp;query=""&amp;SUBSTITUTE(F971,"" "",""""))),"""")"),"")</f>
        <v/>
      </c>
      <c r="M971" s="5" t="str">
        <f t="shared" si="6"/>
        <v/>
      </c>
      <c r="N971" s="5" t="str">
        <f>IFERROR(__xludf.DUMMYFUNCTION("IF(AND(F971&lt;&gt;"""",REGEXMATCH(SUBSTITUTE(F971,"" "",""""),""^-?\d+(\.\d+)?,-?\d+(\.\d+)?$""),VALUE(REGEXEXTRACT(SUBSTITUTE(F971,"" "",""""),""^-?\d+(\.\d+)?""))&gt;=-90,VALUE(REGEXEXTRACT(SUBSTITUTE(F971,"" "",""""),""^-?\d+(\.\d+)?""))&lt;=90,VALUE(REGEXEXTRACT"&amp;"(SUBSTITUTE(F971,"" "",""""),""-?\d+(\.\d+)?$""))&gt;=-180,VALUE(REGEXEXTRACT(SUBSTITUTE(F971,"" "",""""),""-?\d+(\.\d+)?$""))&lt;=180),""OK"",""REVISAR"")"),"#N/A")</f>
        <v>#N/A</v>
      </c>
    </row>
    <row r="972" ht="15.75" customHeight="1">
      <c r="A972" s="5" t="str">
        <f t="shared" si="1"/>
        <v>AD507-0970</v>
      </c>
      <c r="C972" s="5"/>
      <c r="F972" s="5"/>
      <c r="G972" s="5" t="str">
        <f t="shared" si="2"/>
        <v/>
      </c>
      <c r="H972" s="5" t="str">
        <f t="shared" si="3"/>
        <v/>
      </c>
      <c r="I972" s="5" t="str">
        <f t="shared" si="4"/>
        <v/>
      </c>
      <c r="J972" s="5" t="str">
        <f t="shared" si="5"/>
        <v/>
      </c>
      <c r="K972" s="5" t="str">
        <f>IFERROR(__xludf.DUMMYFUNCTION("IF(C972&lt;&gt;"""",HYPERLINK(""https://wa.me/507""&amp;REGEXREPLACE(C972,""[^0-9]"","""")&amp;""?text=""&amp;ENCODEURL(""Ya llegue. Codigo: ""&amp;A972&amp;"". Ubicacion: ""&amp;""https://www.google.com/maps/search/?api=1&amp;query=""&amp;SUBSTITUTE(F972,"" "","""")),""📲 Avisar al cliente"""&amp;"),"""")"),"")</f>
        <v/>
      </c>
      <c r="L972" s="5" t="str">
        <f>IFERROR(__xludf.DUMMYFUNCTION("IF(C972&lt;&gt;"""",""https://api.qrserver.com/v1/create-qr-code/?size=200x200&amp;data=""&amp;ENCODEURL(""https://wa.me/507""&amp;REGEXREPLACE(C972,""[^0-9]"","""")&amp;""?text=""&amp;ENCODEURL(""Ya llegue. Codigo: ""&amp;A972&amp;"". Ubicacion: ""&amp;""https://www.google.com/maps/search/?a"&amp;"pi=1&amp;query=""&amp;SUBSTITUTE(F972,"" "",""""))),"""")"),"")</f>
        <v/>
      </c>
      <c r="M972" s="5" t="str">
        <f t="shared" si="6"/>
        <v/>
      </c>
      <c r="N972" s="5" t="str">
        <f>IFERROR(__xludf.DUMMYFUNCTION("IF(AND(F972&lt;&gt;"""",REGEXMATCH(SUBSTITUTE(F972,"" "",""""),""^-?\d+(\.\d+)?,-?\d+(\.\d+)?$""),VALUE(REGEXEXTRACT(SUBSTITUTE(F972,"" "",""""),""^-?\d+(\.\d+)?""))&gt;=-90,VALUE(REGEXEXTRACT(SUBSTITUTE(F972,"" "",""""),""^-?\d+(\.\d+)?""))&lt;=90,VALUE(REGEXEXTRACT"&amp;"(SUBSTITUTE(F972,"" "",""""),""-?\d+(\.\d+)?$""))&gt;=-180,VALUE(REGEXEXTRACT(SUBSTITUTE(F972,"" "",""""),""-?\d+(\.\d+)?$""))&lt;=180),""OK"",""REVISAR"")"),"#N/A")</f>
        <v>#N/A</v>
      </c>
    </row>
    <row r="973" ht="15.75" customHeight="1">
      <c r="A973" s="5" t="str">
        <f t="shared" si="1"/>
        <v>AD507-0971</v>
      </c>
      <c r="C973" s="5"/>
      <c r="F973" s="5"/>
      <c r="G973" s="5" t="str">
        <f t="shared" si="2"/>
        <v/>
      </c>
      <c r="H973" s="5" t="str">
        <f t="shared" si="3"/>
        <v/>
      </c>
      <c r="I973" s="5" t="str">
        <f t="shared" si="4"/>
        <v/>
      </c>
      <c r="J973" s="5" t="str">
        <f t="shared" si="5"/>
        <v/>
      </c>
      <c r="K973" s="5" t="str">
        <f>IFERROR(__xludf.DUMMYFUNCTION("IF(C973&lt;&gt;"""",HYPERLINK(""https://wa.me/507""&amp;REGEXREPLACE(C973,""[^0-9]"","""")&amp;""?text=""&amp;ENCODEURL(""Ya llegue. Codigo: ""&amp;A973&amp;"". Ubicacion: ""&amp;""https://www.google.com/maps/search/?api=1&amp;query=""&amp;SUBSTITUTE(F973,"" "","""")),""📲 Avisar al cliente"""&amp;"),"""")"),"")</f>
        <v/>
      </c>
      <c r="L973" s="5" t="str">
        <f>IFERROR(__xludf.DUMMYFUNCTION("IF(C973&lt;&gt;"""",""https://api.qrserver.com/v1/create-qr-code/?size=200x200&amp;data=""&amp;ENCODEURL(""https://wa.me/507""&amp;REGEXREPLACE(C973,""[^0-9]"","""")&amp;""?text=""&amp;ENCODEURL(""Ya llegue. Codigo: ""&amp;A973&amp;"". Ubicacion: ""&amp;""https://www.google.com/maps/search/?a"&amp;"pi=1&amp;query=""&amp;SUBSTITUTE(F973,"" "",""""))),"""")"),"")</f>
        <v/>
      </c>
      <c r="M973" s="5" t="str">
        <f t="shared" si="6"/>
        <v/>
      </c>
      <c r="N973" s="5" t="str">
        <f>IFERROR(__xludf.DUMMYFUNCTION("IF(AND(F973&lt;&gt;"""",REGEXMATCH(SUBSTITUTE(F973,"" "",""""),""^-?\d+(\.\d+)?,-?\d+(\.\d+)?$""),VALUE(REGEXEXTRACT(SUBSTITUTE(F973,"" "",""""),""^-?\d+(\.\d+)?""))&gt;=-90,VALUE(REGEXEXTRACT(SUBSTITUTE(F973,"" "",""""),""^-?\d+(\.\d+)?""))&lt;=90,VALUE(REGEXEXTRACT"&amp;"(SUBSTITUTE(F973,"" "",""""),""-?\d+(\.\d+)?$""))&gt;=-180,VALUE(REGEXEXTRACT(SUBSTITUTE(F973,"" "",""""),""-?\d+(\.\d+)?$""))&lt;=180),""OK"",""REVISAR"")"),"#N/A")</f>
        <v>#N/A</v>
      </c>
    </row>
    <row r="974" ht="15.75" customHeight="1">
      <c r="A974" s="5" t="str">
        <f t="shared" si="1"/>
        <v>AD507-0972</v>
      </c>
      <c r="C974" s="5"/>
      <c r="F974" s="5"/>
      <c r="G974" s="5" t="str">
        <f t="shared" si="2"/>
        <v/>
      </c>
      <c r="H974" s="5" t="str">
        <f t="shared" si="3"/>
        <v/>
      </c>
      <c r="I974" s="5" t="str">
        <f t="shared" si="4"/>
        <v/>
      </c>
      <c r="J974" s="5" t="str">
        <f t="shared" si="5"/>
        <v/>
      </c>
      <c r="K974" s="5" t="str">
        <f>IFERROR(__xludf.DUMMYFUNCTION("IF(C974&lt;&gt;"""",HYPERLINK(""https://wa.me/507""&amp;REGEXREPLACE(C974,""[^0-9]"","""")&amp;""?text=""&amp;ENCODEURL(""Ya llegue. Codigo: ""&amp;A974&amp;"". Ubicacion: ""&amp;""https://www.google.com/maps/search/?api=1&amp;query=""&amp;SUBSTITUTE(F974,"" "","""")),""📲 Avisar al cliente"""&amp;"),"""")"),"")</f>
        <v/>
      </c>
      <c r="L974" s="5" t="str">
        <f>IFERROR(__xludf.DUMMYFUNCTION("IF(C974&lt;&gt;"""",""https://api.qrserver.com/v1/create-qr-code/?size=200x200&amp;data=""&amp;ENCODEURL(""https://wa.me/507""&amp;REGEXREPLACE(C974,""[^0-9]"","""")&amp;""?text=""&amp;ENCODEURL(""Ya llegue. Codigo: ""&amp;A974&amp;"". Ubicacion: ""&amp;""https://www.google.com/maps/search/?a"&amp;"pi=1&amp;query=""&amp;SUBSTITUTE(F974,"" "",""""))),"""")"),"")</f>
        <v/>
      </c>
      <c r="M974" s="5" t="str">
        <f t="shared" si="6"/>
        <v/>
      </c>
      <c r="N974" s="5" t="str">
        <f>IFERROR(__xludf.DUMMYFUNCTION("IF(AND(F974&lt;&gt;"""",REGEXMATCH(SUBSTITUTE(F974,"" "",""""),""^-?\d+(\.\d+)?,-?\d+(\.\d+)?$""),VALUE(REGEXEXTRACT(SUBSTITUTE(F974,"" "",""""),""^-?\d+(\.\d+)?""))&gt;=-90,VALUE(REGEXEXTRACT(SUBSTITUTE(F974,"" "",""""),""^-?\d+(\.\d+)?""))&lt;=90,VALUE(REGEXEXTRACT"&amp;"(SUBSTITUTE(F974,"" "",""""),""-?\d+(\.\d+)?$""))&gt;=-180,VALUE(REGEXEXTRACT(SUBSTITUTE(F974,"" "",""""),""-?\d+(\.\d+)?$""))&lt;=180),""OK"",""REVISAR"")"),"#N/A")</f>
        <v>#N/A</v>
      </c>
    </row>
    <row r="975" ht="15.75" customHeight="1">
      <c r="A975" s="5" t="str">
        <f t="shared" si="1"/>
        <v>AD507-0973</v>
      </c>
      <c r="C975" s="5"/>
      <c r="F975" s="5"/>
      <c r="G975" s="5" t="str">
        <f t="shared" si="2"/>
        <v/>
      </c>
      <c r="H975" s="5" t="str">
        <f t="shared" si="3"/>
        <v/>
      </c>
      <c r="I975" s="5" t="str">
        <f t="shared" si="4"/>
        <v/>
      </c>
      <c r="J975" s="5" t="str">
        <f t="shared" si="5"/>
        <v/>
      </c>
      <c r="K975" s="5" t="str">
        <f>IFERROR(__xludf.DUMMYFUNCTION("IF(C975&lt;&gt;"""",HYPERLINK(""https://wa.me/507""&amp;REGEXREPLACE(C975,""[^0-9]"","""")&amp;""?text=""&amp;ENCODEURL(""Ya llegue. Codigo: ""&amp;A975&amp;"". Ubicacion: ""&amp;""https://www.google.com/maps/search/?api=1&amp;query=""&amp;SUBSTITUTE(F975,"" "","""")),""📲 Avisar al cliente"""&amp;"),"""")"),"")</f>
        <v/>
      </c>
      <c r="L975" s="5" t="str">
        <f>IFERROR(__xludf.DUMMYFUNCTION("IF(C975&lt;&gt;"""",""https://api.qrserver.com/v1/create-qr-code/?size=200x200&amp;data=""&amp;ENCODEURL(""https://wa.me/507""&amp;REGEXREPLACE(C975,""[^0-9]"","""")&amp;""?text=""&amp;ENCODEURL(""Ya llegue. Codigo: ""&amp;A975&amp;"". Ubicacion: ""&amp;""https://www.google.com/maps/search/?a"&amp;"pi=1&amp;query=""&amp;SUBSTITUTE(F975,"" "",""""))),"""")"),"")</f>
        <v/>
      </c>
      <c r="M975" s="5" t="str">
        <f t="shared" si="6"/>
        <v/>
      </c>
      <c r="N975" s="5" t="str">
        <f>IFERROR(__xludf.DUMMYFUNCTION("IF(AND(F975&lt;&gt;"""",REGEXMATCH(SUBSTITUTE(F975,"" "",""""),""^-?\d+(\.\d+)?,-?\d+(\.\d+)?$""),VALUE(REGEXEXTRACT(SUBSTITUTE(F975,"" "",""""),""^-?\d+(\.\d+)?""))&gt;=-90,VALUE(REGEXEXTRACT(SUBSTITUTE(F975,"" "",""""),""^-?\d+(\.\d+)?""))&lt;=90,VALUE(REGEXEXTRACT"&amp;"(SUBSTITUTE(F975,"" "",""""),""-?\d+(\.\d+)?$""))&gt;=-180,VALUE(REGEXEXTRACT(SUBSTITUTE(F975,"" "",""""),""-?\d+(\.\d+)?$""))&lt;=180),""OK"",""REVISAR"")"),"#N/A")</f>
        <v>#N/A</v>
      </c>
    </row>
    <row r="976" ht="15.75" customHeight="1">
      <c r="A976" s="5" t="str">
        <f t="shared" si="1"/>
        <v>AD507-0974</v>
      </c>
      <c r="C976" s="5"/>
      <c r="F976" s="5"/>
      <c r="G976" s="5" t="str">
        <f t="shared" si="2"/>
        <v/>
      </c>
      <c r="H976" s="5" t="str">
        <f t="shared" si="3"/>
        <v/>
      </c>
      <c r="I976" s="5" t="str">
        <f t="shared" si="4"/>
        <v/>
      </c>
      <c r="J976" s="5" t="str">
        <f t="shared" si="5"/>
        <v/>
      </c>
      <c r="K976" s="5" t="str">
        <f>IFERROR(__xludf.DUMMYFUNCTION("IF(C976&lt;&gt;"""",HYPERLINK(""https://wa.me/507""&amp;REGEXREPLACE(C976,""[^0-9]"","""")&amp;""?text=""&amp;ENCODEURL(""Ya llegue. Codigo: ""&amp;A976&amp;"". Ubicacion: ""&amp;""https://www.google.com/maps/search/?api=1&amp;query=""&amp;SUBSTITUTE(F976,"" "","""")),""📲 Avisar al cliente"""&amp;"),"""")"),"")</f>
        <v/>
      </c>
      <c r="L976" s="5" t="str">
        <f>IFERROR(__xludf.DUMMYFUNCTION("IF(C976&lt;&gt;"""",""https://api.qrserver.com/v1/create-qr-code/?size=200x200&amp;data=""&amp;ENCODEURL(""https://wa.me/507""&amp;REGEXREPLACE(C976,""[^0-9]"","""")&amp;""?text=""&amp;ENCODEURL(""Ya llegue. Codigo: ""&amp;A976&amp;"". Ubicacion: ""&amp;""https://www.google.com/maps/search/?a"&amp;"pi=1&amp;query=""&amp;SUBSTITUTE(F976,"" "",""""))),"""")"),"")</f>
        <v/>
      </c>
      <c r="M976" s="5" t="str">
        <f t="shared" si="6"/>
        <v/>
      </c>
      <c r="N976" s="5" t="str">
        <f>IFERROR(__xludf.DUMMYFUNCTION("IF(AND(F976&lt;&gt;"""",REGEXMATCH(SUBSTITUTE(F976,"" "",""""),""^-?\d+(\.\d+)?,-?\d+(\.\d+)?$""),VALUE(REGEXEXTRACT(SUBSTITUTE(F976,"" "",""""),""^-?\d+(\.\d+)?""))&gt;=-90,VALUE(REGEXEXTRACT(SUBSTITUTE(F976,"" "",""""),""^-?\d+(\.\d+)?""))&lt;=90,VALUE(REGEXEXTRACT"&amp;"(SUBSTITUTE(F976,"" "",""""),""-?\d+(\.\d+)?$""))&gt;=-180,VALUE(REGEXEXTRACT(SUBSTITUTE(F976,"" "",""""),""-?\d+(\.\d+)?$""))&lt;=180),""OK"",""REVISAR"")"),"#N/A")</f>
        <v>#N/A</v>
      </c>
    </row>
    <row r="977" ht="15.75" customHeight="1">
      <c r="A977" s="5" t="str">
        <f t="shared" si="1"/>
        <v>AD507-0975</v>
      </c>
      <c r="C977" s="5"/>
      <c r="F977" s="5"/>
      <c r="G977" s="5" t="str">
        <f t="shared" si="2"/>
        <v/>
      </c>
      <c r="H977" s="5" t="str">
        <f t="shared" si="3"/>
        <v/>
      </c>
      <c r="I977" s="5" t="str">
        <f t="shared" si="4"/>
        <v/>
      </c>
      <c r="J977" s="5" t="str">
        <f t="shared" si="5"/>
        <v/>
      </c>
      <c r="K977" s="5" t="str">
        <f>IFERROR(__xludf.DUMMYFUNCTION("IF(C977&lt;&gt;"""",HYPERLINK(""https://wa.me/507""&amp;REGEXREPLACE(C977,""[^0-9]"","""")&amp;""?text=""&amp;ENCODEURL(""Ya llegue. Codigo: ""&amp;A977&amp;"". Ubicacion: ""&amp;""https://www.google.com/maps/search/?api=1&amp;query=""&amp;SUBSTITUTE(F977,"" "","""")),""📲 Avisar al cliente"""&amp;"),"""")"),"")</f>
        <v/>
      </c>
      <c r="L977" s="5" t="str">
        <f>IFERROR(__xludf.DUMMYFUNCTION("IF(C977&lt;&gt;"""",""https://api.qrserver.com/v1/create-qr-code/?size=200x200&amp;data=""&amp;ENCODEURL(""https://wa.me/507""&amp;REGEXREPLACE(C977,""[^0-9]"","""")&amp;""?text=""&amp;ENCODEURL(""Ya llegue. Codigo: ""&amp;A977&amp;"". Ubicacion: ""&amp;""https://www.google.com/maps/search/?a"&amp;"pi=1&amp;query=""&amp;SUBSTITUTE(F977,"" "",""""))),"""")"),"")</f>
        <v/>
      </c>
      <c r="M977" s="5" t="str">
        <f t="shared" si="6"/>
        <v/>
      </c>
      <c r="N977" s="5" t="str">
        <f>IFERROR(__xludf.DUMMYFUNCTION("IF(AND(F977&lt;&gt;"""",REGEXMATCH(SUBSTITUTE(F977,"" "",""""),""^-?\d+(\.\d+)?,-?\d+(\.\d+)?$""),VALUE(REGEXEXTRACT(SUBSTITUTE(F977,"" "",""""),""^-?\d+(\.\d+)?""))&gt;=-90,VALUE(REGEXEXTRACT(SUBSTITUTE(F977,"" "",""""),""^-?\d+(\.\d+)?""))&lt;=90,VALUE(REGEXEXTRACT"&amp;"(SUBSTITUTE(F977,"" "",""""),""-?\d+(\.\d+)?$""))&gt;=-180,VALUE(REGEXEXTRACT(SUBSTITUTE(F977,"" "",""""),""-?\d+(\.\d+)?$""))&lt;=180),""OK"",""REVISAR"")"),"#N/A")</f>
        <v>#N/A</v>
      </c>
    </row>
    <row r="978" ht="15.75" customHeight="1">
      <c r="A978" s="5" t="str">
        <f t="shared" si="1"/>
        <v>AD507-0976</v>
      </c>
      <c r="C978" s="5"/>
      <c r="F978" s="5"/>
      <c r="G978" s="5" t="str">
        <f t="shared" si="2"/>
        <v/>
      </c>
      <c r="H978" s="5" t="str">
        <f t="shared" si="3"/>
        <v/>
      </c>
      <c r="I978" s="5" t="str">
        <f t="shared" si="4"/>
        <v/>
      </c>
      <c r="J978" s="5" t="str">
        <f t="shared" si="5"/>
        <v/>
      </c>
      <c r="K978" s="5" t="str">
        <f>IFERROR(__xludf.DUMMYFUNCTION("IF(C978&lt;&gt;"""",HYPERLINK(""https://wa.me/507""&amp;REGEXREPLACE(C978,""[^0-9]"","""")&amp;""?text=""&amp;ENCODEURL(""Ya llegue. Codigo: ""&amp;A978&amp;"". Ubicacion: ""&amp;""https://www.google.com/maps/search/?api=1&amp;query=""&amp;SUBSTITUTE(F978,"" "","""")),""📲 Avisar al cliente"""&amp;"),"""")"),"")</f>
        <v/>
      </c>
      <c r="L978" s="5" t="str">
        <f>IFERROR(__xludf.DUMMYFUNCTION("IF(C978&lt;&gt;"""",""https://api.qrserver.com/v1/create-qr-code/?size=200x200&amp;data=""&amp;ENCODEURL(""https://wa.me/507""&amp;REGEXREPLACE(C978,""[^0-9]"","""")&amp;""?text=""&amp;ENCODEURL(""Ya llegue. Codigo: ""&amp;A978&amp;"". Ubicacion: ""&amp;""https://www.google.com/maps/search/?a"&amp;"pi=1&amp;query=""&amp;SUBSTITUTE(F978,"" "",""""))),"""")"),"")</f>
        <v/>
      </c>
      <c r="M978" s="5" t="str">
        <f t="shared" si="6"/>
        <v/>
      </c>
      <c r="N978" s="5" t="str">
        <f>IFERROR(__xludf.DUMMYFUNCTION("IF(AND(F978&lt;&gt;"""",REGEXMATCH(SUBSTITUTE(F978,"" "",""""),""^-?\d+(\.\d+)?,-?\d+(\.\d+)?$""),VALUE(REGEXEXTRACT(SUBSTITUTE(F978,"" "",""""),""^-?\d+(\.\d+)?""))&gt;=-90,VALUE(REGEXEXTRACT(SUBSTITUTE(F978,"" "",""""),""^-?\d+(\.\d+)?""))&lt;=90,VALUE(REGEXEXTRACT"&amp;"(SUBSTITUTE(F978,"" "",""""),""-?\d+(\.\d+)?$""))&gt;=-180,VALUE(REGEXEXTRACT(SUBSTITUTE(F978,"" "",""""),""-?\d+(\.\d+)?$""))&lt;=180),""OK"",""REVISAR"")"),"#N/A")</f>
        <v>#N/A</v>
      </c>
    </row>
    <row r="979" ht="15.75" customHeight="1">
      <c r="A979" s="5" t="str">
        <f t="shared" si="1"/>
        <v>AD507-0977</v>
      </c>
      <c r="C979" s="5"/>
      <c r="F979" s="5"/>
      <c r="G979" s="5" t="str">
        <f t="shared" si="2"/>
        <v/>
      </c>
      <c r="H979" s="5" t="str">
        <f t="shared" si="3"/>
        <v/>
      </c>
      <c r="I979" s="5" t="str">
        <f t="shared" si="4"/>
        <v/>
      </c>
      <c r="J979" s="5" t="str">
        <f t="shared" si="5"/>
        <v/>
      </c>
      <c r="K979" s="5" t="str">
        <f>IFERROR(__xludf.DUMMYFUNCTION("IF(C979&lt;&gt;"""",HYPERLINK(""https://wa.me/507""&amp;REGEXREPLACE(C979,""[^0-9]"","""")&amp;""?text=""&amp;ENCODEURL(""Ya llegue. Codigo: ""&amp;A979&amp;"". Ubicacion: ""&amp;""https://www.google.com/maps/search/?api=1&amp;query=""&amp;SUBSTITUTE(F979,"" "","""")),""📲 Avisar al cliente"""&amp;"),"""")"),"")</f>
        <v/>
      </c>
      <c r="L979" s="5" t="str">
        <f>IFERROR(__xludf.DUMMYFUNCTION("IF(C979&lt;&gt;"""",""https://api.qrserver.com/v1/create-qr-code/?size=200x200&amp;data=""&amp;ENCODEURL(""https://wa.me/507""&amp;REGEXREPLACE(C979,""[^0-9]"","""")&amp;""?text=""&amp;ENCODEURL(""Ya llegue. Codigo: ""&amp;A979&amp;"". Ubicacion: ""&amp;""https://www.google.com/maps/search/?a"&amp;"pi=1&amp;query=""&amp;SUBSTITUTE(F979,"" "",""""))),"""")"),"")</f>
        <v/>
      </c>
      <c r="M979" s="5" t="str">
        <f t="shared" si="6"/>
        <v/>
      </c>
      <c r="N979" s="5" t="str">
        <f>IFERROR(__xludf.DUMMYFUNCTION("IF(AND(F979&lt;&gt;"""",REGEXMATCH(SUBSTITUTE(F979,"" "",""""),""^-?\d+(\.\d+)?,-?\d+(\.\d+)?$""),VALUE(REGEXEXTRACT(SUBSTITUTE(F979,"" "",""""),""^-?\d+(\.\d+)?""))&gt;=-90,VALUE(REGEXEXTRACT(SUBSTITUTE(F979,"" "",""""),""^-?\d+(\.\d+)?""))&lt;=90,VALUE(REGEXEXTRACT"&amp;"(SUBSTITUTE(F979,"" "",""""),""-?\d+(\.\d+)?$""))&gt;=-180,VALUE(REGEXEXTRACT(SUBSTITUTE(F979,"" "",""""),""-?\d+(\.\d+)?$""))&lt;=180),""OK"",""REVISAR"")"),"#N/A")</f>
        <v>#N/A</v>
      </c>
    </row>
    <row r="980" ht="15.75" customHeight="1">
      <c r="A980" s="5" t="str">
        <f t="shared" si="1"/>
        <v>AD507-0978</v>
      </c>
      <c r="C980" s="5"/>
      <c r="F980" s="5"/>
      <c r="G980" s="5" t="str">
        <f t="shared" si="2"/>
        <v/>
      </c>
      <c r="H980" s="5" t="str">
        <f t="shared" si="3"/>
        <v/>
      </c>
      <c r="I980" s="5" t="str">
        <f t="shared" si="4"/>
        <v/>
      </c>
      <c r="J980" s="5" t="str">
        <f t="shared" si="5"/>
        <v/>
      </c>
      <c r="K980" s="5" t="str">
        <f>IFERROR(__xludf.DUMMYFUNCTION("IF(C980&lt;&gt;"""",HYPERLINK(""https://wa.me/507""&amp;REGEXREPLACE(C980,""[^0-9]"","""")&amp;""?text=""&amp;ENCODEURL(""Ya llegue. Codigo: ""&amp;A980&amp;"". Ubicacion: ""&amp;""https://www.google.com/maps/search/?api=1&amp;query=""&amp;SUBSTITUTE(F980,"" "","""")),""📲 Avisar al cliente"""&amp;"),"""")"),"")</f>
        <v/>
      </c>
      <c r="L980" s="5" t="str">
        <f>IFERROR(__xludf.DUMMYFUNCTION("IF(C980&lt;&gt;"""",""https://api.qrserver.com/v1/create-qr-code/?size=200x200&amp;data=""&amp;ENCODEURL(""https://wa.me/507""&amp;REGEXREPLACE(C980,""[^0-9]"","""")&amp;""?text=""&amp;ENCODEURL(""Ya llegue. Codigo: ""&amp;A980&amp;"". Ubicacion: ""&amp;""https://www.google.com/maps/search/?a"&amp;"pi=1&amp;query=""&amp;SUBSTITUTE(F980,"" "",""""))),"""")"),"")</f>
        <v/>
      </c>
      <c r="M980" s="5" t="str">
        <f t="shared" si="6"/>
        <v/>
      </c>
      <c r="N980" s="5" t="str">
        <f>IFERROR(__xludf.DUMMYFUNCTION("IF(AND(F980&lt;&gt;"""",REGEXMATCH(SUBSTITUTE(F980,"" "",""""),""^-?\d+(\.\d+)?,-?\d+(\.\d+)?$""),VALUE(REGEXEXTRACT(SUBSTITUTE(F980,"" "",""""),""^-?\d+(\.\d+)?""))&gt;=-90,VALUE(REGEXEXTRACT(SUBSTITUTE(F980,"" "",""""),""^-?\d+(\.\d+)?""))&lt;=90,VALUE(REGEXEXTRACT"&amp;"(SUBSTITUTE(F980,"" "",""""),""-?\d+(\.\d+)?$""))&gt;=-180,VALUE(REGEXEXTRACT(SUBSTITUTE(F980,"" "",""""),""-?\d+(\.\d+)?$""))&lt;=180),""OK"",""REVISAR"")"),"#N/A")</f>
        <v>#N/A</v>
      </c>
    </row>
    <row r="981" ht="15.75" customHeight="1">
      <c r="A981" s="5" t="str">
        <f t="shared" si="1"/>
        <v>AD507-0979</v>
      </c>
      <c r="C981" s="5"/>
      <c r="F981" s="5"/>
      <c r="G981" s="5" t="str">
        <f t="shared" si="2"/>
        <v/>
      </c>
      <c r="H981" s="5" t="str">
        <f t="shared" si="3"/>
        <v/>
      </c>
      <c r="I981" s="5" t="str">
        <f t="shared" si="4"/>
        <v/>
      </c>
      <c r="J981" s="5" t="str">
        <f t="shared" si="5"/>
        <v/>
      </c>
      <c r="K981" s="5" t="str">
        <f>IFERROR(__xludf.DUMMYFUNCTION("IF(C981&lt;&gt;"""",HYPERLINK(""https://wa.me/507""&amp;REGEXREPLACE(C981,""[^0-9]"","""")&amp;""?text=""&amp;ENCODEURL(""Ya llegue. Codigo: ""&amp;A981&amp;"". Ubicacion: ""&amp;""https://www.google.com/maps/search/?api=1&amp;query=""&amp;SUBSTITUTE(F981,"" "","""")),""📲 Avisar al cliente"""&amp;"),"""")"),"")</f>
        <v/>
      </c>
      <c r="L981" s="5" t="str">
        <f>IFERROR(__xludf.DUMMYFUNCTION("IF(C981&lt;&gt;"""",""https://api.qrserver.com/v1/create-qr-code/?size=200x200&amp;data=""&amp;ENCODEURL(""https://wa.me/507""&amp;REGEXREPLACE(C981,""[^0-9]"","""")&amp;""?text=""&amp;ENCODEURL(""Ya llegue. Codigo: ""&amp;A981&amp;"". Ubicacion: ""&amp;""https://www.google.com/maps/search/?a"&amp;"pi=1&amp;query=""&amp;SUBSTITUTE(F981,"" "",""""))),"""")"),"")</f>
        <v/>
      </c>
      <c r="M981" s="5" t="str">
        <f t="shared" si="6"/>
        <v/>
      </c>
      <c r="N981" s="5" t="str">
        <f>IFERROR(__xludf.DUMMYFUNCTION("IF(AND(F981&lt;&gt;"""",REGEXMATCH(SUBSTITUTE(F981,"" "",""""),""^-?\d+(\.\d+)?,-?\d+(\.\d+)?$""),VALUE(REGEXEXTRACT(SUBSTITUTE(F981,"" "",""""),""^-?\d+(\.\d+)?""))&gt;=-90,VALUE(REGEXEXTRACT(SUBSTITUTE(F981,"" "",""""),""^-?\d+(\.\d+)?""))&lt;=90,VALUE(REGEXEXTRACT"&amp;"(SUBSTITUTE(F981,"" "",""""),""-?\d+(\.\d+)?$""))&gt;=-180,VALUE(REGEXEXTRACT(SUBSTITUTE(F981,"" "",""""),""-?\d+(\.\d+)?$""))&lt;=180),""OK"",""REVISAR"")"),"#N/A")</f>
        <v>#N/A</v>
      </c>
    </row>
    <row r="982" ht="15.75" customHeight="1">
      <c r="A982" s="5" t="str">
        <f t="shared" si="1"/>
        <v>AD507-0980</v>
      </c>
      <c r="C982" s="5"/>
      <c r="F982" s="5"/>
      <c r="G982" s="5" t="str">
        <f t="shared" si="2"/>
        <v/>
      </c>
      <c r="H982" s="5" t="str">
        <f t="shared" si="3"/>
        <v/>
      </c>
      <c r="I982" s="5" t="str">
        <f t="shared" si="4"/>
        <v/>
      </c>
      <c r="J982" s="5" t="str">
        <f t="shared" si="5"/>
        <v/>
      </c>
      <c r="K982" s="5" t="str">
        <f>IFERROR(__xludf.DUMMYFUNCTION("IF(C982&lt;&gt;"""",HYPERLINK(""https://wa.me/507""&amp;REGEXREPLACE(C982,""[^0-9]"","""")&amp;""?text=""&amp;ENCODEURL(""Ya llegue. Codigo: ""&amp;A982&amp;"". Ubicacion: ""&amp;""https://www.google.com/maps/search/?api=1&amp;query=""&amp;SUBSTITUTE(F982,"" "","""")),""📲 Avisar al cliente"""&amp;"),"""")"),"")</f>
        <v/>
      </c>
      <c r="L982" s="5" t="str">
        <f>IFERROR(__xludf.DUMMYFUNCTION("IF(C982&lt;&gt;"""",""https://api.qrserver.com/v1/create-qr-code/?size=200x200&amp;data=""&amp;ENCODEURL(""https://wa.me/507""&amp;REGEXREPLACE(C982,""[^0-9]"","""")&amp;""?text=""&amp;ENCODEURL(""Ya llegue. Codigo: ""&amp;A982&amp;"". Ubicacion: ""&amp;""https://www.google.com/maps/search/?a"&amp;"pi=1&amp;query=""&amp;SUBSTITUTE(F982,"" "",""""))),"""")"),"")</f>
        <v/>
      </c>
      <c r="M982" s="5" t="str">
        <f t="shared" si="6"/>
        <v/>
      </c>
      <c r="N982" s="5" t="str">
        <f>IFERROR(__xludf.DUMMYFUNCTION("IF(AND(F982&lt;&gt;"""",REGEXMATCH(SUBSTITUTE(F982,"" "",""""),""^-?\d+(\.\d+)?,-?\d+(\.\d+)?$""),VALUE(REGEXEXTRACT(SUBSTITUTE(F982,"" "",""""),""^-?\d+(\.\d+)?""))&gt;=-90,VALUE(REGEXEXTRACT(SUBSTITUTE(F982,"" "",""""),""^-?\d+(\.\d+)?""))&lt;=90,VALUE(REGEXEXTRACT"&amp;"(SUBSTITUTE(F982,"" "",""""),""-?\d+(\.\d+)?$""))&gt;=-180,VALUE(REGEXEXTRACT(SUBSTITUTE(F982,"" "",""""),""-?\d+(\.\d+)?$""))&lt;=180),""OK"",""REVISAR"")"),"#N/A")</f>
        <v>#N/A</v>
      </c>
    </row>
    <row r="983" ht="15.75" customHeight="1">
      <c r="A983" s="5" t="str">
        <f t="shared" si="1"/>
        <v>AD507-0981</v>
      </c>
      <c r="C983" s="5"/>
      <c r="F983" s="5"/>
      <c r="G983" s="5" t="str">
        <f t="shared" si="2"/>
        <v/>
      </c>
      <c r="H983" s="5" t="str">
        <f t="shared" si="3"/>
        <v/>
      </c>
      <c r="I983" s="5" t="str">
        <f t="shared" si="4"/>
        <v/>
      </c>
      <c r="J983" s="5" t="str">
        <f t="shared" si="5"/>
        <v/>
      </c>
      <c r="K983" s="5" t="str">
        <f>IFERROR(__xludf.DUMMYFUNCTION("IF(C983&lt;&gt;"""",HYPERLINK(""https://wa.me/507""&amp;REGEXREPLACE(C983,""[^0-9]"","""")&amp;""?text=""&amp;ENCODEURL(""Ya llegue. Codigo: ""&amp;A983&amp;"". Ubicacion: ""&amp;""https://www.google.com/maps/search/?api=1&amp;query=""&amp;SUBSTITUTE(F983,"" "","""")),""📲 Avisar al cliente"""&amp;"),"""")"),"")</f>
        <v/>
      </c>
      <c r="L983" s="5" t="str">
        <f>IFERROR(__xludf.DUMMYFUNCTION("IF(C983&lt;&gt;"""",""https://api.qrserver.com/v1/create-qr-code/?size=200x200&amp;data=""&amp;ENCODEURL(""https://wa.me/507""&amp;REGEXREPLACE(C983,""[^0-9]"","""")&amp;""?text=""&amp;ENCODEURL(""Ya llegue. Codigo: ""&amp;A983&amp;"". Ubicacion: ""&amp;""https://www.google.com/maps/search/?a"&amp;"pi=1&amp;query=""&amp;SUBSTITUTE(F983,"" "",""""))),"""")"),"")</f>
        <v/>
      </c>
      <c r="M983" s="5" t="str">
        <f t="shared" si="6"/>
        <v/>
      </c>
      <c r="N983" s="5" t="str">
        <f>IFERROR(__xludf.DUMMYFUNCTION("IF(AND(F983&lt;&gt;"""",REGEXMATCH(SUBSTITUTE(F983,"" "",""""),""^-?\d+(\.\d+)?,-?\d+(\.\d+)?$""),VALUE(REGEXEXTRACT(SUBSTITUTE(F983,"" "",""""),""^-?\d+(\.\d+)?""))&gt;=-90,VALUE(REGEXEXTRACT(SUBSTITUTE(F983,"" "",""""),""^-?\d+(\.\d+)?""))&lt;=90,VALUE(REGEXEXTRACT"&amp;"(SUBSTITUTE(F983,"" "",""""),""-?\d+(\.\d+)?$""))&gt;=-180,VALUE(REGEXEXTRACT(SUBSTITUTE(F983,"" "",""""),""-?\d+(\.\d+)?$""))&lt;=180),""OK"",""REVISAR"")"),"#N/A")</f>
        <v>#N/A</v>
      </c>
    </row>
    <row r="984" ht="15.75" customHeight="1">
      <c r="A984" s="5" t="str">
        <f t="shared" si="1"/>
        <v>AD507-0982</v>
      </c>
      <c r="C984" s="5"/>
      <c r="F984" s="5"/>
      <c r="G984" s="5" t="str">
        <f t="shared" si="2"/>
        <v/>
      </c>
      <c r="H984" s="5" t="str">
        <f t="shared" si="3"/>
        <v/>
      </c>
      <c r="I984" s="5" t="str">
        <f t="shared" si="4"/>
        <v/>
      </c>
      <c r="J984" s="5" t="str">
        <f t="shared" si="5"/>
        <v/>
      </c>
      <c r="K984" s="5" t="str">
        <f>IFERROR(__xludf.DUMMYFUNCTION("IF(C984&lt;&gt;"""",HYPERLINK(""https://wa.me/507""&amp;REGEXREPLACE(C984,""[^0-9]"","""")&amp;""?text=""&amp;ENCODEURL(""Ya llegue. Codigo: ""&amp;A984&amp;"". Ubicacion: ""&amp;""https://www.google.com/maps/search/?api=1&amp;query=""&amp;SUBSTITUTE(F984,"" "","""")),""📲 Avisar al cliente"""&amp;"),"""")"),"")</f>
        <v/>
      </c>
      <c r="L984" s="5" t="str">
        <f>IFERROR(__xludf.DUMMYFUNCTION("IF(C984&lt;&gt;"""",""https://api.qrserver.com/v1/create-qr-code/?size=200x200&amp;data=""&amp;ENCODEURL(""https://wa.me/507""&amp;REGEXREPLACE(C984,""[^0-9]"","""")&amp;""?text=""&amp;ENCODEURL(""Ya llegue. Codigo: ""&amp;A984&amp;"". Ubicacion: ""&amp;""https://www.google.com/maps/search/?a"&amp;"pi=1&amp;query=""&amp;SUBSTITUTE(F984,"" "",""""))),"""")"),"")</f>
        <v/>
      </c>
      <c r="M984" s="5" t="str">
        <f t="shared" si="6"/>
        <v/>
      </c>
      <c r="N984" s="5" t="str">
        <f>IFERROR(__xludf.DUMMYFUNCTION("IF(AND(F984&lt;&gt;"""",REGEXMATCH(SUBSTITUTE(F984,"" "",""""),""^-?\d+(\.\d+)?,-?\d+(\.\d+)?$""),VALUE(REGEXEXTRACT(SUBSTITUTE(F984,"" "",""""),""^-?\d+(\.\d+)?""))&gt;=-90,VALUE(REGEXEXTRACT(SUBSTITUTE(F984,"" "",""""),""^-?\d+(\.\d+)?""))&lt;=90,VALUE(REGEXEXTRACT"&amp;"(SUBSTITUTE(F984,"" "",""""),""-?\d+(\.\d+)?$""))&gt;=-180,VALUE(REGEXEXTRACT(SUBSTITUTE(F984,"" "",""""),""-?\d+(\.\d+)?$""))&lt;=180),""OK"",""REVISAR"")"),"#N/A")</f>
        <v>#N/A</v>
      </c>
    </row>
    <row r="985" ht="15.75" customHeight="1">
      <c r="A985" s="5" t="str">
        <f t="shared" si="1"/>
        <v>AD507-0983</v>
      </c>
      <c r="C985" s="5"/>
      <c r="F985" s="5"/>
      <c r="G985" s="5" t="str">
        <f t="shared" si="2"/>
        <v/>
      </c>
      <c r="H985" s="5" t="str">
        <f t="shared" si="3"/>
        <v/>
      </c>
      <c r="I985" s="5" t="str">
        <f t="shared" si="4"/>
        <v/>
      </c>
      <c r="J985" s="5" t="str">
        <f t="shared" si="5"/>
        <v/>
      </c>
      <c r="K985" s="5" t="str">
        <f>IFERROR(__xludf.DUMMYFUNCTION("IF(C985&lt;&gt;"""",HYPERLINK(""https://wa.me/507""&amp;REGEXREPLACE(C985,""[^0-9]"","""")&amp;""?text=""&amp;ENCODEURL(""Ya llegue. Codigo: ""&amp;A985&amp;"". Ubicacion: ""&amp;""https://www.google.com/maps/search/?api=1&amp;query=""&amp;SUBSTITUTE(F985,"" "","""")),""📲 Avisar al cliente"""&amp;"),"""")"),"")</f>
        <v/>
      </c>
      <c r="L985" s="5" t="str">
        <f>IFERROR(__xludf.DUMMYFUNCTION("IF(C985&lt;&gt;"""",""https://api.qrserver.com/v1/create-qr-code/?size=200x200&amp;data=""&amp;ENCODEURL(""https://wa.me/507""&amp;REGEXREPLACE(C985,""[^0-9]"","""")&amp;""?text=""&amp;ENCODEURL(""Ya llegue. Codigo: ""&amp;A985&amp;"". Ubicacion: ""&amp;""https://www.google.com/maps/search/?a"&amp;"pi=1&amp;query=""&amp;SUBSTITUTE(F985,"" "",""""))),"""")"),"")</f>
        <v/>
      </c>
      <c r="M985" s="5" t="str">
        <f t="shared" si="6"/>
        <v/>
      </c>
      <c r="N985" s="5" t="str">
        <f>IFERROR(__xludf.DUMMYFUNCTION("IF(AND(F985&lt;&gt;"""",REGEXMATCH(SUBSTITUTE(F985,"" "",""""),""^-?\d+(\.\d+)?,-?\d+(\.\d+)?$""),VALUE(REGEXEXTRACT(SUBSTITUTE(F985,"" "",""""),""^-?\d+(\.\d+)?""))&gt;=-90,VALUE(REGEXEXTRACT(SUBSTITUTE(F985,"" "",""""),""^-?\d+(\.\d+)?""))&lt;=90,VALUE(REGEXEXTRACT"&amp;"(SUBSTITUTE(F985,"" "",""""),""-?\d+(\.\d+)?$""))&gt;=-180,VALUE(REGEXEXTRACT(SUBSTITUTE(F985,"" "",""""),""-?\d+(\.\d+)?$""))&lt;=180),""OK"",""REVISAR"")"),"#N/A")</f>
        <v>#N/A</v>
      </c>
    </row>
    <row r="986" ht="15.75" customHeight="1">
      <c r="A986" s="5" t="str">
        <f t="shared" si="1"/>
        <v>AD507-0984</v>
      </c>
      <c r="C986" s="5"/>
      <c r="F986" s="5"/>
      <c r="G986" s="5" t="str">
        <f t="shared" si="2"/>
        <v/>
      </c>
      <c r="H986" s="5" t="str">
        <f t="shared" si="3"/>
        <v/>
      </c>
      <c r="I986" s="5" t="str">
        <f t="shared" si="4"/>
        <v/>
      </c>
      <c r="J986" s="5" t="str">
        <f t="shared" si="5"/>
        <v/>
      </c>
      <c r="K986" s="5" t="str">
        <f>IFERROR(__xludf.DUMMYFUNCTION("IF(C986&lt;&gt;"""",HYPERLINK(""https://wa.me/507""&amp;REGEXREPLACE(C986,""[^0-9]"","""")&amp;""?text=""&amp;ENCODEURL(""Ya llegue. Codigo: ""&amp;A986&amp;"". Ubicacion: ""&amp;""https://www.google.com/maps/search/?api=1&amp;query=""&amp;SUBSTITUTE(F986,"" "","""")),""📲 Avisar al cliente"""&amp;"),"""")"),"")</f>
        <v/>
      </c>
      <c r="L986" s="5" t="str">
        <f>IFERROR(__xludf.DUMMYFUNCTION("IF(C986&lt;&gt;"""",""https://api.qrserver.com/v1/create-qr-code/?size=200x200&amp;data=""&amp;ENCODEURL(""https://wa.me/507""&amp;REGEXREPLACE(C986,""[^0-9]"","""")&amp;""?text=""&amp;ENCODEURL(""Ya llegue. Codigo: ""&amp;A986&amp;"". Ubicacion: ""&amp;""https://www.google.com/maps/search/?a"&amp;"pi=1&amp;query=""&amp;SUBSTITUTE(F986,"" "",""""))),"""")"),"")</f>
        <v/>
      </c>
      <c r="M986" s="5" t="str">
        <f t="shared" si="6"/>
        <v/>
      </c>
      <c r="N986" s="5" t="str">
        <f>IFERROR(__xludf.DUMMYFUNCTION("IF(AND(F986&lt;&gt;"""",REGEXMATCH(SUBSTITUTE(F986,"" "",""""),""^-?\d+(\.\d+)?,-?\d+(\.\d+)?$""),VALUE(REGEXEXTRACT(SUBSTITUTE(F986,"" "",""""),""^-?\d+(\.\d+)?""))&gt;=-90,VALUE(REGEXEXTRACT(SUBSTITUTE(F986,"" "",""""),""^-?\d+(\.\d+)?""))&lt;=90,VALUE(REGEXEXTRACT"&amp;"(SUBSTITUTE(F986,"" "",""""),""-?\d+(\.\d+)?$""))&gt;=-180,VALUE(REGEXEXTRACT(SUBSTITUTE(F986,"" "",""""),""-?\d+(\.\d+)?$""))&lt;=180),""OK"",""REVISAR"")"),"#N/A")</f>
        <v>#N/A</v>
      </c>
    </row>
    <row r="987" ht="15.75" customHeight="1">
      <c r="A987" s="5" t="str">
        <f t="shared" si="1"/>
        <v>AD507-0985</v>
      </c>
      <c r="C987" s="5"/>
      <c r="F987" s="5"/>
      <c r="G987" s="5" t="str">
        <f t="shared" si="2"/>
        <v/>
      </c>
      <c r="H987" s="5" t="str">
        <f t="shared" si="3"/>
        <v/>
      </c>
      <c r="I987" s="5" t="str">
        <f t="shared" si="4"/>
        <v/>
      </c>
      <c r="J987" s="5" t="str">
        <f t="shared" si="5"/>
        <v/>
      </c>
      <c r="K987" s="5" t="str">
        <f>IFERROR(__xludf.DUMMYFUNCTION("IF(C987&lt;&gt;"""",HYPERLINK(""https://wa.me/507""&amp;REGEXREPLACE(C987,""[^0-9]"","""")&amp;""?text=""&amp;ENCODEURL(""Ya llegue. Codigo: ""&amp;A987&amp;"". Ubicacion: ""&amp;""https://www.google.com/maps/search/?api=1&amp;query=""&amp;SUBSTITUTE(F987,"" "","""")),""📲 Avisar al cliente"""&amp;"),"""")"),"")</f>
        <v/>
      </c>
      <c r="L987" s="5" t="str">
        <f>IFERROR(__xludf.DUMMYFUNCTION("IF(C987&lt;&gt;"""",""https://api.qrserver.com/v1/create-qr-code/?size=200x200&amp;data=""&amp;ENCODEURL(""https://wa.me/507""&amp;REGEXREPLACE(C987,""[^0-9]"","""")&amp;""?text=""&amp;ENCODEURL(""Ya llegue. Codigo: ""&amp;A987&amp;"". Ubicacion: ""&amp;""https://www.google.com/maps/search/?a"&amp;"pi=1&amp;query=""&amp;SUBSTITUTE(F987,"" "",""""))),"""")"),"")</f>
        <v/>
      </c>
      <c r="M987" s="5" t="str">
        <f t="shared" si="6"/>
        <v/>
      </c>
      <c r="N987" s="5" t="str">
        <f>IFERROR(__xludf.DUMMYFUNCTION("IF(AND(F987&lt;&gt;"""",REGEXMATCH(SUBSTITUTE(F987,"" "",""""),""^-?\d+(\.\d+)?,-?\d+(\.\d+)?$""),VALUE(REGEXEXTRACT(SUBSTITUTE(F987,"" "",""""),""^-?\d+(\.\d+)?""))&gt;=-90,VALUE(REGEXEXTRACT(SUBSTITUTE(F987,"" "",""""),""^-?\d+(\.\d+)?""))&lt;=90,VALUE(REGEXEXTRACT"&amp;"(SUBSTITUTE(F987,"" "",""""),""-?\d+(\.\d+)?$""))&gt;=-180,VALUE(REGEXEXTRACT(SUBSTITUTE(F987,"" "",""""),""-?\d+(\.\d+)?$""))&lt;=180),""OK"",""REVISAR"")"),"#N/A")</f>
        <v>#N/A</v>
      </c>
    </row>
    <row r="988" ht="15.75" customHeight="1">
      <c r="A988" s="5" t="str">
        <f t="shared" si="1"/>
        <v>AD507-0986</v>
      </c>
      <c r="C988" s="5"/>
      <c r="F988" s="5"/>
      <c r="G988" s="5" t="str">
        <f t="shared" si="2"/>
        <v/>
      </c>
      <c r="H988" s="5" t="str">
        <f t="shared" si="3"/>
        <v/>
      </c>
      <c r="I988" s="5" t="str">
        <f t="shared" si="4"/>
        <v/>
      </c>
      <c r="J988" s="5" t="str">
        <f t="shared" si="5"/>
        <v/>
      </c>
      <c r="K988" s="5" t="str">
        <f>IFERROR(__xludf.DUMMYFUNCTION("IF(C988&lt;&gt;"""",HYPERLINK(""https://wa.me/507""&amp;REGEXREPLACE(C988,""[^0-9]"","""")&amp;""?text=""&amp;ENCODEURL(""Ya llegue. Codigo: ""&amp;A988&amp;"". Ubicacion: ""&amp;""https://www.google.com/maps/search/?api=1&amp;query=""&amp;SUBSTITUTE(F988,"" "","""")),""📲 Avisar al cliente"""&amp;"),"""")"),"")</f>
        <v/>
      </c>
      <c r="L988" s="5" t="str">
        <f>IFERROR(__xludf.DUMMYFUNCTION("IF(C988&lt;&gt;"""",""https://api.qrserver.com/v1/create-qr-code/?size=200x200&amp;data=""&amp;ENCODEURL(""https://wa.me/507""&amp;REGEXREPLACE(C988,""[^0-9]"","""")&amp;""?text=""&amp;ENCODEURL(""Ya llegue. Codigo: ""&amp;A988&amp;"". Ubicacion: ""&amp;""https://www.google.com/maps/search/?a"&amp;"pi=1&amp;query=""&amp;SUBSTITUTE(F988,"" "",""""))),"""")"),"")</f>
        <v/>
      </c>
      <c r="M988" s="5" t="str">
        <f t="shared" si="6"/>
        <v/>
      </c>
      <c r="N988" s="5" t="str">
        <f>IFERROR(__xludf.DUMMYFUNCTION("IF(AND(F988&lt;&gt;"""",REGEXMATCH(SUBSTITUTE(F988,"" "",""""),""^-?\d+(\.\d+)?,-?\d+(\.\d+)?$""),VALUE(REGEXEXTRACT(SUBSTITUTE(F988,"" "",""""),""^-?\d+(\.\d+)?""))&gt;=-90,VALUE(REGEXEXTRACT(SUBSTITUTE(F988,"" "",""""),""^-?\d+(\.\d+)?""))&lt;=90,VALUE(REGEXEXTRACT"&amp;"(SUBSTITUTE(F988,"" "",""""),""-?\d+(\.\d+)?$""))&gt;=-180,VALUE(REGEXEXTRACT(SUBSTITUTE(F988,"" "",""""),""-?\d+(\.\d+)?$""))&lt;=180),""OK"",""REVISAR"")"),"#N/A")</f>
        <v>#N/A</v>
      </c>
    </row>
    <row r="989" ht="15.75" customHeight="1">
      <c r="A989" s="5" t="str">
        <f t="shared" si="1"/>
        <v>AD507-0987</v>
      </c>
      <c r="C989" s="5"/>
      <c r="F989" s="5"/>
      <c r="G989" s="5" t="str">
        <f t="shared" si="2"/>
        <v/>
      </c>
      <c r="H989" s="5" t="str">
        <f t="shared" si="3"/>
        <v/>
      </c>
      <c r="I989" s="5" t="str">
        <f t="shared" si="4"/>
        <v/>
      </c>
      <c r="J989" s="5" t="str">
        <f t="shared" si="5"/>
        <v/>
      </c>
      <c r="K989" s="5" t="str">
        <f>IFERROR(__xludf.DUMMYFUNCTION("IF(C989&lt;&gt;"""",HYPERLINK(""https://wa.me/507""&amp;REGEXREPLACE(C989,""[^0-9]"","""")&amp;""?text=""&amp;ENCODEURL(""Ya llegue. Codigo: ""&amp;A989&amp;"". Ubicacion: ""&amp;""https://www.google.com/maps/search/?api=1&amp;query=""&amp;SUBSTITUTE(F989,"" "","""")),""📲 Avisar al cliente"""&amp;"),"""")"),"")</f>
        <v/>
      </c>
      <c r="L989" s="5" t="str">
        <f>IFERROR(__xludf.DUMMYFUNCTION("IF(C989&lt;&gt;"""",""https://api.qrserver.com/v1/create-qr-code/?size=200x200&amp;data=""&amp;ENCODEURL(""https://wa.me/507""&amp;REGEXREPLACE(C989,""[^0-9]"","""")&amp;""?text=""&amp;ENCODEURL(""Ya llegue. Codigo: ""&amp;A989&amp;"". Ubicacion: ""&amp;""https://www.google.com/maps/search/?a"&amp;"pi=1&amp;query=""&amp;SUBSTITUTE(F989,"" "",""""))),"""")"),"")</f>
        <v/>
      </c>
      <c r="M989" s="5" t="str">
        <f t="shared" si="6"/>
        <v/>
      </c>
      <c r="N989" s="5" t="str">
        <f>IFERROR(__xludf.DUMMYFUNCTION("IF(AND(F989&lt;&gt;"""",REGEXMATCH(SUBSTITUTE(F989,"" "",""""),""^-?\d+(\.\d+)?,-?\d+(\.\d+)?$""),VALUE(REGEXEXTRACT(SUBSTITUTE(F989,"" "",""""),""^-?\d+(\.\d+)?""))&gt;=-90,VALUE(REGEXEXTRACT(SUBSTITUTE(F989,"" "",""""),""^-?\d+(\.\d+)?""))&lt;=90,VALUE(REGEXEXTRACT"&amp;"(SUBSTITUTE(F989,"" "",""""),""-?\d+(\.\d+)?$""))&gt;=-180,VALUE(REGEXEXTRACT(SUBSTITUTE(F989,"" "",""""),""-?\d+(\.\d+)?$""))&lt;=180),""OK"",""REVISAR"")"),"#N/A")</f>
        <v>#N/A</v>
      </c>
    </row>
    <row r="990" ht="15.75" customHeight="1">
      <c r="A990" s="5" t="str">
        <f t="shared" si="1"/>
        <v>AD507-0988</v>
      </c>
      <c r="C990" s="5"/>
      <c r="F990" s="5"/>
      <c r="G990" s="5" t="str">
        <f t="shared" si="2"/>
        <v/>
      </c>
      <c r="H990" s="5" t="str">
        <f t="shared" si="3"/>
        <v/>
      </c>
      <c r="I990" s="5" t="str">
        <f t="shared" si="4"/>
        <v/>
      </c>
      <c r="J990" s="5" t="str">
        <f t="shared" si="5"/>
        <v/>
      </c>
      <c r="K990" s="5" t="str">
        <f>IFERROR(__xludf.DUMMYFUNCTION("IF(C990&lt;&gt;"""",HYPERLINK(""https://wa.me/507""&amp;REGEXREPLACE(C990,""[^0-9]"","""")&amp;""?text=""&amp;ENCODEURL(""Ya llegue. Codigo: ""&amp;A990&amp;"". Ubicacion: ""&amp;""https://www.google.com/maps/search/?api=1&amp;query=""&amp;SUBSTITUTE(F990,"" "","""")),""📲 Avisar al cliente"""&amp;"),"""")"),"")</f>
        <v/>
      </c>
      <c r="L990" s="5" t="str">
        <f>IFERROR(__xludf.DUMMYFUNCTION("IF(C990&lt;&gt;"""",""https://api.qrserver.com/v1/create-qr-code/?size=200x200&amp;data=""&amp;ENCODEURL(""https://wa.me/507""&amp;REGEXREPLACE(C990,""[^0-9]"","""")&amp;""?text=""&amp;ENCODEURL(""Ya llegue. Codigo: ""&amp;A990&amp;"". Ubicacion: ""&amp;""https://www.google.com/maps/search/?a"&amp;"pi=1&amp;query=""&amp;SUBSTITUTE(F990,"" "",""""))),"""")"),"")</f>
        <v/>
      </c>
      <c r="M990" s="5" t="str">
        <f t="shared" si="6"/>
        <v/>
      </c>
      <c r="N990" s="5" t="str">
        <f>IFERROR(__xludf.DUMMYFUNCTION("IF(AND(F990&lt;&gt;"""",REGEXMATCH(SUBSTITUTE(F990,"" "",""""),""^-?\d+(\.\d+)?,-?\d+(\.\d+)?$""),VALUE(REGEXEXTRACT(SUBSTITUTE(F990,"" "",""""),""^-?\d+(\.\d+)?""))&gt;=-90,VALUE(REGEXEXTRACT(SUBSTITUTE(F990,"" "",""""),""^-?\d+(\.\d+)?""))&lt;=90,VALUE(REGEXEXTRACT"&amp;"(SUBSTITUTE(F990,"" "",""""),""-?\d+(\.\d+)?$""))&gt;=-180,VALUE(REGEXEXTRACT(SUBSTITUTE(F990,"" "",""""),""-?\d+(\.\d+)?$""))&lt;=180),""OK"",""REVISAR"")"),"#N/A")</f>
        <v>#N/A</v>
      </c>
    </row>
    <row r="991" ht="15.75" customHeight="1">
      <c r="A991" s="5" t="str">
        <f t="shared" si="1"/>
        <v>AD507-0989</v>
      </c>
      <c r="C991" s="5"/>
      <c r="F991" s="5"/>
      <c r="G991" s="5" t="str">
        <f t="shared" si="2"/>
        <v/>
      </c>
      <c r="H991" s="5" t="str">
        <f t="shared" si="3"/>
        <v/>
      </c>
      <c r="I991" s="5" t="str">
        <f t="shared" si="4"/>
        <v/>
      </c>
      <c r="J991" s="5" t="str">
        <f t="shared" si="5"/>
        <v/>
      </c>
      <c r="K991" s="5" t="str">
        <f>IFERROR(__xludf.DUMMYFUNCTION("IF(C991&lt;&gt;"""",HYPERLINK(""https://wa.me/507""&amp;REGEXREPLACE(C991,""[^0-9]"","""")&amp;""?text=""&amp;ENCODEURL(""Ya llegue. Codigo: ""&amp;A991&amp;"". Ubicacion: ""&amp;""https://www.google.com/maps/search/?api=1&amp;query=""&amp;SUBSTITUTE(F991,"" "","""")),""📲 Avisar al cliente"""&amp;"),"""")"),"")</f>
        <v/>
      </c>
      <c r="L991" s="5" t="str">
        <f>IFERROR(__xludf.DUMMYFUNCTION("IF(C991&lt;&gt;"""",""https://api.qrserver.com/v1/create-qr-code/?size=200x200&amp;data=""&amp;ENCODEURL(""https://wa.me/507""&amp;REGEXREPLACE(C991,""[^0-9]"","""")&amp;""?text=""&amp;ENCODEURL(""Ya llegue. Codigo: ""&amp;A991&amp;"". Ubicacion: ""&amp;""https://www.google.com/maps/search/?a"&amp;"pi=1&amp;query=""&amp;SUBSTITUTE(F991,"" "",""""))),"""")"),"")</f>
        <v/>
      </c>
      <c r="M991" s="5" t="str">
        <f t="shared" si="6"/>
        <v/>
      </c>
      <c r="N991" s="5" t="str">
        <f>IFERROR(__xludf.DUMMYFUNCTION("IF(AND(F991&lt;&gt;"""",REGEXMATCH(SUBSTITUTE(F991,"" "",""""),""^-?\d+(\.\d+)?,-?\d+(\.\d+)?$""),VALUE(REGEXEXTRACT(SUBSTITUTE(F991,"" "",""""),""^-?\d+(\.\d+)?""))&gt;=-90,VALUE(REGEXEXTRACT(SUBSTITUTE(F991,"" "",""""),""^-?\d+(\.\d+)?""))&lt;=90,VALUE(REGEXEXTRACT"&amp;"(SUBSTITUTE(F991,"" "",""""),""-?\d+(\.\d+)?$""))&gt;=-180,VALUE(REGEXEXTRACT(SUBSTITUTE(F991,"" "",""""),""-?\d+(\.\d+)?$""))&lt;=180),""OK"",""REVISAR"")"),"#N/A")</f>
        <v>#N/A</v>
      </c>
    </row>
    <row r="992" ht="15.75" customHeight="1">
      <c r="A992" s="5" t="str">
        <f t="shared" si="1"/>
        <v>AD507-0990</v>
      </c>
      <c r="C992" s="5"/>
      <c r="F992" s="5"/>
      <c r="G992" s="5" t="str">
        <f t="shared" si="2"/>
        <v/>
      </c>
      <c r="H992" s="5" t="str">
        <f t="shared" si="3"/>
        <v/>
      </c>
      <c r="I992" s="5" t="str">
        <f t="shared" si="4"/>
        <v/>
      </c>
      <c r="J992" s="5" t="str">
        <f t="shared" si="5"/>
        <v/>
      </c>
      <c r="K992" s="5" t="str">
        <f>IFERROR(__xludf.DUMMYFUNCTION("IF(C992&lt;&gt;"""",HYPERLINK(""https://wa.me/507""&amp;REGEXREPLACE(C992,""[^0-9]"","""")&amp;""?text=""&amp;ENCODEURL(""Ya llegue. Codigo: ""&amp;A992&amp;"". Ubicacion: ""&amp;""https://www.google.com/maps/search/?api=1&amp;query=""&amp;SUBSTITUTE(F992,"" "","""")),""📲 Avisar al cliente"""&amp;"),"""")"),"")</f>
        <v/>
      </c>
      <c r="L992" s="5" t="str">
        <f>IFERROR(__xludf.DUMMYFUNCTION("IF(C992&lt;&gt;"""",""https://api.qrserver.com/v1/create-qr-code/?size=200x200&amp;data=""&amp;ENCODEURL(""https://wa.me/507""&amp;REGEXREPLACE(C992,""[^0-9]"","""")&amp;""?text=""&amp;ENCODEURL(""Ya llegue. Codigo: ""&amp;A992&amp;"". Ubicacion: ""&amp;""https://www.google.com/maps/search/?a"&amp;"pi=1&amp;query=""&amp;SUBSTITUTE(F992,"" "",""""))),"""")"),"")</f>
        <v/>
      </c>
      <c r="M992" s="5" t="str">
        <f t="shared" si="6"/>
        <v/>
      </c>
      <c r="N992" s="5" t="str">
        <f>IFERROR(__xludf.DUMMYFUNCTION("IF(AND(F992&lt;&gt;"""",REGEXMATCH(SUBSTITUTE(F992,"" "",""""),""^-?\d+(\.\d+)?,-?\d+(\.\d+)?$""),VALUE(REGEXEXTRACT(SUBSTITUTE(F992,"" "",""""),""^-?\d+(\.\d+)?""))&gt;=-90,VALUE(REGEXEXTRACT(SUBSTITUTE(F992,"" "",""""),""^-?\d+(\.\d+)?""))&lt;=90,VALUE(REGEXEXTRACT"&amp;"(SUBSTITUTE(F992,"" "",""""),""-?\d+(\.\d+)?$""))&gt;=-180,VALUE(REGEXEXTRACT(SUBSTITUTE(F992,"" "",""""),""-?\d+(\.\d+)?$""))&lt;=180),""OK"",""REVISAR"")"),"#N/A")</f>
        <v>#N/A</v>
      </c>
    </row>
    <row r="993" ht="15.75" customHeight="1">
      <c r="A993" s="5" t="str">
        <f t="shared" si="1"/>
        <v>AD507-0991</v>
      </c>
      <c r="C993" s="5"/>
      <c r="F993" s="5"/>
      <c r="G993" s="5" t="str">
        <f t="shared" si="2"/>
        <v/>
      </c>
      <c r="H993" s="5" t="str">
        <f t="shared" si="3"/>
        <v/>
      </c>
      <c r="I993" s="5" t="str">
        <f t="shared" si="4"/>
        <v/>
      </c>
      <c r="J993" s="5" t="str">
        <f t="shared" si="5"/>
        <v/>
      </c>
      <c r="K993" s="5" t="str">
        <f>IFERROR(__xludf.DUMMYFUNCTION("IF(C993&lt;&gt;"""",HYPERLINK(""https://wa.me/507""&amp;REGEXREPLACE(C993,""[^0-9]"","""")&amp;""?text=""&amp;ENCODEURL(""Ya llegue. Codigo: ""&amp;A993&amp;"". Ubicacion: ""&amp;""https://www.google.com/maps/search/?api=1&amp;query=""&amp;SUBSTITUTE(F993,"" "","""")),""📲 Avisar al cliente"""&amp;"),"""")"),"")</f>
        <v/>
      </c>
      <c r="L993" s="5" t="str">
        <f>IFERROR(__xludf.DUMMYFUNCTION("IF(C993&lt;&gt;"""",""https://api.qrserver.com/v1/create-qr-code/?size=200x200&amp;data=""&amp;ENCODEURL(""https://wa.me/507""&amp;REGEXREPLACE(C993,""[^0-9]"","""")&amp;""?text=""&amp;ENCODEURL(""Ya llegue. Codigo: ""&amp;A993&amp;"". Ubicacion: ""&amp;""https://www.google.com/maps/search/?a"&amp;"pi=1&amp;query=""&amp;SUBSTITUTE(F993,"" "",""""))),"""")"),"")</f>
        <v/>
      </c>
      <c r="M993" s="5" t="str">
        <f t="shared" si="6"/>
        <v/>
      </c>
      <c r="N993" s="5" t="str">
        <f>IFERROR(__xludf.DUMMYFUNCTION("IF(AND(F993&lt;&gt;"""",REGEXMATCH(SUBSTITUTE(F993,"" "",""""),""^-?\d+(\.\d+)?,-?\d+(\.\d+)?$""),VALUE(REGEXEXTRACT(SUBSTITUTE(F993,"" "",""""),""^-?\d+(\.\d+)?""))&gt;=-90,VALUE(REGEXEXTRACT(SUBSTITUTE(F993,"" "",""""),""^-?\d+(\.\d+)?""))&lt;=90,VALUE(REGEXEXTRACT"&amp;"(SUBSTITUTE(F993,"" "",""""),""-?\d+(\.\d+)?$""))&gt;=-180,VALUE(REGEXEXTRACT(SUBSTITUTE(F993,"" "",""""),""-?\d+(\.\d+)?$""))&lt;=180),""OK"",""REVISAR"")"),"#N/A")</f>
        <v>#N/A</v>
      </c>
    </row>
    <row r="994" ht="15.75" customHeight="1">
      <c r="A994" s="5" t="str">
        <f t="shared" si="1"/>
        <v>AD507-0992</v>
      </c>
      <c r="C994" s="5"/>
      <c r="F994" s="5"/>
      <c r="G994" s="5" t="str">
        <f t="shared" si="2"/>
        <v/>
      </c>
      <c r="H994" s="5" t="str">
        <f t="shared" si="3"/>
        <v/>
      </c>
      <c r="I994" s="5" t="str">
        <f t="shared" si="4"/>
        <v/>
      </c>
      <c r="J994" s="5" t="str">
        <f t="shared" si="5"/>
        <v/>
      </c>
      <c r="K994" s="5" t="str">
        <f>IFERROR(__xludf.DUMMYFUNCTION("IF(C994&lt;&gt;"""",HYPERLINK(""https://wa.me/507""&amp;REGEXREPLACE(C994,""[^0-9]"","""")&amp;""?text=""&amp;ENCODEURL(""Ya llegue. Codigo: ""&amp;A994&amp;"". Ubicacion: ""&amp;""https://www.google.com/maps/search/?api=1&amp;query=""&amp;SUBSTITUTE(F994,"" "","""")),""📲 Avisar al cliente"""&amp;"),"""")"),"")</f>
        <v/>
      </c>
      <c r="L994" s="5" t="str">
        <f>IFERROR(__xludf.DUMMYFUNCTION("IF(C994&lt;&gt;"""",""https://api.qrserver.com/v1/create-qr-code/?size=200x200&amp;data=""&amp;ENCODEURL(""https://wa.me/507""&amp;REGEXREPLACE(C994,""[^0-9]"","""")&amp;""?text=""&amp;ENCODEURL(""Ya llegue. Codigo: ""&amp;A994&amp;"". Ubicacion: ""&amp;""https://www.google.com/maps/search/?a"&amp;"pi=1&amp;query=""&amp;SUBSTITUTE(F994,"" "",""""))),"""")"),"")</f>
        <v/>
      </c>
      <c r="M994" s="5" t="str">
        <f t="shared" si="6"/>
        <v/>
      </c>
      <c r="N994" s="5" t="str">
        <f>IFERROR(__xludf.DUMMYFUNCTION("IF(AND(F994&lt;&gt;"""",REGEXMATCH(SUBSTITUTE(F994,"" "",""""),""^-?\d+(\.\d+)?,-?\d+(\.\d+)?$""),VALUE(REGEXEXTRACT(SUBSTITUTE(F994,"" "",""""),""^-?\d+(\.\d+)?""))&gt;=-90,VALUE(REGEXEXTRACT(SUBSTITUTE(F994,"" "",""""),""^-?\d+(\.\d+)?""))&lt;=90,VALUE(REGEXEXTRACT"&amp;"(SUBSTITUTE(F994,"" "",""""),""-?\d+(\.\d+)?$""))&gt;=-180,VALUE(REGEXEXTRACT(SUBSTITUTE(F994,"" "",""""),""-?\d+(\.\d+)?$""))&lt;=180),""OK"",""REVISAR"")"),"#N/A")</f>
        <v>#N/A</v>
      </c>
    </row>
    <row r="995" ht="15.75" customHeight="1">
      <c r="A995" s="5" t="str">
        <f t="shared" si="1"/>
        <v>AD507-0993</v>
      </c>
      <c r="C995" s="5"/>
      <c r="F995" s="5"/>
      <c r="G995" s="5" t="str">
        <f t="shared" si="2"/>
        <v/>
      </c>
      <c r="H995" s="5" t="str">
        <f t="shared" si="3"/>
        <v/>
      </c>
      <c r="I995" s="5" t="str">
        <f t="shared" si="4"/>
        <v/>
      </c>
      <c r="J995" s="5" t="str">
        <f t="shared" si="5"/>
        <v/>
      </c>
      <c r="K995" s="5" t="str">
        <f>IFERROR(__xludf.DUMMYFUNCTION("IF(C995&lt;&gt;"""",HYPERLINK(""https://wa.me/507""&amp;REGEXREPLACE(C995,""[^0-9]"","""")&amp;""?text=""&amp;ENCODEURL(""Ya llegue. Codigo: ""&amp;A995&amp;"". Ubicacion: ""&amp;""https://www.google.com/maps/search/?api=1&amp;query=""&amp;SUBSTITUTE(F995,"" "","""")),""📲 Avisar al cliente"""&amp;"),"""")"),"")</f>
        <v/>
      </c>
      <c r="L995" s="5" t="str">
        <f>IFERROR(__xludf.DUMMYFUNCTION("IF(C995&lt;&gt;"""",""https://api.qrserver.com/v1/create-qr-code/?size=200x200&amp;data=""&amp;ENCODEURL(""https://wa.me/507""&amp;REGEXREPLACE(C995,""[^0-9]"","""")&amp;""?text=""&amp;ENCODEURL(""Ya llegue. Codigo: ""&amp;A995&amp;"". Ubicacion: ""&amp;""https://www.google.com/maps/search/?a"&amp;"pi=1&amp;query=""&amp;SUBSTITUTE(F995,"" "",""""))),"""")"),"")</f>
        <v/>
      </c>
      <c r="M995" s="5" t="str">
        <f t="shared" si="6"/>
        <v/>
      </c>
      <c r="N995" s="5" t="str">
        <f>IFERROR(__xludf.DUMMYFUNCTION("IF(AND(F995&lt;&gt;"""",REGEXMATCH(SUBSTITUTE(F995,"" "",""""),""^-?\d+(\.\d+)?,-?\d+(\.\d+)?$""),VALUE(REGEXEXTRACT(SUBSTITUTE(F995,"" "",""""),""^-?\d+(\.\d+)?""))&gt;=-90,VALUE(REGEXEXTRACT(SUBSTITUTE(F995,"" "",""""),""^-?\d+(\.\d+)?""))&lt;=90,VALUE(REGEXEXTRACT"&amp;"(SUBSTITUTE(F995,"" "",""""),""-?\d+(\.\d+)?$""))&gt;=-180,VALUE(REGEXEXTRACT(SUBSTITUTE(F995,"" "",""""),""-?\d+(\.\d+)?$""))&lt;=180),""OK"",""REVISAR"")"),"#N/A")</f>
        <v>#N/A</v>
      </c>
    </row>
    <row r="996" ht="15.75" customHeight="1">
      <c r="A996" s="5" t="str">
        <f t="shared" si="1"/>
        <v>AD507-0994</v>
      </c>
      <c r="C996" s="5"/>
      <c r="F996" s="5"/>
      <c r="G996" s="5" t="str">
        <f t="shared" si="2"/>
        <v/>
      </c>
      <c r="H996" s="5" t="str">
        <f t="shared" si="3"/>
        <v/>
      </c>
      <c r="I996" s="5" t="str">
        <f t="shared" si="4"/>
        <v/>
      </c>
      <c r="J996" s="5" t="str">
        <f t="shared" si="5"/>
        <v/>
      </c>
      <c r="K996" s="5" t="str">
        <f>IFERROR(__xludf.DUMMYFUNCTION("IF(C996&lt;&gt;"""",HYPERLINK(""https://wa.me/507""&amp;REGEXREPLACE(C996,""[^0-9]"","""")&amp;""?text=""&amp;ENCODEURL(""Ya llegue. Codigo: ""&amp;A996&amp;"". Ubicacion: ""&amp;""https://www.google.com/maps/search/?api=1&amp;query=""&amp;SUBSTITUTE(F996,"" "","""")),""📲 Avisar al cliente"""&amp;"),"""")"),"")</f>
        <v/>
      </c>
      <c r="L996" s="5" t="str">
        <f>IFERROR(__xludf.DUMMYFUNCTION("IF(C996&lt;&gt;"""",""https://api.qrserver.com/v1/create-qr-code/?size=200x200&amp;data=""&amp;ENCODEURL(""https://wa.me/507""&amp;REGEXREPLACE(C996,""[^0-9]"","""")&amp;""?text=""&amp;ENCODEURL(""Ya llegue. Codigo: ""&amp;A996&amp;"". Ubicacion: ""&amp;""https://www.google.com/maps/search/?a"&amp;"pi=1&amp;query=""&amp;SUBSTITUTE(F996,"" "",""""))),"""")"),"")</f>
        <v/>
      </c>
      <c r="M996" s="5" t="str">
        <f t="shared" si="6"/>
        <v/>
      </c>
      <c r="N996" s="5" t="str">
        <f>IFERROR(__xludf.DUMMYFUNCTION("IF(AND(F996&lt;&gt;"""",REGEXMATCH(SUBSTITUTE(F996,"" "",""""),""^-?\d+(\.\d+)?,-?\d+(\.\d+)?$""),VALUE(REGEXEXTRACT(SUBSTITUTE(F996,"" "",""""),""^-?\d+(\.\d+)?""))&gt;=-90,VALUE(REGEXEXTRACT(SUBSTITUTE(F996,"" "",""""),""^-?\d+(\.\d+)?""))&lt;=90,VALUE(REGEXEXTRACT"&amp;"(SUBSTITUTE(F996,"" "",""""),""-?\d+(\.\d+)?$""))&gt;=-180,VALUE(REGEXEXTRACT(SUBSTITUTE(F996,"" "",""""),""-?\d+(\.\d+)?$""))&lt;=180),""OK"",""REVISAR"")"),"#N/A")</f>
        <v>#N/A</v>
      </c>
    </row>
    <row r="997" ht="15.75" customHeight="1">
      <c r="A997" s="5" t="str">
        <f t="shared" si="1"/>
        <v>AD507-0995</v>
      </c>
      <c r="C997" s="5"/>
      <c r="F997" s="5"/>
      <c r="G997" s="5" t="str">
        <f t="shared" si="2"/>
        <v/>
      </c>
      <c r="H997" s="5" t="str">
        <f t="shared" si="3"/>
        <v/>
      </c>
      <c r="I997" s="5" t="str">
        <f t="shared" si="4"/>
        <v/>
      </c>
      <c r="J997" s="5" t="str">
        <f t="shared" si="5"/>
        <v/>
      </c>
      <c r="K997" s="5" t="str">
        <f>IFERROR(__xludf.DUMMYFUNCTION("IF(C997&lt;&gt;"""",HYPERLINK(""https://wa.me/507""&amp;REGEXREPLACE(C997,""[^0-9]"","""")&amp;""?text=""&amp;ENCODEURL(""Ya llegue. Codigo: ""&amp;A997&amp;"". Ubicacion: ""&amp;""https://www.google.com/maps/search/?api=1&amp;query=""&amp;SUBSTITUTE(F997,"" "","""")),""📲 Avisar al cliente"""&amp;"),"""")"),"")</f>
        <v/>
      </c>
      <c r="L997" s="5" t="str">
        <f>IFERROR(__xludf.DUMMYFUNCTION("IF(C997&lt;&gt;"""",""https://api.qrserver.com/v1/create-qr-code/?size=200x200&amp;data=""&amp;ENCODEURL(""https://wa.me/507""&amp;REGEXREPLACE(C997,""[^0-9]"","""")&amp;""?text=""&amp;ENCODEURL(""Ya llegue. Codigo: ""&amp;A997&amp;"". Ubicacion: ""&amp;""https://www.google.com/maps/search/?a"&amp;"pi=1&amp;query=""&amp;SUBSTITUTE(F997,"" "",""""))),"""")"),"")</f>
        <v/>
      </c>
      <c r="M997" s="5" t="str">
        <f t="shared" si="6"/>
        <v/>
      </c>
      <c r="N997" s="5" t="str">
        <f>IFERROR(__xludf.DUMMYFUNCTION("IF(AND(F997&lt;&gt;"""",REGEXMATCH(SUBSTITUTE(F997,"" "",""""),""^-?\d+(\.\d+)?,-?\d+(\.\d+)?$""),VALUE(REGEXEXTRACT(SUBSTITUTE(F997,"" "",""""),""^-?\d+(\.\d+)?""))&gt;=-90,VALUE(REGEXEXTRACT(SUBSTITUTE(F997,"" "",""""),""^-?\d+(\.\d+)?""))&lt;=90,VALUE(REGEXEXTRACT"&amp;"(SUBSTITUTE(F997,"" "",""""),""-?\d+(\.\d+)?$""))&gt;=-180,VALUE(REGEXEXTRACT(SUBSTITUTE(F997,"" "",""""),""-?\d+(\.\d+)?$""))&lt;=180),""OK"",""REVISAR"")"),"#N/A")</f>
        <v>#N/A</v>
      </c>
    </row>
    <row r="998" ht="15.75" customHeight="1">
      <c r="A998" s="5" t="str">
        <f t="shared" si="1"/>
        <v>AD507-0996</v>
      </c>
      <c r="C998" s="5"/>
      <c r="F998" s="5"/>
      <c r="G998" s="5" t="str">
        <f t="shared" si="2"/>
        <v/>
      </c>
      <c r="H998" s="5" t="str">
        <f t="shared" si="3"/>
        <v/>
      </c>
      <c r="I998" s="5" t="str">
        <f t="shared" si="4"/>
        <v/>
      </c>
      <c r="J998" s="5" t="str">
        <f t="shared" si="5"/>
        <v/>
      </c>
      <c r="K998" s="5" t="str">
        <f>IFERROR(__xludf.DUMMYFUNCTION("IF(C998&lt;&gt;"""",HYPERLINK(""https://wa.me/507""&amp;REGEXREPLACE(C998,""[^0-9]"","""")&amp;""?text=""&amp;ENCODEURL(""Ya llegue. Codigo: ""&amp;A998&amp;"". Ubicacion: ""&amp;""https://www.google.com/maps/search/?api=1&amp;query=""&amp;SUBSTITUTE(F998,"" "","""")),""📲 Avisar al cliente"""&amp;"),"""")"),"")</f>
        <v/>
      </c>
      <c r="L998" s="5" t="str">
        <f>IFERROR(__xludf.DUMMYFUNCTION("IF(C998&lt;&gt;"""",""https://api.qrserver.com/v1/create-qr-code/?size=200x200&amp;data=""&amp;ENCODEURL(""https://wa.me/507""&amp;REGEXREPLACE(C998,""[^0-9]"","""")&amp;""?text=""&amp;ENCODEURL(""Ya llegue. Codigo: ""&amp;A998&amp;"". Ubicacion: ""&amp;""https://www.google.com/maps/search/?a"&amp;"pi=1&amp;query=""&amp;SUBSTITUTE(F998,"" "",""""))),"""")"),"")</f>
        <v/>
      </c>
      <c r="M998" s="5" t="str">
        <f t="shared" si="6"/>
        <v/>
      </c>
      <c r="N998" s="5" t="str">
        <f>IFERROR(__xludf.DUMMYFUNCTION("IF(AND(F998&lt;&gt;"""",REGEXMATCH(SUBSTITUTE(F998,"" "",""""),""^-?\d+(\.\d+)?,-?\d+(\.\d+)?$""),VALUE(REGEXEXTRACT(SUBSTITUTE(F998,"" "",""""),""^-?\d+(\.\d+)?""))&gt;=-90,VALUE(REGEXEXTRACT(SUBSTITUTE(F998,"" "",""""),""^-?\d+(\.\d+)?""))&lt;=90,VALUE(REGEXEXTRACT"&amp;"(SUBSTITUTE(F998,"" "",""""),""-?\d+(\.\d+)?$""))&gt;=-180,VALUE(REGEXEXTRACT(SUBSTITUTE(F998,"" "",""""),""-?\d+(\.\d+)?$""))&lt;=180),""OK"",""REVISAR"")"),"#N/A")</f>
        <v>#N/A</v>
      </c>
    </row>
    <row r="999" ht="15.75" customHeight="1">
      <c r="A999" s="5" t="str">
        <f t="shared" si="1"/>
        <v>AD507-0997</v>
      </c>
      <c r="C999" s="5"/>
      <c r="F999" s="5"/>
      <c r="G999" s="5" t="str">
        <f t="shared" si="2"/>
        <v/>
      </c>
      <c r="H999" s="5" t="str">
        <f t="shared" si="3"/>
        <v/>
      </c>
      <c r="I999" s="5" t="str">
        <f t="shared" si="4"/>
        <v/>
      </c>
      <c r="J999" s="5" t="str">
        <f t="shared" si="5"/>
        <v/>
      </c>
      <c r="K999" s="5" t="str">
        <f>IFERROR(__xludf.DUMMYFUNCTION("IF(C999&lt;&gt;"""",HYPERLINK(""https://wa.me/507""&amp;REGEXREPLACE(C999,""[^0-9]"","""")&amp;""?text=""&amp;ENCODEURL(""Ya llegue. Codigo: ""&amp;A999&amp;"". Ubicacion: ""&amp;""https://www.google.com/maps/search/?api=1&amp;query=""&amp;SUBSTITUTE(F999,"" "","""")),""📲 Avisar al cliente"""&amp;"),"""")"),"")</f>
        <v/>
      </c>
      <c r="L999" s="5" t="str">
        <f>IFERROR(__xludf.DUMMYFUNCTION("IF(C999&lt;&gt;"""",""https://api.qrserver.com/v1/create-qr-code/?size=200x200&amp;data=""&amp;ENCODEURL(""https://wa.me/507""&amp;REGEXREPLACE(C999,""[^0-9]"","""")&amp;""?text=""&amp;ENCODEURL(""Ya llegue. Codigo: ""&amp;A999&amp;"". Ubicacion: ""&amp;""https://www.google.com/maps/search/?a"&amp;"pi=1&amp;query=""&amp;SUBSTITUTE(F999,"" "",""""))),"""")"),"")</f>
        <v/>
      </c>
      <c r="M999" s="5" t="str">
        <f t="shared" si="6"/>
        <v/>
      </c>
      <c r="N999" s="5" t="str">
        <f>IFERROR(__xludf.DUMMYFUNCTION("IF(AND(F999&lt;&gt;"""",REGEXMATCH(SUBSTITUTE(F999,"" "",""""),""^-?\d+(\.\d+)?,-?\d+(\.\d+)?$""),VALUE(REGEXEXTRACT(SUBSTITUTE(F999,"" "",""""),""^-?\d+(\.\d+)?""))&gt;=-90,VALUE(REGEXEXTRACT(SUBSTITUTE(F999,"" "",""""),""^-?\d+(\.\d+)?""))&lt;=90,VALUE(REGEXEXTRACT"&amp;"(SUBSTITUTE(F999,"" "",""""),""-?\d+(\.\d+)?$""))&gt;=-180,VALUE(REGEXEXTRACT(SUBSTITUTE(F999,"" "",""""),""-?\d+(\.\d+)?$""))&lt;=180),""OK"",""REVISAR"")"),"#N/A")</f>
        <v>#N/A</v>
      </c>
    </row>
    <row r="1000" ht="15.75" customHeight="1">
      <c r="A1000" s="5" t="str">
        <f t="shared" si="1"/>
        <v>AD507-0998</v>
      </c>
      <c r="C1000" s="5"/>
      <c r="F1000" s="5"/>
      <c r="G1000" s="5" t="str">
        <f t="shared" si="2"/>
        <v/>
      </c>
      <c r="H1000" s="5" t="str">
        <f t="shared" si="3"/>
        <v/>
      </c>
      <c r="I1000" s="5" t="str">
        <f t="shared" si="4"/>
        <v/>
      </c>
      <c r="J1000" s="5" t="str">
        <f t="shared" si="5"/>
        <v/>
      </c>
      <c r="K1000" s="5" t="str">
        <f>IFERROR(__xludf.DUMMYFUNCTION("IF(C1000&lt;&gt;"""",HYPERLINK(""https://wa.me/507""&amp;REGEXREPLACE(C1000,""[^0-9]"","""")&amp;""?text=""&amp;ENCODEURL(""Ya llegue. Codigo: ""&amp;A1000&amp;"". Ubicacion: ""&amp;""https://www.google.com/maps/search/?api=1&amp;query=""&amp;SUBSTITUTE(F1000,"" "","""")),""📲 Avisar al clien"&amp;"te""),"""")"),"")</f>
        <v/>
      </c>
      <c r="L1000" s="5" t="str">
        <f>IFERROR(__xludf.DUMMYFUNCTION("IF(C1000&lt;&gt;"""",""https://api.qrserver.com/v1/create-qr-code/?size=200x200&amp;data=""&amp;ENCODEURL(""https://wa.me/507""&amp;REGEXREPLACE(C1000,""[^0-9]"","""")&amp;""?text=""&amp;ENCODEURL(""Ya llegue. Codigo: ""&amp;A1000&amp;"". Ubicacion: ""&amp;""https://www.google.com/maps/search"&amp;"/?api=1&amp;query=""&amp;SUBSTITUTE(F1000,"" "",""""))),"""")"),"")</f>
        <v/>
      </c>
      <c r="M1000" s="5" t="str">
        <f t="shared" si="6"/>
        <v/>
      </c>
      <c r="N1000" s="5" t="str">
        <f>IFERROR(__xludf.DUMMYFUNCTION("IF(AND(F1000&lt;&gt;"""",REGEXMATCH(SUBSTITUTE(F1000,"" "",""""),""^-?\d+(\.\d+)?,-?\d+(\.\d+)?$""),VALUE(REGEXEXTRACT(SUBSTITUTE(F1000,"" "",""""),""^-?\d+(\.\d+)?""))&gt;=-90,VALUE(REGEXEXTRACT(SUBSTITUTE(F1000,"" "",""""),""^-?\d+(\.\d+)?""))&lt;=90,VALUE(REGEXEXT"&amp;"RACT(SUBSTITUTE(F1000,"" "",""""),""-?\d+(\.\d+)?$""))&gt;=-180,VALUE(REGEXEXTRACT(SUBSTITUTE(F1000,"" "",""""),""-?\d+(\.\d+)?$""))&lt;=180),""OK"",""REVISAR"")"),"#N/A")</f>
        <v>#N/A</v>
      </c>
    </row>
    <row r="1001" ht="15.75" customHeight="1">
      <c r="A1001" s="5" t="str">
        <f t="shared" si="1"/>
        <v>AD507-0999</v>
      </c>
      <c r="C1001" s="5"/>
      <c r="F1001" s="5"/>
      <c r="G1001" s="5" t="str">
        <f t="shared" si="2"/>
        <v/>
      </c>
      <c r="H1001" s="5" t="str">
        <f t="shared" si="3"/>
        <v/>
      </c>
      <c r="I1001" s="5" t="str">
        <f t="shared" si="4"/>
        <v/>
      </c>
      <c r="J1001" s="5" t="str">
        <f t="shared" si="5"/>
        <v/>
      </c>
      <c r="K1001" s="5" t="str">
        <f>IFERROR(__xludf.DUMMYFUNCTION("IF(C1001&lt;&gt;"""",HYPERLINK(""https://wa.me/507""&amp;REGEXREPLACE(C1001,""[^0-9]"","""")&amp;""?text=""&amp;ENCODEURL(""Ya llegue. Codigo: ""&amp;A1001&amp;"". Ubicacion: ""&amp;""https://www.google.com/maps/search/?api=1&amp;query=""&amp;SUBSTITUTE(F1001,"" "","""")),""📲 Avisar al clien"&amp;"te""),"""")"),"")</f>
        <v/>
      </c>
      <c r="L1001" s="5" t="str">
        <f>IFERROR(__xludf.DUMMYFUNCTION("IF(C1001&lt;&gt;"""",""https://api.qrserver.com/v1/create-qr-code/?size=200x200&amp;data=""&amp;ENCODEURL(""https://wa.me/507""&amp;REGEXREPLACE(C1001,""[^0-9]"","""")&amp;""?text=""&amp;ENCODEURL(""Ya llegue. Codigo: ""&amp;A1001&amp;"". Ubicacion: ""&amp;""https://www.google.com/maps/search"&amp;"/?api=1&amp;query=""&amp;SUBSTITUTE(F1001,"" "",""""))),"""")"),"")</f>
        <v/>
      </c>
      <c r="M1001" s="5" t="str">
        <f t="shared" si="6"/>
        <v/>
      </c>
      <c r="N1001" s="5" t="str">
        <f>IFERROR(__xludf.DUMMYFUNCTION("IF(AND(F1001&lt;&gt;"""",REGEXMATCH(SUBSTITUTE(F1001,"" "",""""),""^-?\d+(\.\d+)?,-?\d+(\.\d+)?$""),VALUE(REGEXEXTRACT(SUBSTITUTE(F1001,"" "",""""),""^-?\d+(\.\d+)?""))&gt;=-90,VALUE(REGEXEXTRACT(SUBSTITUTE(F1001,"" "",""""),""^-?\d+(\.\d+)?""))&lt;=90,VALUE(REGEXEXT"&amp;"RACT(SUBSTITUTE(F1001,"" "",""""),""-?\d+(\.\d+)?$""))&gt;=-180,VALUE(REGEXEXTRACT(SUBSTITUTE(F1001,"" "",""""),""-?\d+(\.\d+)?$""))&lt;=180),""OK"",""REVISAR"")"),"#N/A")</f>
        <v>#N/A</v>
      </c>
    </row>
    <row r="1002" ht="15.75" customHeight="1">
      <c r="A1002" s="5" t="str">
        <f t="shared" si="1"/>
        <v>AD507-1000</v>
      </c>
      <c r="C1002" s="5"/>
      <c r="F1002" s="5"/>
      <c r="G1002" s="5" t="str">
        <f t="shared" si="2"/>
        <v/>
      </c>
      <c r="H1002" s="5" t="str">
        <f t="shared" si="3"/>
        <v/>
      </c>
      <c r="I1002" s="5" t="str">
        <f t="shared" si="4"/>
        <v/>
      </c>
      <c r="J1002" s="5" t="str">
        <f t="shared" si="5"/>
        <v/>
      </c>
      <c r="K1002" s="5" t="str">
        <f>IFERROR(__xludf.DUMMYFUNCTION("IF(C1002&lt;&gt;"""",HYPERLINK(""https://wa.me/507""&amp;REGEXREPLACE(C1002,""[^0-9]"","""")&amp;""?text=""&amp;ENCODEURL(""Ya llegue. Codigo: ""&amp;A1002&amp;"". Ubicacion: ""&amp;""https://www.google.com/maps/search/?api=1&amp;query=""&amp;SUBSTITUTE(F1002,"" "","""")),""📲 Avisar al clien"&amp;"te""),"""")"),"")</f>
        <v/>
      </c>
      <c r="L1002" s="5" t="str">
        <f>IFERROR(__xludf.DUMMYFUNCTION("IF(C1002&lt;&gt;"""",""https://api.qrserver.com/v1/create-qr-code/?size=200x200&amp;data=""&amp;ENCODEURL(""https://wa.me/507""&amp;REGEXREPLACE(C1002,""[^0-9]"","""")&amp;""?text=""&amp;ENCODEURL(""Ya llegue. Codigo: ""&amp;A1002&amp;"". Ubicacion: ""&amp;""https://www.google.com/maps/search"&amp;"/?api=1&amp;query=""&amp;SUBSTITUTE(F1002,"" "",""""))),"""")"),"")</f>
        <v/>
      </c>
      <c r="M1002" s="5" t="str">
        <f t="shared" si="6"/>
        <v/>
      </c>
      <c r="N1002" s="5" t="str">
        <f>IFERROR(__xludf.DUMMYFUNCTION("IF(AND(F1002&lt;&gt;"""",REGEXMATCH(SUBSTITUTE(F1002,"" "",""""),""^-?\d+(\.\d+)?,-?\d+(\.\d+)?$""),VALUE(REGEXEXTRACT(SUBSTITUTE(F1002,"" "",""""),""^-?\d+(\.\d+)?""))&gt;=-90,VALUE(REGEXEXTRACT(SUBSTITUTE(F1002,"" "",""""),""^-?\d+(\.\d+)?""))&lt;=90,VALUE(REGEXEXT"&amp;"RACT(SUBSTITUTE(F1002,"" "",""""),""-?\d+(\.\d+)?$""))&gt;=-180,VALUE(REGEXEXTRACT(SUBSTITUTE(F1002,"" "",""""),""-?\d+(\.\d+)?$""))&lt;=180),""OK"",""REVISAR"")"),"#N/A")</f>
        <v>#N/A</v>
      </c>
    </row>
    <row r="1003" ht="15.75" customHeight="1">
      <c r="A1003" s="5" t="str">
        <f t="shared" si="1"/>
        <v>AD507-1001</v>
      </c>
      <c r="C1003" s="5"/>
      <c r="F1003" s="5"/>
      <c r="G1003" s="5" t="str">
        <f t="shared" si="2"/>
        <v/>
      </c>
      <c r="H1003" s="5" t="str">
        <f t="shared" si="3"/>
        <v/>
      </c>
      <c r="I1003" s="5" t="str">
        <f t="shared" si="4"/>
        <v/>
      </c>
      <c r="J1003" s="5" t="str">
        <f t="shared" si="5"/>
        <v/>
      </c>
      <c r="K1003" s="5" t="str">
        <f>IFERROR(__xludf.DUMMYFUNCTION("IF(C1003&lt;&gt;"""",HYPERLINK(""https://wa.me/507""&amp;REGEXREPLACE(C1003,""[^0-9]"","""")&amp;""?text=""&amp;ENCODEURL(""Ya llegue. Codigo: ""&amp;A1003&amp;"". Ubicacion: ""&amp;""https://www.google.com/maps/search/?api=1&amp;query=""&amp;SUBSTITUTE(F1003,"" "","""")),""📲 Avisar al clien"&amp;"te""),"""")"),"")</f>
        <v/>
      </c>
      <c r="L1003" s="5" t="str">
        <f>IFERROR(__xludf.DUMMYFUNCTION("IF(C1003&lt;&gt;"""",""https://api.qrserver.com/v1/create-qr-code/?size=200x200&amp;data=""&amp;ENCODEURL(""https://wa.me/507""&amp;REGEXREPLACE(C1003,""[^0-9]"","""")&amp;""?text=""&amp;ENCODEURL(""Ya llegue. Codigo: ""&amp;A1003&amp;"". Ubicacion: ""&amp;""https://www.google.com/maps/search"&amp;"/?api=1&amp;query=""&amp;SUBSTITUTE(F1003,"" "",""""))),"""")"),"")</f>
        <v/>
      </c>
      <c r="M1003" s="5" t="str">
        <f t="shared" si="6"/>
        <v/>
      </c>
      <c r="N1003" s="5" t="str">
        <f>IFERROR(__xludf.DUMMYFUNCTION("IF(AND(F1003&lt;&gt;"""",REGEXMATCH(SUBSTITUTE(F1003,"" "",""""),""^-?\d+(\.\d+)?,-?\d+(\.\d+)?$""),VALUE(REGEXEXTRACT(SUBSTITUTE(F1003,"" "",""""),""^-?\d+(\.\d+)?""))&gt;=-90,VALUE(REGEXEXTRACT(SUBSTITUTE(F1003,"" "",""""),""^-?\d+(\.\d+)?""))&lt;=90,VALUE(REGEXEXT"&amp;"RACT(SUBSTITUTE(F1003,"" "",""""),""-?\d+(\.\d+)?$""))&gt;=-180,VALUE(REGEXEXTRACT(SUBSTITUTE(F1003,"" "",""""),""-?\d+(\.\d+)?$""))&lt;=180),""OK"",""REVISAR"")"),"#N/A")</f>
        <v>#N/A</v>
      </c>
    </row>
    <row r="1004" ht="15.75" customHeight="1">
      <c r="A1004" s="5" t="str">
        <f t="shared" si="1"/>
        <v>AD507-1002</v>
      </c>
      <c r="C1004" s="5"/>
      <c r="F1004" s="5"/>
      <c r="G1004" s="5" t="str">
        <f t="shared" si="2"/>
        <v/>
      </c>
      <c r="H1004" s="5" t="str">
        <f t="shared" si="3"/>
        <v/>
      </c>
      <c r="I1004" s="5" t="str">
        <f t="shared" si="4"/>
        <v/>
      </c>
      <c r="J1004" s="5" t="str">
        <f t="shared" si="5"/>
        <v/>
      </c>
      <c r="K1004" s="5" t="str">
        <f>IFERROR(__xludf.DUMMYFUNCTION("IF(C1004&lt;&gt;"""",HYPERLINK(""https://wa.me/507""&amp;REGEXREPLACE(C1004,""[^0-9]"","""")&amp;""?text=""&amp;ENCODEURL(""Ya llegue. Codigo: ""&amp;A1004&amp;"". Ubicacion: ""&amp;""https://www.google.com/maps/search/?api=1&amp;query=""&amp;SUBSTITUTE(F1004,"" "","""")),""📲 Avisar al clien"&amp;"te""),"""")"),"")</f>
        <v/>
      </c>
      <c r="L1004" s="5" t="str">
        <f>IFERROR(__xludf.DUMMYFUNCTION("IF(C1004&lt;&gt;"""",""https://api.qrserver.com/v1/create-qr-code/?size=200x200&amp;data=""&amp;ENCODEURL(""https://wa.me/507""&amp;REGEXREPLACE(C1004,""[^0-9]"","""")&amp;""?text=""&amp;ENCODEURL(""Ya llegue. Codigo: ""&amp;A1004&amp;"". Ubicacion: ""&amp;""https://www.google.com/maps/search"&amp;"/?api=1&amp;query=""&amp;SUBSTITUTE(F1004,"" "",""""))),"""")"),"")</f>
        <v/>
      </c>
      <c r="M1004" s="5" t="str">
        <f t="shared" si="6"/>
        <v/>
      </c>
      <c r="N1004" s="5" t="str">
        <f>IFERROR(__xludf.DUMMYFUNCTION("IF(AND(F1004&lt;&gt;"""",REGEXMATCH(SUBSTITUTE(F1004,"" "",""""),""^-?\d+(\.\d+)?,-?\d+(\.\d+)?$""),VALUE(REGEXEXTRACT(SUBSTITUTE(F1004,"" "",""""),""^-?\d+(\.\d+)?""))&gt;=-90,VALUE(REGEXEXTRACT(SUBSTITUTE(F1004,"" "",""""),""^-?\d+(\.\d+)?""))&lt;=90,VALUE(REGEXEXT"&amp;"RACT(SUBSTITUTE(F1004,"" "",""""),""-?\d+(\.\d+)?$""))&gt;=-180,VALUE(REGEXEXTRACT(SUBSTITUTE(F1004,"" "",""""),""-?\d+(\.\d+)?$""))&lt;=180),""OK"",""REVISAR"")"),"#N/A")</f>
        <v>#N/A</v>
      </c>
    </row>
    <row r="1005" ht="15.75" customHeight="1">
      <c r="A1005" s="5" t="str">
        <f t="shared" si="1"/>
        <v>AD507-1003</v>
      </c>
      <c r="C1005" s="5"/>
      <c r="F1005" s="5"/>
      <c r="G1005" s="5" t="str">
        <f t="shared" si="2"/>
        <v/>
      </c>
      <c r="H1005" s="5" t="str">
        <f t="shared" si="3"/>
        <v/>
      </c>
      <c r="I1005" s="5" t="str">
        <f t="shared" si="4"/>
        <v/>
      </c>
      <c r="J1005" s="5" t="str">
        <f t="shared" si="5"/>
        <v/>
      </c>
      <c r="K1005" s="5" t="str">
        <f>IFERROR(__xludf.DUMMYFUNCTION("IF(C1005&lt;&gt;"""",HYPERLINK(""https://wa.me/507""&amp;REGEXREPLACE(C1005,""[^0-9]"","""")&amp;""?text=""&amp;ENCODEURL(""Ya llegue. Codigo: ""&amp;A1005&amp;"". Ubicacion: ""&amp;""https://www.google.com/maps/search/?api=1&amp;query=""&amp;SUBSTITUTE(F1005,"" "","""")),""📲 Avisar al clien"&amp;"te""),"""")"),"")</f>
        <v/>
      </c>
      <c r="L1005" s="5" t="str">
        <f>IFERROR(__xludf.DUMMYFUNCTION("IF(C1005&lt;&gt;"""",""https://api.qrserver.com/v1/create-qr-code/?size=200x200&amp;data=""&amp;ENCODEURL(""https://wa.me/507""&amp;REGEXREPLACE(C1005,""[^0-9]"","""")&amp;""?text=""&amp;ENCODEURL(""Ya llegue. Codigo: ""&amp;A1005&amp;"". Ubicacion: ""&amp;""https://www.google.com/maps/search"&amp;"/?api=1&amp;query=""&amp;SUBSTITUTE(F1005,"" "",""""))),"""")"),"")</f>
        <v/>
      </c>
      <c r="M1005" s="5" t="str">
        <f t="shared" si="6"/>
        <v/>
      </c>
      <c r="N1005" s="5" t="str">
        <f>IFERROR(__xludf.DUMMYFUNCTION("IF(AND(F1005&lt;&gt;"""",REGEXMATCH(SUBSTITUTE(F1005,"" "",""""),""^-?\d+(\.\d+)?,-?\d+(\.\d+)?$""),VALUE(REGEXEXTRACT(SUBSTITUTE(F1005,"" "",""""),""^-?\d+(\.\d+)?""))&gt;=-90,VALUE(REGEXEXTRACT(SUBSTITUTE(F1005,"" "",""""),""^-?\d+(\.\d+)?""))&lt;=90,VALUE(REGEXEXT"&amp;"RACT(SUBSTITUTE(F1005,"" "",""""),""-?\d+(\.\d+)?$""))&gt;=-180,VALUE(REGEXEXTRACT(SUBSTITUTE(F1005,"" "",""""),""-?\d+(\.\d+)?$""))&lt;=180),""OK"",""REVISAR"")"),"#N/A")</f>
        <v>#N/A</v>
      </c>
    </row>
    <row r="1006" ht="15.75" customHeight="1">
      <c r="A1006" s="5" t="str">
        <f t="shared" si="1"/>
        <v>AD507-1004</v>
      </c>
      <c r="C1006" s="5"/>
      <c r="F1006" s="5"/>
      <c r="G1006" s="5" t="str">
        <f t="shared" si="2"/>
        <v/>
      </c>
      <c r="H1006" s="5" t="str">
        <f t="shared" si="3"/>
        <v/>
      </c>
      <c r="I1006" s="5" t="str">
        <f t="shared" si="4"/>
        <v/>
      </c>
      <c r="J1006" s="5" t="str">
        <f t="shared" si="5"/>
        <v/>
      </c>
      <c r="K1006" s="5" t="str">
        <f>IFERROR(__xludf.DUMMYFUNCTION("IF(C1006&lt;&gt;"""",HYPERLINK(""https://wa.me/507""&amp;REGEXREPLACE(C1006,""[^0-9]"","""")&amp;""?text=""&amp;ENCODEURL(""Ya llegue. Codigo: ""&amp;A1006&amp;"". Ubicacion: ""&amp;""https://www.google.com/maps/search/?api=1&amp;query=""&amp;SUBSTITUTE(F1006,"" "","""")),""📲 Avisar al clien"&amp;"te""),"""")"),"")</f>
        <v/>
      </c>
      <c r="L1006" s="5" t="str">
        <f>IFERROR(__xludf.DUMMYFUNCTION("IF(C1006&lt;&gt;"""",""https://api.qrserver.com/v1/create-qr-code/?size=200x200&amp;data=""&amp;ENCODEURL(""https://wa.me/507""&amp;REGEXREPLACE(C1006,""[^0-9]"","""")&amp;""?text=""&amp;ENCODEURL(""Ya llegue. Codigo: ""&amp;A1006&amp;"". Ubicacion: ""&amp;""https://www.google.com/maps/search"&amp;"/?api=1&amp;query=""&amp;SUBSTITUTE(F1006,"" "",""""))),"""")"),"")</f>
        <v/>
      </c>
      <c r="M1006" s="5" t="str">
        <f t="shared" si="6"/>
        <v/>
      </c>
      <c r="N1006" s="5" t="str">
        <f>IFERROR(__xludf.DUMMYFUNCTION("IF(AND(F1006&lt;&gt;"""",REGEXMATCH(SUBSTITUTE(F1006,"" "",""""),""^-?\d+(\.\d+)?,-?\d+(\.\d+)?$""),VALUE(REGEXEXTRACT(SUBSTITUTE(F1006,"" "",""""),""^-?\d+(\.\d+)?""))&gt;=-90,VALUE(REGEXEXTRACT(SUBSTITUTE(F1006,"" "",""""),""^-?\d+(\.\d+)?""))&lt;=90,VALUE(REGEXEXT"&amp;"RACT(SUBSTITUTE(F1006,"" "",""""),""-?\d+(\.\d+)?$""))&gt;=-180,VALUE(REGEXEXTRACT(SUBSTITUTE(F1006,"" "",""""),""-?\d+(\.\d+)?$""))&lt;=180),""OK"",""REVISAR"")"),"#N/A")</f>
        <v>#N/A</v>
      </c>
    </row>
    <row r="1007" ht="15.75" customHeight="1">
      <c r="A1007" s="5" t="str">
        <f t="shared" si="1"/>
        <v>AD507-1005</v>
      </c>
      <c r="C1007" s="5"/>
      <c r="F1007" s="5"/>
      <c r="G1007" s="5" t="str">
        <f t="shared" si="2"/>
        <v/>
      </c>
      <c r="H1007" s="5" t="str">
        <f t="shared" si="3"/>
        <v/>
      </c>
      <c r="I1007" s="5" t="str">
        <f t="shared" si="4"/>
        <v/>
      </c>
      <c r="J1007" s="5" t="str">
        <f t="shared" si="5"/>
        <v/>
      </c>
      <c r="K1007" s="5" t="str">
        <f>IFERROR(__xludf.DUMMYFUNCTION("IF(C1007&lt;&gt;"""",HYPERLINK(""https://wa.me/507""&amp;REGEXREPLACE(C1007,""[^0-9]"","""")&amp;""?text=""&amp;ENCODEURL(""Ya llegue. Codigo: ""&amp;A1007&amp;"". Ubicacion: ""&amp;""https://www.google.com/maps/search/?api=1&amp;query=""&amp;SUBSTITUTE(F1007,"" "","""")),""📲 Avisar al clien"&amp;"te""),"""")"),"")</f>
        <v/>
      </c>
      <c r="L1007" s="5" t="str">
        <f>IFERROR(__xludf.DUMMYFUNCTION("IF(C1007&lt;&gt;"""",""https://api.qrserver.com/v1/create-qr-code/?size=200x200&amp;data=""&amp;ENCODEURL(""https://wa.me/507""&amp;REGEXREPLACE(C1007,""[^0-9]"","""")&amp;""?text=""&amp;ENCODEURL(""Ya llegue. Codigo: ""&amp;A1007&amp;"". Ubicacion: ""&amp;""https://www.google.com/maps/search"&amp;"/?api=1&amp;query=""&amp;SUBSTITUTE(F1007,"" "",""""))),"""")"),"")</f>
        <v/>
      </c>
      <c r="M1007" s="5" t="str">
        <f t="shared" si="6"/>
        <v/>
      </c>
      <c r="N1007" s="5" t="str">
        <f>IFERROR(__xludf.DUMMYFUNCTION("IF(AND(F1007&lt;&gt;"""",REGEXMATCH(SUBSTITUTE(F1007,"" "",""""),""^-?\d+(\.\d+)?,-?\d+(\.\d+)?$""),VALUE(REGEXEXTRACT(SUBSTITUTE(F1007,"" "",""""),""^-?\d+(\.\d+)?""))&gt;=-90,VALUE(REGEXEXTRACT(SUBSTITUTE(F1007,"" "",""""),""^-?\d+(\.\d+)?""))&lt;=90,VALUE(REGEXEXT"&amp;"RACT(SUBSTITUTE(F1007,"" "",""""),""-?\d+(\.\d+)?$""))&gt;=-180,VALUE(REGEXEXTRACT(SUBSTITUTE(F1007,"" "",""""),""-?\d+(\.\d+)?$""))&lt;=180),""OK"",""REVISAR"")"),"#N/A")</f>
        <v>#N/A</v>
      </c>
    </row>
    <row r="1008" ht="15.75" customHeight="1">
      <c r="A1008" s="5" t="str">
        <f t="shared" si="1"/>
        <v>AD507-1006</v>
      </c>
      <c r="C1008" s="5"/>
      <c r="F1008" s="5"/>
      <c r="G1008" s="5" t="str">
        <f t="shared" si="2"/>
        <v/>
      </c>
      <c r="H1008" s="5" t="str">
        <f t="shared" si="3"/>
        <v/>
      </c>
      <c r="I1008" s="5" t="str">
        <f t="shared" si="4"/>
        <v/>
      </c>
      <c r="J1008" s="5" t="str">
        <f t="shared" si="5"/>
        <v/>
      </c>
      <c r="K1008" s="5" t="str">
        <f>IFERROR(__xludf.DUMMYFUNCTION("IF(C1008&lt;&gt;"""",HYPERLINK(""https://wa.me/507""&amp;REGEXREPLACE(C1008,""[^0-9]"","""")&amp;""?text=""&amp;ENCODEURL(""Ya llegue. Codigo: ""&amp;A1008&amp;"". Ubicacion: ""&amp;""https://www.google.com/maps/search/?api=1&amp;query=""&amp;SUBSTITUTE(F1008,"" "","""")),""📲 Avisar al clien"&amp;"te""),"""")"),"")</f>
        <v/>
      </c>
      <c r="L1008" s="5" t="str">
        <f>IFERROR(__xludf.DUMMYFUNCTION("IF(C1008&lt;&gt;"""",""https://api.qrserver.com/v1/create-qr-code/?size=200x200&amp;data=""&amp;ENCODEURL(""https://wa.me/507""&amp;REGEXREPLACE(C1008,""[^0-9]"","""")&amp;""?text=""&amp;ENCODEURL(""Ya llegue. Codigo: ""&amp;A1008&amp;"". Ubicacion: ""&amp;""https://www.google.com/maps/search"&amp;"/?api=1&amp;query=""&amp;SUBSTITUTE(F1008,"" "",""""))),"""")"),"")</f>
        <v/>
      </c>
      <c r="M1008" s="5" t="str">
        <f t="shared" si="6"/>
        <v/>
      </c>
      <c r="N1008" s="5" t="str">
        <f>IFERROR(__xludf.DUMMYFUNCTION("IF(AND(F1008&lt;&gt;"""",REGEXMATCH(SUBSTITUTE(F1008,"" "",""""),""^-?\d+(\.\d+)?,-?\d+(\.\d+)?$""),VALUE(REGEXEXTRACT(SUBSTITUTE(F1008,"" "",""""),""^-?\d+(\.\d+)?""))&gt;=-90,VALUE(REGEXEXTRACT(SUBSTITUTE(F1008,"" "",""""),""^-?\d+(\.\d+)?""))&lt;=90,VALUE(REGEXEXT"&amp;"RACT(SUBSTITUTE(F1008,"" "",""""),""-?\d+(\.\d+)?$""))&gt;=-180,VALUE(REGEXEXTRACT(SUBSTITUTE(F1008,"" "",""""),""-?\d+(\.\d+)?$""))&lt;=180),""OK"",""REVISAR"")"),"#N/A")</f>
        <v>#N/A</v>
      </c>
    </row>
    <row r="1009" ht="15.75" customHeight="1">
      <c r="A1009" s="5" t="str">
        <f t="shared" si="1"/>
        <v>AD507-1007</v>
      </c>
      <c r="C1009" s="5"/>
      <c r="F1009" s="5"/>
      <c r="G1009" s="5" t="str">
        <f t="shared" si="2"/>
        <v/>
      </c>
      <c r="H1009" s="5" t="str">
        <f t="shared" si="3"/>
        <v/>
      </c>
      <c r="I1009" s="5" t="str">
        <f t="shared" si="4"/>
        <v/>
      </c>
      <c r="J1009" s="5" t="str">
        <f t="shared" si="5"/>
        <v/>
      </c>
      <c r="K1009" s="5" t="str">
        <f>IFERROR(__xludf.DUMMYFUNCTION("IF(C1009&lt;&gt;"""",HYPERLINK(""https://wa.me/507""&amp;REGEXREPLACE(C1009,""[^0-9]"","""")&amp;""?text=""&amp;ENCODEURL(""Ya llegue. Codigo: ""&amp;A1009&amp;"". Ubicacion: ""&amp;""https://www.google.com/maps/search/?api=1&amp;query=""&amp;SUBSTITUTE(F1009,"" "","""")),""📲 Avisar al clien"&amp;"te""),"""")"),"")</f>
        <v/>
      </c>
      <c r="L1009" s="5" t="str">
        <f>IFERROR(__xludf.DUMMYFUNCTION("IF(C1009&lt;&gt;"""",""https://api.qrserver.com/v1/create-qr-code/?size=200x200&amp;data=""&amp;ENCODEURL(""https://wa.me/507""&amp;REGEXREPLACE(C1009,""[^0-9]"","""")&amp;""?text=""&amp;ENCODEURL(""Ya llegue. Codigo: ""&amp;A1009&amp;"". Ubicacion: ""&amp;""https://www.google.com/maps/search"&amp;"/?api=1&amp;query=""&amp;SUBSTITUTE(F1009,"" "",""""))),"""")"),"")</f>
        <v/>
      </c>
      <c r="M1009" s="5" t="str">
        <f t="shared" si="6"/>
        <v/>
      </c>
      <c r="N1009" s="5" t="str">
        <f>IFERROR(__xludf.DUMMYFUNCTION("IF(AND(F1009&lt;&gt;"""",REGEXMATCH(SUBSTITUTE(F1009,"" "",""""),""^-?\d+(\.\d+)?,-?\d+(\.\d+)?$""),VALUE(REGEXEXTRACT(SUBSTITUTE(F1009,"" "",""""),""^-?\d+(\.\d+)?""))&gt;=-90,VALUE(REGEXEXTRACT(SUBSTITUTE(F1009,"" "",""""),""^-?\d+(\.\d+)?""))&lt;=90,VALUE(REGEXEXT"&amp;"RACT(SUBSTITUTE(F1009,"" "",""""),""-?\d+(\.\d+)?$""))&gt;=-180,VALUE(REGEXEXTRACT(SUBSTITUTE(F1009,"" "",""""),""-?\d+(\.\d+)?$""))&lt;=180),""OK"",""REVISAR"")"),"#N/A")</f>
        <v>#N/A</v>
      </c>
    </row>
    <row r="1010" ht="15.75" customHeight="1">
      <c r="A1010" s="5" t="str">
        <f t="shared" si="1"/>
        <v>AD507-1008</v>
      </c>
      <c r="C1010" s="5"/>
      <c r="F1010" s="5"/>
      <c r="G1010" s="5" t="str">
        <f t="shared" si="2"/>
        <v/>
      </c>
      <c r="H1010" s="5" t="str">
        <f t="shared" si="3"/>
        <v/>
      </c>
      <c r="I1010" s="5" t="str">
        <f t="shared" si="4"/>
        <v/>
      </c>
      <c r="J1010" s="5" t="str">
        <f t="shared" si="5"/>
        <v/>
      </c>
      <c r="K1010" s="5" t="str">
        <f>IFERROR(__xludf.DUMMYFUNCTION("IF(C1010&lt;&gt;"""",HYPERLINK(""https://wa.me/507""&amp;REGEXREPLACE(C1010,""[^0-9]"","""")&amp;""?text=""&amp;ENCODEURL(""Ya llegue. Codigo: ""&amp;A1010&amp;"". Ubicacion: ""&amp;""https://www.google.com/maps/search/?api=1&amp;query=""&amp;SUBSTITUTE(F1010,"" "","""")),""📲 Avisar al clien"&amp;"te""),"""")"),"")</f>
        <v/>
      </c>
      <c r="L1010" s="5" t="str">
        <f>IFERROR(__xludf.DUMMYFUNCTION("IF(C1010&lt;&gt;"""",""https://api.qrserver.com/v1/create-qr-code/?size=200x200&amp;data=""&amp;ENCODEURL(""https://wa.me/507""&amp;REGEXREPLACE(C1010,""[^0-9]"","""")&amp;""?text=""&amp;ENCODEURL(""Ya llegue. Codigo: ""&amp;A1010&amp;"". Ubicacion: ""&amp;""https://www.google.com/maps/search"&amp;"/?api=1&amp;query=""&amp;SUBSTITUTE(F1010,"" "",""""))),"""")"),"")</f>
        <v/>
      </c>
      <c r="M1010" s="5" t="str">
        <f t="shared" si="6"/>
        <v/>
      </c>
      <c r="N1010" s="5" t="str">
        <f>IFERROR(__xludf.DUMMYFUNCTION("IF(AND(F1010&lt;&gt;"""",REGEXMATCH(SUBSTITUTE(F1010,"" "",""""),""^-?\d+(\.\d+)?,-?\d+(\.\d+)?$""),VALUE(REGEXEXTRACT(SUBSTITUTE(F1010,"" "",""""),""^-?\d+(\.\d+)?""))&gt;=-90,VALUE(REGEXEXTRACT(SUBSTITUTE(F1010,"" "",""""),""^-?\d+(\.\d+)?""))&lt;=90,VALUE(REGEXEXT"&amp;"RACT(SUBSTITUTE(F1010,"" "",""""),""-?\d+(\.\d+)?$""))&gt;=-180,VALUE(REGEXEXTRACT(SUBSTITUTE(F1010,"" "",""""),""-?\d+(\.\d+)?$""))&lt;=180),""OK"",""REVISAR"")"),"#N/A")</f>
        <v>#N/A</v>
      </c>
    </row>
    <row r="1011" ht="15.75" customHeight="1">
      <c r="A1011" s="5" t="str">
        <f t="shared" si="1"/>
        <v>AD507-1009</v>
      </c>
      <c r="C1011" s="5"/>
      <c r="F1011" s="5"/>
      <c r="G1011" s="5" t="str">
        <f t="shared" si="2"/>
        <v/>
      </c>
      <c r="H1011" s="5" t="str">
        <f t="shared" si="3"/>
        <v/>
      </c>
      <c r="I1011" s="5" t="str">
        <f t="shared" si="4"/>
        <v/>
      </c>
      <c r="J1011" s="5" t="str">
        <f t="shared" si="5"/>
        <v/>
      </c>
      <c r="K1011" s="5" t="str">
        <f>IFERROR(__xludf.DUMMYFUNCTION("IF(C1011&lt;&gt;"""",HYPERLINK(""https://wa.me/507""&amp;REGEXREPLACE(C1011,""[^0-9]"","""")&amp;""?text=""&amp;ENCODEURL(""Ya llegue. Codigo: ""&amp;A1011&amp;"". Ubicacion: ""&amp;""https://www.google.com/maps/search/?api=1&amp;query=""&amp;SUBSTITUTE(F1011,"" "","""")),""📲 Avisar al clien"&amp;"te""),"""")"),"")</f>
        <v/>
      </c>
      <c r="L1011" s="5" t="str">
        <f>IFERROR(__xludf.DUMMYFUNCTION("IF(C1011&lt;&gt;"""",""https://api.qrserver.com/v1/create-qr-code/?size=200x200&amp;data=""&amp;ENCODEURL(""https://wa.me/507""&amp;REGEXREPLACE(C1011,""[^0-9]"","""")&amp;""?text=""&amp;ENCODEURL(""Ya llegue. Codigo: ""&amp;A1011&amp;"". Ubicacion: ""&amp;""https://www.google.com/maps/search"&amp;"/?api=1&amp;query=""&amp;SUBSTITUTE(F1011,"" "",""""))),"""")"),"")</f>
        <v/>
      </c>
      <c r="M1011" s="5" t="str">
        <f t="shared" si="6"/>
        <v/>
      </c>
      <c r="N1011" s="5" t="str">
        <f>IFERROR(__xludf.DUMMYFUNCTION("IF(AND(F1011&lt;&gt;"""",REGEXMATCH(SUBSTITUTE(F1011,"" "",""""),""^-?\d+(\.\d+)?,-?\d+(\.\d+)?$""),VALUE(REGEXEXTRACT(SUBSTITUTE(F1011,"" "",""""),""^-?\d+(\.\d+)?""))&gt;=-90,VALUE(REGEXEXTRACT(SUBSTITUTE(F1011,"" "",""""),""^-?\d+(\.\d+)?""))&lt;=90,VALUE(REGEXEXT"&amp;"RACT(SUBSTITUTE(F1011,"" "",""""),""-?\d+(\.\d+)?$""))&gt;=-180,VALUE(REGEXEXTRACT(SUBSTITUTE(F1011,"" "",""""),""-?\d+(\.\d+)?$""))&lt;=180),""OK"",""REVISAR"")"),"#N/A")</f>
        <v>#N/A</v>
      </c>
    </row>
    <row r="1012" ht="15.75" customHeight="1">
      <c r="A1012" s="5" t="str">
        <f t="shared" si="1"/>
        <v>AD507-1010</v>
      </c>
      <c r="C1012" s="5"/>
      <c r="F1012" s="5"/>
      <c r="G1012" s="5" t="str">
        <f t="shared" si="2"/>
        <v/>
      </c>
      <c r="H1012" s="5" t="str">
        <f t="shared" si="3"/>
        <v/>
      </c>
      <c r="I1012" s="5" t="str">
        <f t="shared" si="4"/>
        <v/>
      </c>
      <c r="J1012" s="5" t="str">
        <f t="shared" si="5"/>
        <v/>
      </c>
      <c r="K1012" s="5" t="str">
        <f>IFERROR(__xludf.DUMMYFUNCTION("IF(C1012&lt;&gt;"""",HYPERLINK(""https://wa.me/507""&amp;REGEXREPLACE(C1012,""[^0-9]"","""")&amp;""?text=""&amp;ENCODEURL(""Ya llegue. Codigo: ""&amp;A1012&amp;"". Ubicacion: ""&amp;""https://www.google.com/maps/search/?api=1&amp;query=""&amp;SUBSTITUTE(F1012,"" "","""")),""📲 Avisar al clien"&amp;"te""),"""")"),"")</f>
        <v/>
      </c>
      <c r="L1012" s="5" t="str">
        <f>IFERROR(__xludf.DUMMYFUNCTION("IF(C1012&lt;&gt;"""",""https://api.qrserver.com/v1/create-qr-code/?size=200x200&amp;data=""&amp;ENCODEURL(""https://wa.me/507""&amp;REGEXREPLACE(C1012,""[^0-9]"","""")&amp;""?text=""&amp;ENCODEURL(""Ya llegue. Codigo: ""&amp;A1012&amp;"". Ubicacion: ""&amp;""https://www.google.com/maps/search"&amp;"/?api=1&amp;query=""&amp;SUBSTITUTE(F1012,"" "",""""))),"""")"),"")</f>
        <v/>
      </c>
      <c r="M1012" s="5" t="str">
        <f t="shared" si="6"/>
        <v/>
      </c>
      <c r="N1012" s="5" t="str">
        <f>IFERROR(__xludf.DUMMYFUNCTION("IF(AND(F1012&lt;&gt;"""",REGEXMATCH(SUBSTITUTE(F1012,"" "",""""),""^-?\d+(\.\d+)?,-?\d+(\.\d+)?$""),VALUE(REGEXEXTRACT(SUBSTITUTE(F1012,"" "",""""),""^-?\d+(\.\d+)?""))&gt;=-90,VALUE(REGEXEXTRACT(SUBSTITUTE(F1012,"" "",""""),""^-?\d+(\.\d+)?""))&lt;=90,VALUE(REGEXEXT"&amp;"RACT(SUBSTITUTE(F1012,"" "",""""),""-?\d+(\.\d+)?$""))&gt;=-180,VALUE(REGEXEXTRACT(SUBSTITUTE(F1012,"" "",""""),""-?\d+(\.\d+)?$""))&lt;=180),""OK"",""REVISAR"")"),"#N/A")</f>
        <v>#N/A</v>
      </c>
    </row>
    <row r="1013" ht="15.75" customHeight="1">
      <c r="A1013" s="5" t="str">
        <f t="shared" si="1"/>
        <v>AD507-1011</v>
      </c>
      <c r="C1013" s="5"/>
      <c r="F1013" s="5"/>
      <c r="G1013" s="5" t="str">
        <f t="shared" si="2"/>
        <v/>
      </c>
      <c r="H1013" s="5" t="str">
        <f t="shared" si="3"/>
        <v/>
      </c>
      <c r="I1013" s="5" t="str">
        <f t="shared" si="4"/>
        <v/>
      </c>
      <c r="J1013" s="5" t="str">
        <f t="shared" si="5"/>
        <v/>
      </c>
      <c r="K1013" s="5" t="str">
        <f>IFERROR(__xludf.DUMMYFUNCTION("IF(C1013&lt;&gt;"""",HYPERLINK(""https://wa.me/507""&amp;REGEXREPLACE(C1013,""[^0-9]"","""")&amp;""?text=""&amp;ENCODEURL(""Ya llegue. Codigo: ""&amp;A1013&amp;"". Ubicacion: ""&amp;""https://www.google.com/maps/search/?api=1&amp;query=""&amp;SUBSTITUTE(F1013,"" "","""")),""📲 Avisar al clien"&amp;"te""),"""")"),"")</f>
        <v/>
      </c>
      <c r="L1013" s="5" t="str">
        <f>IFERROR(__xludf.DUMMYFUNCTION("IF(C1013&lt;&gt;"""",""https://api.qrserver.com/v1/create-qr-code/?size=200x200&amp;data=""&amp;ENCODEURL(""https://wa.me/507""&amp;REGEXREPLACE(C1013,""[^0-9]"","""")&amp;""?text=""&amp;ENCODEURL(""Ya llegue. Codigo: ""&amp;A1013&amp;"". Ubicacion: ""&amp;""https://www.google.com/maps/search"&amp;"/?api=1&amp;query=""&amp;SUBSTITUTE(F1013,"" "",""""))),"""")"),"")</f>
        <v/>
      </c>
      <c r="M1013" s="5" t="str">
        <f t="shared" si="6"/>
        <v/>
      </c>
      <c r="N1013" s="5" t="str">
        <f>IFERROR(__xludf.DUMMYFUNCTION("IF(AND(F1013&lt;&gt;"""",REGEXMATCH(SUBSTITUTE(F1013,"" "",""""),""^-?\d+(\.\d+)?,-?\d+(\.\d+)?$""),VALUE(REGEXEXTRACT(SUBSTITUTE(F1013,"" "",""""),""^-?\d+(\.\d+)?""))&gt;=-90,VALUE(REGEXEXTRACT(SUBSTITUTE(F1013,"" "",""""),""^-?\d+(\.\d+)?""))&lt;=90,VALUE(REGEXEXT"&amp;"RACT(SUBSTITUTE(F1013,"" "",""""),""-?\d+(\.\d+)?$""))&gt;=-180,VALUE(REGEXEXTRACT(SUBSTITUTE(F1013,"" "",""""),""-?\d+(\.\d+)?$""))&lt;=180),""OK"",""REVISAR"")"),"#N/A")</f>
        <v>#N/A</v>
      </c>
    </row>
    <row r="1014" ht="15.75" customHeight="1">
      <c r="A1014" s="5" t="str">
        <f t="shared" si="1"/>
        <v>AD507-1012</v>
      </c>
      <c r="C1014" s="5"/>
      <c r="F1014" s="5"/>
      <c r="G1014" s="5" t="str">
        <f t="shared" si="2"/>
        <v/>
      </c>
      <c r="H1014" s="5" t="str">
        <f t="shared" si="3"/>
        <v/>
      </c>
      <c r="I1014" s="5" t="str">
        <f t="shared" si="4"/>
        <v/>
      </c>
      <c r="J1014" s="5" t="str">
        <f t="shared" si="5"/>
        <v/>
      </c>
      <c r="K1014" s="5" t="str">
        <f>IFERROR(__xludf.DUMMYFUNCTION("IF(C1014&lt;&gt;"""",HYPERLINK(""https://wa.me/507""&amp;REGEXREPLACE(C1014,""[^0-9]"","""")&amp;""?text=""&amp;ENCODEURL(""Ya llegue. Codigo: ""&amp;A1014&amp;"". Ubicacion: ""&amp;""https://www.google.com/maps/search/?api=1&amp;query=""&amp;SUBSTITUTE(F1014,"" "","""")),""📲 Avisar al clien"&amp;"te""),"""")"),"")</f>
        <v/>
      </c>
      <c r="L1014" s="5" t="str">
        <f>IFERROR(__xludf.DUMMYFUNCTION("IF(C1014&lt;&gt;"""",""https://api.qrserver.com/v1/create-qr-code/?size=200x200&amp;data=""&amp;ENCODEURL(""https://wa.me/507""&amp;REGEXREPLACE(C1014,""[^0-9]"","""")&amp;""?text=""&amp;ENCODEURL(""Ya llegue. Codigo: ""&amp;A1014&amp;"". Ubicacion: ""&amp;""https://www.google.com/maps/search"&amp;"/?api=1&amp;query=""&amp;SUBSTITUTE(F1014,"" "",""""))),"""")"),"")</f>
        <v/>
      </c>
      <c r="M1014" s="5" t="str">
        <f t="shared" si="6"/>
        <v/>
      </c>
      <c r="N1014" s="5" t="str">
        <f>IFERROR(__xludf.DUMMYFUNCTION("IF(AND(F1014&lt;&gt;"""",REGEXMATCH(SUBSTITUTE(F1014,"" "",""""),""^-?\d+(\.\d+)?,-?\d+(\.\d+)?$""),VALUE(REGEXEXTRACT(SUBSTITUTE(F1014,"" "",""""),""^-?\d+(\.\d+)?""))&gt;=-90,VALUE(REGEXEXTRACT(SUBSTITUTE(F1014,"" "",""""),""^-?\d+(\.\d+)?""))&lt;=90,VALUE(REGEXEXT"&amp;"RACT(SUBSTITUTE(F1014,"" "",""""),""-?\d+(\.\d+)?$""))&gt;=-180,VALUE(REGEXEXTRACT(SUBSTITUTE(F1014,"" "",""""),""-?\d+(\.\d+)?$""))&lt;=180),""OK"",""REVISAR"")"),"#N/A")</f>
        <v>#N/A</v>
      </c>
    </row>
    <row r="1015" ht="15.75" customHeight="1">
      <c r="A1015" s="5" t="str">
        <f t="shared" si="1"/>
        <v>AD507-1013</v>
      </c>
      <c r="C1015" s="5"/>
      <c r="F1015" s="5"/>
      <c r="G1015" s="5" t="str">
        <f t="shared" si="2"/>
        <v/>
      </c>
      <c r="H1015" s="5" t="str">
        <f t="shared" si="3"/>
        <v/>
      </c>
      <c r="I1015" s="5" t="str">
        <f t="shared" si="4"/>
        <v/>
      </c>
      <c r="J1015" s="5" t="str">
        <f t="shared" si="5"/>
        <v/>
      </c>
      <c r="K1015" s="5" t="str">
        <f>IFERROR(__xludf.DUMMYFUNCTION("IF(C1015&lt;&gt;"""",HYPERLINK(""https://wa.me/507""&amp;REGEXREPLACE(C1015,""[^0-9]"","""")&amp;""?text=""&amp;ENCODEURL(""Ya llegue. Codigo: ""&amp;A1015&amp;"". Ubicacion: ""&amp;""https://www.google.com/maps/search/?api=1&amp;query=""&amp;SUBSTITUTE(F1015,"" "","""")),""📲 Avisar al clien"&amp;"te""),"""")"),"")</f>
        <v/>
      </c>
      <c r="L1015" s="5" t="str">
        <f>IFERROR(__xludf.DUMMYFUNCTION("IF(C1015&lt;&gt;"""",""https://api.qrserver.com/v1/create-qr-code/?size=200x200&amp;data=""&amp;ENCODEURL(""https://wa.me/507""&amp;REGEXREPLACE(C1015,""[^0-9]"","""")&amp;""?text=""&amp;ENCODEURL(""Ya llegue. Codigo: ""&amp;A1015&amp;"". Ubicacion: ""&amp;""https://www.google.com/maps/search"&amp;"/?api=1&amp;query=""&amp;SUBSTITUTE(F1015,"" "",""""))),"""")"),"")</f>
        <v/>
      </c>
      <c r="M1015" s="5" t="str">
        <f t="shared" si="6"/>
        <v/>
      </c>
      <c r="N1015" s="5" t="str">
        <f>IFERROR(__xludf.DUMMYFUNCTION("IF(AND(F1015&lt;&gt;"""",REGEXMATCH(SUBSTITUTE(F1015,"" "",""""),""^-?\d+(\.\d+)?,-?\d+(\.\d+)?$""),VALUE(REGEXEXTRACT(SUBSTITUTE(F1015,"" "",""""),""^-?\d+(\.\d+)?""))&gt;=-90,VALUE(REGEXEXTRACT(SUBSTITUTE(F1015,"" "",""""),""^-?\d+(\.\d+)?""))&lt;=90,VALUE(REGEXEXT"&amp;"RACT(SUBSTITUTE(F1015,"" "",""""),""-?\d+(\.\d+)?$""))&gt;=-180,VALUE(REGEXEXTRACT(SUBSTITUTE(F1015,"" "",""""),""-?\d+(\.\d+)?$""))&lt;=180),""OK"",""REVISAR"")"),"#N/A")</f>
        <v>#N/A</v>
      </c>
    </row>
    <row r="1016" ht="15.75" customHeight="1">
      <c r="A1016" s="5" t="str">
        <f t="shared" si="1"/>
        <v>AD507-1014</v>
      </c>
      <c r="C1016" s="5"/>
      <c r="F1016" s="5"/>
      <c r="G1016" s="5" t="str">
        <f t="shared" si="2"/>
        <v/>
      </c>
      <c r="H1016" s="5" t="str">
        <f t="shared" si="3"/>
        <v/>
      </c>
      <c r="I1016" s="5" t="str">
        <f t="shared" si="4"/>
        <v/>
      </c>
      <c r="J1016" s="5" t="str">
        <f t="shared" si="5"/>
        <v/>
      </c>
      <c r="K1016" s="5" t="str">
        <f>IFERROR(__xludf.DUMMYFUNCTION("IF(C1016&lt;&gt;"""",HYPERLINK(""https://wa.me/507""&amp;REGEXREPLACE(C1016,""[^0-9]"","""")&amp;""?text=""&amp;ENCODEURL(""Ya llegue. Codigo: ""&amp;A1016&amp;"". Ubicacion: ""&amp;""https://www.google.com/maps/search/?api=1&amp;query=""&amp;SUBSTITUTE(F1016,"" "","""")),""📲 Avisar al clien"&amp;"te""),"""")"),"")</f>
        <v/>
      </c>
      <c r="L1016" s="5" t="str">
        <f>IFERROR(__xludf.DUMMYFUNCTION("IF(C1016&lt;&gt;"""",""https://api.qrserver.com/v1/create-qr-code/?size=200x200&amp;data=""&amp;ENCODEURL(""https://wa.me/507""&amp;REGEXREPLACE(C1016,""[^0-9]"","""")&amp;""?text=""&amp;ENCODEURL(""Ya llegue. Codigo: ""&amp;A1016&amp;"". Ubicacion: ""&amp;""https://www.google.com/maps/search"&amp;"/?api=1&amp;query=""&amp;SUBSTITUTE(F1016,"" "",""""))),"""")"),"")</f>
        <v/>
      </c>
      <c r="M1016" s="5" t="str">
        <f t="shared" si="6"/>
        <v/>
      </c>
      <c r="N1016" s="5" t="str">
        <f>IFERROR(__xludf.DUMMYFUNCTION("IF(AND(F1016&lt;&gt;"""",REGEXMATCH(SUBSTITUTE(F1016,"" "",""""),""^-?\d+(\.\d+)?,-?\d+(\.\d+)?$""),VALUE(REGEXEXTRACT(SUBSTITUTE(F1016,"" "",""""),""^-?\d+(\.\d+)?""))&gt;=-90,VALUE(REGEXEXTRACT(SUBSTITUTE(F1016,"" "",""""),""^-?\d+(\.\d+)?""))&lt;=90,VALUE(REGEXEXT"&amp;"RACT(SUBSTITUTE(F1016,"" "",""""),""-?\d+(\.\d+)?$""))&gt;=-180,VALUE(REGEXEXTRACT(SUBSTITUTE(F1016,"" "",""""),""-?\d+(\.\d+)?$""))&lt;=180),""OK"",""REVISAR"")"),"#N/A")</f>
        <v>#N/A</v>
      </c>
    </row>
    <row r="1017" ht="15.75" customHeight="1">
      <c r="A1017" s="5" t="str">
        <f t="shared" si="1"/>
        <v>AD507-1015</v>
      </c>
      <c r="C1017" s="5"/>
      <c r="F1017" s="5"/>
      <c r="G1017" s="5" t="str">
        <f t="shared" si="2"/>
        <v/>
      </c>
      <c r="H1017" s="5" t="str">
        <f t="shared" si="3"/>
        <v/>
      </c>
      <c r="I1017" s="5" t="str">
        <f t="shared" si="4"/>
        <v/>
      </c>
      <c r="J1017" s="5" t="str">
        <f t="shared" si="5"/>
        <v/>
      </c>
      <c r="K1017" s="5" t="str">
        <f>IFERROR(__xludf.DUMMYFUNCTION("IF(C1017&lt;&gt;"""",HYPERLINK(""https://wa.me/507""&amp;REGEXREPLACE(C1017,""[^0-9]"","""")&amp;""?text=""&amp;ENCODEURL(""Ya llegue. Codigo: ""&amp;A1017&amp;"". Ubicacion: ""&amp;""https://www.google.com/maps/search/?api=1&amp;query=""&amp;SUBSTITUTE(F1017,"" "","""")),""📲 Avisar al clien"&amp;"te""),"""")"),"")</f>
        <v/>
      </c>
      <c r="L1017" s="5" t="str">
        <f>IFERROR(__xludf.DUMMYFUNCTION("IF(C1017&lt;&gt;"""",""https://api.qrserver.com/v1/create-qr-code/?size=200x200&amp;data=""&amp;ENCODEURL(""https://wa.me/507""&amp;REGEXREPLACE(C1017,""[^0-9]"","""")&amp;""?text=""&amp;ENCODEURL(""Ya llegue. Codigo: ""&amp;A1017&amp;"". Ubicacion: ""&amp;""https://www.google.com/maps/search"&amp;"/?api=1&amp;query=""&amp;SUBSTITUTE(F1017,"" "",""""))),"""")"),"")</f>
        <v/>
      </c>
      <c r="M1017" s="5" t="str">
        <f t="shared" si="6"/>
        <v/>
      </c>
      <c r="N1017" s="5" t="str">
        <f>IFERROR(__xludf.DUMMYFUNCTION("IF(AND(F1017&lt;&gt;"""",REGEXMATCH(SUBSTITUTE(F1017,"" "",""""),""^-?\d+(\.\d+)?,-?\d+(\.\d+)?$""),VALUE(REGEXEXTRACT(SUBSTITUTE(F1017,"" "",""""),""^-?\d+(\.\d+)?""))&gt;=-90,VALUE(REGEXEXTRACT(SUBSTITUTE(F1017,"" "",""""),""^-?\d+(\.\d+)?""))&lt;=90,VALUE(REGEXEXT"&amp;"RACT(SUBSTITUTE(F1017,"" "",""""),""-?\d+(\.\d+)?$""))&gt;=-180,VALUE(REGEXEXTRACT(SUBSTITUTE(F1017,"" "",""""),""-?\d+(\.\d+)?$""))&lt;=180),""OK"",""REVISAR"")"),"#N/A")</f>
        <v>#N/A</v>
      </c>
    </row>
    <row r="1018" ht="15.75" customHeight="1">
      <c r="A1018" s="5" t="str">
        <f t="shared" si="1"/>
        <v>AD507-1016</v>
      </c>
      <c r="C1018" s="5"/>
      <c r="F1018" s="5"/>
      <c r="G1018" s="5" t="str">
        <f t="shared" si="2"/>
        <v/>
      </c>
      <c r="H1018" s="5" t="str">
        <f t="shared" si="3"/>
        <v/>
      </c>
      <c r="I1018" s="5" t="str">
        <f t="shared" si="4"/>
        <v/>
      </c>
      <c r="J1018" s="5" t="str">
        <f t="shared" si="5"/>
        <v/>
      </c>
      <c r="K1018" s="5" t="str">
        <f>IFERROR(__xludf.DUMMYFUNCTION("IF(C1018&lt;&gt;"""",HYPERLINK(""https://wa.me/507""&amp;REGEXREPLACE(C1018,""[^0-9]"","""")&amp;""?text=""&amp;ENCODEURL(""Ya llegue. Codigo: ""&amp;A1018&amp;"". Ubicacion: ""&amp;""https://www.google.com/maps/search/?api=1&amp;query=""&amp;SUBSTITUTE(F1018,"" "","""")),""📲 Avisar al clien"&amp;"te""),"""")"),"")</f>
        <v/>
      </c>
      <c r="L1018" s="5" t="str">
        <f>IFERROR(__xludf.DUMMYFUNCTION("IF(C1018&lt;&gt;"""",""https://api.qrserver.com/v1/create-qr-code/?size=200x200&amp;data=""&amp;ENCODEURL(""https://wa.me/507""&amp;REGEXREPLACE(C1018,""[^0-9]"","""")&amp;""?text=""&amp;ENCODEURL(""Ya llegue. Codigo: ""&amp;A1018&amp;"". Ubicacion: ""&amp;""https://www.google.com/maps/search"&amp;"/?api=1&amp;query=""&amp;SUBSTITUTE(F1018,"" "",""""))),"""")"),"")</f>
        <v/>
      </c>
      <c r="M1018" s="5" t="str">
        <f t="shared" si="6"/>
        <v/>
      </c>
      <c r="N1018" s="5" t="str">
        <f>IFERROR(__xludf.DUMMYFUNCTION("IF(AND(F1018&lt;&gt;"""",REGEXMATCH(SUBSTITUTE(F1018,"" "",""""),""^-?\d+(\.\d+)?,-?\d+(\.\d+)?$""),VALUE(REGEXEXTRACT(SUBSTITUTE(F1018,"" "",""""),""^-?\d+(\.\d+)?""))&gt;=-90,VALUE(REGEXEXTRACT(SUBSTITUTE(F1018,"" "",""""),""^-?\d+(\.\d+)?""))&lt;=90,VALUE(REGEXEXT"&amp;"RACT(SUBSTITUTE(F1018,"" "",""""),""-?\d+(\.\d+)?$""))&gt;=-180,VALUE(REGEXEXTRACT(SUBSTITUTE(F1018,"" "",""""),""-?\d+(\.\d+)?$""))&lt;=180),""OK"",""REVISAR"")"),"#N/A")</f>
        <v>#N/A</v>
      </c>
    </row>
    <row r="1019" ht="15.75" customHeight="1">
      <c r="A1019" s="5" t="str">
        <f t="shared" si="1"/>
        <v>AD507-1017</v>
      </c>
      <c r="C1019" s="5"/>
      <c r="F1019" s="5"/>
      <c r="G1019" s="5" t="str">
        <f t="shared" si="2"/>
        <v/>
      </c>
      <c r="H1019" s="5" t="str">
        <f t="shared" si="3"/>
        <v/>
      </c>
      <c r="I1019" s="5" t="str">
        <f t="shared" si="4"/>
        <v/>
      </c>
      <c r="J1019" s="5" t="str">
        <f t="shared" si="5"/>
        <v/>
      </c>
      <c r="K1019" s="5" t="str">
        <f>IFERROR(__xludf.DUMMYFUNCTION("IF(C1019&lt;&gt;"""",HYPERLINK(""https://wa.me/507""&amp;REGEXREPLACE(C1019,""[^0-9]"","""")&amp;""?text=""&amp;ENCODEURL(""Ya llegue. Codigo: ""&amp;A1019&amp;"". Ubicacion: ""&amp;""https://www.google.com/maps/search/?api=1&amp;query=""&amp;SUBSTITUTE(F1019,"" "","""")),""📲 Avisar al clien"&amp;"te""),"""")"),"")</f>
        <v/>
      </c>
      <c r="L1019" s="5" t="str">
        <f>IFERROR(__xludf.DUMMYFUNCTION("IF(C1019&lt;&gt;"""",""https://api.qrserver.com/v1/create-qr-code/?size=200x200&amp;data=""&amp;ENCODEURL(""https://wa.me/507""&amp;REGEXREPLACE(C1019,""[^0-9]"","""")&amp;""?text=""&amp;ENCODEURL(""Ya llegue. Codigo: ""&amp;A1019&amp;"". Ubicacion: ""&amp;""https://www.google.com/maps/search"&amp;"/?api=1&amp;query=""&amp;SUBSTITUTE(F1019,"" "",""""))),"""")"),"")</f>
        <v/>
      </c>
      <c r="M1019" s="5" t="str">
        <f t="shared" si="6"/>
        <v/>
      </c>
      <c r="N1019" s="5" t="str">
        <f>IFERROR(__xludf.DUMMYFUNCTION("IF(AND(F1019&lt;&gt;"""",REGEXMATCH(SUBSTITUTE(F1019,"" "",""""),""^-?\d+(\.\d+)?,-?\d+(\.\d+)?$""),VALUE(REGEXEXTRACT(SUBSTITUTE(F1019,"" "",""""),""^-?\d+(\.\d+)?""))&gt;=-90,VALUE(REGEXEXTRACT(SUBSTITUTE(F1019,"" "",""""),""^-?\d+(\.\d+)?""))&lt;=90,VALUE(REGEXEXT"&amp;"RACT(SUBSTITUTE(F1019,"" "",""""),""-?\d+(\.\d+)?$""))&gt;=-180,VALUE(REGEXEXTRACT(SUBSTITUTE(F1019,"" "",""""),""-?\d+(\.\d+)?$""))&lt;=180),""OK"",""REVISAR"")"),"#N/A")</f>
        <v>#N/A</v>
      </c>
    </row>
    <row r="1020" ht="15.75" customHeight="1">
      <c r="A1020" s="5" t="str">
        <f t="shared" si="1"/>
        <v>AD507-1018</v>
      </c>
      <c r="C1020" s="5"/>
      <c r="F1020" s="5"/>
      <c r="G1020" s="5" t="str">
        <f t="shared" si="2"/>
        <v/>
      </c>
      <c r="H1020" s="5" t="str">
        <f t="shared" si="3"/>
        <v/>
      </c>
      <c r="I1020" s="5" t="str">
        <f t="shared" si="4"/>
        <v/>
      </c>
      <c r="J1020" s="5" t="str">
        <f t="shared" si="5"/>
        <v/>
      </c>
      <c r="K1020" s="5" t="str">
        <f>IFERROR(__xludf.DUMMYFUNCTION("IF(C1020&lt;&gt;"""",HYPERLINK(""https://wa.me/507""&amp;REGEXREPLACE(C1020,""[^0-9]"","""")&amp;""?text=""&amp;ENCODEURL(""Ya llegue. Codigo: ""&amp;A1020&amp;"". Ubicacion: ""&amp;""https://www.google.com/maps/search/?api=1&amp;query=""&amp;SUBSTITUTE(F1020,"" "","""")),""📲 Avisar al clien"&amp;"te""),"""")"),"")</f>
        <v/>
      </c>
      <c r="L1020" s="5" t="str">
        <f>IFERROR(__xludf.DUMMYFUNCTION("IF(C1020&lt;&gt;"""",""https://api.qrserver.com/v1/create-qr-code/?size=200x200&amp;data=""&amp;ENCODEURL(""https://wa.me/507""&amp;REGEXREPLACE(C1020,""[^0-9]"","""")&amp;""?text=""&amp;ENCODEURL(""Ya llegue. Codigo: ""&amp;A1020&amp;"". Ubicacion: ""&amp;""https://www.google.com/maps/search"&amp;"/?api=1&amp;query=""&amp;SUBSTITUTE(F1020,"" "",""""))),"""")"),"")</f>
        <v/>
      </c>
      <c r="M1020" s="5" t="str">
        <f t="shared" si="6"/>
        <v/>
      </c>
      <c r="N1020" s="5" t="str">
        <f>IFERROR(__xludf.DUMMYFUNCTION("IF(AND(F1020&lt;&gt;"""",REGEXMATCH(SUBSTITUTE(F1020,"" "",""""),""^-?\d+(\.\d+)?,-?\d+(\.\d+)?$""),VALUE(REGEXEXTRACT(SUBSTITUTE(F1020,"" "",""""),""^-?\d+(\.\d+)?""))&gt;=-90,VALUE(REGEXEXTRACT(SUBSTITUTE(F1020,"" "",""""),""^-?\d+(\.\d+)?""))&lt;=90,VALUE(REGEXEXT"&amp;"RACT(SUBSTITUTE(F1020,"" "",""""),""-?\d+(\.\d+)?$""))&gt;=-180,VALUE(REGEXEXTRACT(SUBSTITUTE(F1020,"" "",""""),""-?\d+(\.\d+)?$""))&lt;=180),""OK"",""REVISAR"")"),"#N/A")</f>
        <v>#N/A</v>
      </c>
    </row>
    <row r="1021" ht="15.75" customHeight="1">
      <c r="A1021" s="5" t="str">
        <f t="shared" si="1"/>
        <v>AD507-1019</v>
      </c>
      <c r="C1021" s="5"/>
      <c r="F1021" s="5"/>
      <c r="G1021" s="5" t="str">
        <f t="shared" si="2"/>
        <v/>
      </c>
      <c r="H1021" s="5" t="str">
        <f t="shared" si="3"/>
        <v/>
      </c>
      <c r="I1021" s="5" t="str">
        <f t="shared" si="4"/>
        <v/>
      </c>
      <c r="J1021" s="5" t="str">
        <f t="shared" si="5"/>
        <v/>
      </c>
      <c r="K1021" s="5" t="str">
        <f>IFERROR(__xludf.DUMMYFUNCTION("IF(C1021&lt;&gt;"""",HYPERLINK(""https://wa.me/507""&amp;REGEXREPLACE(C1021,""[^0-9]"","""")&amp;""?text=""&amp;ENCODEURL(""Ya llegue. Codigo: ""&amp;A1021&amp;"". Ubicacion: ""&amp;""https://www.google.com/maps/search/?api=1&amp;query=""&amp;SUBSTITUTE(F1021,"" "","""")),""📲 Avisar al clien"&amp;"te""),"""")"),"")</f>
        <v/>
      </c>
      <c r="L1021" s="5" t="str">
        <f>IFERROR(__xludf.DUMMYFUNCTION("IF(C1021&lt;&gt;"""",""https://api.qrserver.com/v1/create-qr-code/?size=200x200&amp;data=""&amp;ENCODEURL(""https://wa.me/507""&amp;REGEXREPLACE(C1021,""[^0-9]"","""")&amp;""?text=""&amp;ENCODEURL(""Ya llegue. Codigo: ""&amp;A1021&amp;"". Ubicacion: ""&amp;""https://www.google.com/maps/search"&amp;"/?api=1&amp;query=""&amp;SUBSTITUTE(F1021,"" "",""""))),"""")"),"")</f>
        <v/>
      </c>
      <c r="M1021" s="5" t="str">
        <f t="shared" si="6"/>
        <v/>
      </c>
      <c r="N1021" s="5" t="str">
        <f>IFERROR(__xludf.DUMMYFUNCTION("IF(AND(F1021&lt;&gt;"""",REGEXMATCH(SUBSTITUTE(F1021,"" "",""""),""^-?\d+(\.\d+)?,-?\d+(\.\d+)?$""),VALUE(REGEXEXTRACT(SUBSTITUTE(F1021,"" "",""""),""^-?\d+(\.\d+)?""))&gt;=-90,VALUE(REGEXEXTRACT(SUBSTITUTE(F1021,"" "",""""),""^-?\d+(\.\d+)?""))&lt;=90,VALUE(REGEXEXT"&amp;"RACT(SUBSTITUTE(F1021,"" "",""""),""-?\d+(\.\d+)?$""))&gt;=-180,VALUE(REGEXEXTRACT(SUBSTITUTE(F1021,"" "",""""),""-?\d+(\.\d+)?$""))&lt;=180),""OK"",""REVISAR"")"),"#N/A")</f>
        <v>#N/A</v>
      </c>
    </row>
    <row r="1022" ht="15.75" customHeight="1">
      <c r="A1022" s="5" t="str">
        <f t="shared" si="1"/>
        <v>AD507-1020</v>
      </c>
      <c r="C1022" s="5"/>
      <c r="F1022" s="5"/>
      <c r="G1022" s="5" t="str">
        <f t="shared" si="2"/>
        <v/>
      </c>
      <c r="H1022" s="5" t="str">
        <f t="shared" si="3"/>
        <v/>
      </c>
      <c r="I1022" s="5" t="str">
        <f t="shared" si="4"/>
        <v/>
      </c>
      <c r="J1022" s="5" t="str">
        <f t="shared" si="5"/>
        <v/>
      </c>
      <c r="K1022" s="5" t="str">
        <f>IFERROR(__xludf.DUMMYFUNCTION("IF(C1022&lt;&gt;"""",HYPERLINK(""https://wa.me/507""&amp;REGEXREPLACE(C1022,""[^0-9]"","""")&amp;""?text=""&amp;ENCODEURL(""Ya llegue. Codigo: ""&amp;A1022&amp;"". Ubicacion: ""&amp;""https://www.google.com/maps/search/?api=1&amp;query=""&amp;SUBSTITUTE(F1022,"" "","""")),""📲 Avisar al clien"&amp;"te""),"""")"),"")</f>
        <v/>
      </c>
      <c r="L1022" s="5" t="str">
        <f>IFERROR(__xludf.DUMMYFUNCTION("IF(C1022&lt;&gt;"""",""https://api.qrserver.com/v1/create-qr-code/?size=200x200&amp;data=""&amp;ENCODEURL(""https://wa.me/507""&amp;REGEXREPLACE(C1022,""[^0-9]"","""")&amp;""?text=""&amp;ENCODEURL(""Ya llegue. Codigo: ""&amp;A1022&amp;"". Ubicacion: ""&amp;""https://www.google.com/maps/search"&amp;"/?api=1&amp;query=""&amp;SUBSTITUTE(F1022,"" "",""""))),"""")"),"")</f>
        <v/>
      </c>
      <c r="M1022" s="5" t="str">
        <f t="shared" si="6"/>
        <v/>
      </c>
      <c r="N1022" s="5" t="str">
        <f>IFERROR(__xludf.DUMMYFUNCTION("IF(AND(F1022&lt;&gt;"""",REGEXMATCH(SUBSTITUTE(F1022,"" "",""""),""^-?\d+(\.\d+)?,-?\d+(\.\d+)?$""),VALUE(REGEXEXTRACT(SUBSTITUTE(F1022,"" "",""""),""^-?\d+(\.\d+)?""))&gt;=-90,VALUE(REGEXEXTRACT(SUBSTITUTE(F1022,"" "",""""),""^-?\d+(\.\d+)?""))&lt;=90,VALUE(REGEXEXT"&amp;"RACT(SUBSTITUTE(F1022,"" "",""""),""-?\d+(\.\d+)?$""))&gt;=-180,VALUE(REGEXEXTRACT(SUBSTITUTE(F1022,"" "",""""),""-?\d+(\.\d+)?$""))&lt;=180),""OK"",""REVISAR"")"),"#N/A")</f>
        <v>#N/A</v>
      </c>
    </row>
    <row r="1023" ht="15.75" customHeight="1">
      <c r="A1023" s="5" t="str">
        <f t="shared" si="1"/>
        <v>AD507-1021</v>
      </c>
      <c r="C1023" s="5"/>
      <c r="F1023" s="5"/>
      <c r="G1023" s="5" t="str">
        <f t="shared" si="2"/>
        <v/>
      </c>
      <c r="H1023" s="5" t="str">
        <f t="shared" si="3"/>
        <v/>
      </c>
      <c r="I1023" s="5" t="str">
        <f t="shared" si="4"/>
        <v/>
      </c>
      <c r="J1023" s="5" t="str">
        <f t="shared" si="5"/>
        <v/>
      </c>
      <c r="K1023" s="5" t="str">
        <f>IFERROR(__xludf.DUMMYFUNCTION("IF(C1023&lt;&gt;"""",HYPERLINK(""https://wa.me/507""&amp;REGEXREPLACE(C1023,""[^0-9]"","""")&amp;""?text=""&amp;ENCODEURL(""Ya llegue. Codigo: ""&amp;A1023&amp;"". Ubicacion: ""&amp;""https://www.google.com/maps/search/?api=1&amp;query=""&amp;SUBSTITUTE(F1023,"" "","""")),""📲 Avisar al clien"&amp;"te""),"""")"),"")</f>
        <v/>
      </c>
      <c r="L1023" s="5" t="str">
        <f>IFERROR(__xludf.DUMMYFUNCTION("IF(C1023&lt;&gt;"""",""https://api.qrserver.com/v1/create-qr-code/?size=200x200&amp;data=""&amp;ENCODEURL(""https://wa.me/507""&amp;REGEXREPLACE(C1023,""[^0-9]"","""")&amp;""?text=""&amp;ENCODEURL(""Ya llegue. Codigo: ""&amp;A1023&amp;"". Ubicacion: ""&amp;""https://www.google.com/maps/search"&amp;"/?api=1&amp;query=""&amp;SUBSTITUTE(F1023,"" "",""""))),"""")"),"")</f>
        <v/>
      </c>
      <c r="M1023" s="5" t="str">
        <f t="shared" si="6"/>
        <v/>
      </c>
      <c r="N1023" s="5" t="str">
        <f>IFERROR(__xludf.DUMMYFUNCTION("IF(AND(F1023&lt;&gt;"""",REGEXMATCH(SUBSTITUTE(F1023,"" "",""""),""^-?\d+(\.\d+)?,-?\d+(\.\d+)?$""),VALUE(REGEXEXTRACT(SUBSTITUTE(F1023,"" "",""""),""^-?\d+(\.\d+)?""))&gt;=-90,VALUE(REGEXEXTRACT(SUBSTITUTE(F1023,"" "",""""),""^-?\d+(\.\d+)?""))&lt;=90,VALUE(REGEXEXT"&amp;"RACT(SUBSTITUTE(F1023,"" "",""""),""-?\d+(\.\d+)?$""))&gt;=-180,VALUE(REGEXEXTRACT(SUBSTITUTE(F1023,"" "",""""),""-?\d+(\.\d+)?$""))&lt;=180),""OK"",""REVISAR"")"),"#N/A")</f>
        <v>#N/A</v>
      </c>
    </row>
    <row r="1024" ht="15.75" customHeight="1">
      <c r="A1024" s="5" t="str">
        <f t="shared" si="1"/>
        <v>AD507-1022</v>
      </c>
      <c r="C1024" s="5"/>
      <c r="F1024" s="5"/>
      <c r="G1024" s="5" t="str">
        <f t="shared" si="2"/>
        <v/>
      </c>
      <c r="H1024" s="5" t="str">
        <f t="shared" si="3"/>
        <v/>
      </c>
      <c r="I1024" s="5" t="str">
        <f t="shared" si="4"/>
        <v/>
      </c>
      <c r="J1024" s="5" t="str">
        <f t="shared" si="5"/>
        <v/>
      </c>
      <c r="K1024" s="5" t="str">
        <f>IFERROR(__xludf.DUMMYFUNCTION("IF(C1024&lt;&gt;"""",HYPERLINK(""https://wa.me/507""&amp;REGEXREPLACE(C1024,""[^0-9]"","""")&amp;""?text=""&amp;ENCODEURL(""Ya llegue. Codigo: ""&amp;A1024&amp;"". Ubicacion: ""&amp;""https://www.google.com/maps/search/?api=1&amp;query=""&amp;SUBSTITUTE(F1024,"" "","""")),""📲 Avisar al clien"&amp;"te""),"""")"),"")</f>
        <v/>
      </c>
      <c r="L1024" s="5" t="str">
        <f>IFERROR(__xludf.DUMMYFUNCTION("IF(C1024&lt;&gt;"""",""https://api.qrserver.com/v1/create-qr-code/?size=200x200&amp;data=""&amp;ENCODEURL(""https://wa.me/507""&amp;REGEXREPLACE(C1024,""[^0-9]"","""")&amp;""?text=""&amp;ENCODEURL(""Ya llegue. Codigo: ""&amp;A1024&amp;"". Ubicacion: ""&amp;""https://www.google.com/maps/search"&amp;"/?api=1&amp;query=""&amp;SUBSTITUTE(F1024,"" "",""""))),"""")"),"")</f>
        <v/>
      </c>
      <c r="M1024" s="5" t="str">
        <f t="shared" si="6"/>
        <v/>
      </c>
      <c r="N1024" s="5" t="str">
        <f>IFERROR(__xludf.DUMMYFUNCTION("IF(AND(F1024&lt;&gt;"""",REGEXMATCH(SUBSTITUTE(F1024,"" "",""""),""^-?\d+(\.\d+)?,-?\d+(\.\d+)?$""),VALUE(REGEXEXTRACT(SUBSTITUTE(F1024,"" "",""""),""^-?\d+(\.\d+)?""))&gt;=-90,VALUE(REGEXEXTRACT(SUBSTITUTE(F1024,"" "",""""),""^-?\d+(\.\d+)?""))&lt;=90,VALUE(REGEXEXT"&amp;"RACT(SUBSTITUTE(F1024,"" "",""""),""-?\d+(\.\d+)?$""))&gt;=-180,VALUE(REGEXEXTRACT(SUBSTITUTE(F1024,"" "",""""),""-?\d+(\.\d+)?$""))&lt;=180),""OK"",""REVISAR"")"),"#N/A")</f>
        <v>#N/A</v>
      </c>
    </row>
    <row r="1025" ht="15.75" customHeight="1">
      <c r="A1025" s="5" t="str">
        <f t="shared" si="1"/>
        <v>AD507-1023</v>
      </c>
      <c r="C1025" s="5"/>
      <c r="F1025" s="5"/>
      <c r="G1025" s="5" t="str">
        <f t="shared" si="2"/>
        <v/>
      </c>
      <c r="H1025" s="5" t="str">
        <f t="shared" si="3"/>
        <v/>
      </c>
      <c r="I1025" s="5" t="str">
        <f t="shared" si="4"/>
        <v/>
      </c>
      <c r="J1025" s="5" t="str">
        <f t="shared" si="5"/>
        <v/>
      </c>
      <c r="K1025" s="5" t="str">
        <f>IFERROR(__xludf.DUMMYFUNCTION("IF(C1025&lt;&gt;"""",HYPERLINK(""https://wa.me/507""&amp;REGEXREPLACE(C1025,""[^0-9]"","""")&amp;""?text=""&amp;ENCODEURL(""Ya llegue. Codigo: ""&amp;A1025&amp;"". Ubicacion: ""&amp;""https://www.google.com/maps/search/?api=1&amp;query=""&amp;SUBSTITUTE(F1025,"" "","""")),""📲 Avisar al clien"&amp;"te""),"""")"),"")</f>
        <v/>
      </c>
      <c r="L1025" s="5" t="str">
        <f>IFERROR(__xludf.DUMMYFUNCTION("IF(C1025&lt;&gt;"""",""https://api.qrserver.com/v1/create-qr-code/?size=200x200&amp;data=""&amp;ENCODEURL(""https://wa.me/507""&amp;REGEXREPLACE(C1025,""[^0-9]"","""")&amp;""?text=""&amp;ENCODEURL(""Ya llegue. Codigo: ""&amp;A1025&amp;"". Ubicacion: ""&amp;""https://www.google.com/maps/search"&amp;"/?api=1&amp;query=""&amp;SUBSTITUTE(F1025,"" "",""""))),"""")"),"")</f>
        <v/>
      </c>
      <c r="M1025" s="5" t="str">
        <f t="shared" si="6"/>
        <v/>
      </c>
      <c r="N1025" s="5" t="str">
        <f>IFERROR(__xludf.DUMMYFUNCTION("IF(AND(F1025&lt;&gt;"""",REGEXMATCH(SUBSTITUTE(F1025,"" "",""""),""^-?\d+(\.\d+)?,-?\d+(\.\d+)?$""),VALUE(REGEXEXTRACT(SUBSTITUTE(F1025,"" "",""""),""^-?\d+(\.\d+)?""))&gt;=-90,VALUE(REGEXEXTRACT(SUBSTITUTE(F1025,"" "",""""),""^-?\d+(\.\d+)?""))&lt;=90,VALUE(REGEXEXT"&amp;"RACT(SUBSTITUTE(F1025,"" "",""""),""-?\d+(\.\d+)?$""))&gt;=-180,VALUE(REGEXEXTRACT(SUBSTITUTE(F1025,"" "",""""),""-?\d+(\.\d+)?$""))&lt;=180),""OK"",""REVISAR"")"),"#N/A")</f>
        <v>#N/A</v>
      </c>
    </row>
    <row r="1026" ht="15.75" customHeight="1">
      <c r="A1026" s="5" t="str">
        <f t="shared" si="1"/>
        <v>AD507-1024</v>
      </c>
      <c r="C1026" s="5"/>
      <c r="F1026" s="5"/>
      <c r="G1026" s="5" t="str">
        <f t="shared" si="2"/>
        <v/>
      </c>
      <c r="H1026" s="5" t="str">
        <f t="shared" si="3"/>
        <v/>
      </c>
      <c r="I1026" s="5" t="str">
        <f t="shared" si="4"/>
        <v/>
      </c>
      <c r="J1026" s="5" t="str">
        <f t="shared" si="5"/>
        <v/>
      </c>
      <c r="K1026" s="5" t="str">
        <f>IFERROR(__xludf.DUMMYFUNCTION("IF(C1026&lt;&gt;"""",HYPERLINK(""https://wa.me/507""&amp;REGEXREPLACE(C1026,""[^0-9]"","""")&amp;""?text=""&amp;ENCODEURL(""Ya llegue. Codigo: ""&amp;A1026&amp;"". Ubicacion: ""&amp;""https://www.google.com/maps/search/?api=1&amp;query=""&amp;SUBSTITUTE(F1026,"" "","""")),""📲 Avisar al clien"&amp;"te""),"""")"),"")</f>
        <v/>
      </c>
      <c r="L1026" s="5" t="str">
        <f>IFERROR(__xludf.DUMMYFUNCTION("IF(C1026&lt;&gt;"""",""https://api.qrserver.com/v1/create-qr-code/?size=200x200&amp;data=""&amp;ENCODEURL(""https://wa.me/507""&amp;REGEXREPLACE(C1026,""[^0-9]"","""")&amp;""?text=""&amp;ENCODEURL(""Ya llegue. Codigo: ""&amp;A1026&amp;"". Ubicacion: ""&amp;""https://www.google.com/maps/search"&amp;"/?api=1&amp;query=""&amp;SUBSTITUTE(F1026,"" "",""""))),"""")"),"")</f>
        <v/>
      </c>
      <c r="M1026" s="5" t="str">
        <f t="shared" si="6"/>
        <v/>
      </c>
      <c r="N1026" s="5" t="str">
        <f>IFERROR(__xludf.DUMMYFUNCTION("IF(AND(F1026&lt;&gt;"""",REGEXMATCH(SUBSTITUTE(F1026,"" "",""""),""^-?\d+(\.\d+)?,-?\d+(\.\d+)?$""),VALUE(REGEXEXTRACT(SUBSTITUTE(F1026,"" "",""""),""^-?\d+(\.\d+)?""))&gt;=-90,VALUE(REGEXEXTRACT(SUBSTITUTE(F1026,"" "",""""),""^-?\d+(\.\d+)?""))&lt;=90,VALUE(REGEXEXT"&amp;"RACT(SUBSTITUTE(F1026,"" "",""""),""-?\d+(\.\d+)?$""))&gt;=-180,VALUE(REGEXEXTRACT(SUBSTITUTE(F1026,"" "",""""),""-?\d+(\.\d+)?$""))&lt;=180),""OK"",""REVISAR"")"),"#N/A")</f>
        <v>#N/A</v>
      </c>
    </row>
    <row r="1027" ht="15.75" customHeight="1">
      <c r="A1027" s="5" t="str">
        <f t="shared" si="1"/>
        <v>AD507-1025</v>
      </c>
      <c r="C1027" s="5"/>
      <c r="F1027" s="5"/>
      <c r="G1027" s="5" t="str">
        <f t="shared" si="2"/>
        <v/>
      </c>
      <c r="H1027" s="5" t="str">
        <f t="shared" si="3"/>
        <v/>
      </c>
      <c r="I1027" s="5" t="str">
        <f t="shared" si="4"/>
        <v/>
      </c>
      <c r="J1027" s="5" t="str">
        <f t="shared" si="5"/>
        <v/>
      </c>
      <c r="K1027" s="5" t="str">
        <f>IFERROR(__xludf.DUMMYFUNCTION("IF(C1027&lt;&gt;"""",HYPERLINK(""https://wa.me/507""&amp;REGEXREPLACE(C1027,""[^0-9]"","""")&amp;""?text=""&amp;ENCODEURL(""Ya llegue. Codigo: ""&amp;A1027&amp;"". Ubicacion: ""&amp;""https://www.google.com/maps/search/?api=1&amp;query=""&amp;SUBSTITUTE(F1027,"" "","""")),""📲 Avisar al clien"&amp;"te""),"""")"),"")</f>
        <v/>
      </c>
      <c r="L1027" s="5" t="str">
        <f>IFERROR(__xludf.DUMMYFUNCTION("IF(C1027&lt;&gt;"""",""https://api.qrserver.com/v1/create-qr-code/?size=200x200&amp;data=""&amp;ENCODEURL(""https://wa.me/507""&amp;REGEXREPLACE(C1027,""[^0-9]"","""")&amp;""?text=""&amp;ENCODEURL(""Ya llegue. Codigo: ""&amp;A1027&amp;"". Ubicacion: ""&amp;""https://www.google.com/maps/search"&amp;"/?api=1&amp;query=""&amp;SUBSTITUTE(F1027,"" "",""""))),"""")"),"")</f>
        <v/>
      </c>
      <c r="M1027" s="5" t="str">
        <f t="shared" si="6"/>
        <v/>
      </c>
      <c r="N1027" s="5" t="str">
        <f>IFERROR(__xludf.DUMMYFUNCTION("IF(AND(F1027&lt;&gt;"""",REGEXMATCH(SUBSTITUTE(F1027,"" "",""""),""^-?\d+(\.\d+)?,-?\d+(\.\d+)?$""),VALUE(REGEXEXTRACT(SUBSTITUTE(F1027,"" "",""""),""^-?\d+(\.\d+)?""))&gt;=-90,VALUE(REGEXEXTRACT(SUBSTITUTE(F1027,"" "",""""),""^-?\d+(\.\d+)?""))&lt;=90,VALUE(REGEXEXT"&amp;"RACT(SUBSTITUTE(F1027,"" "",""""),""-?\d+(\.\d+)?$""))&gt;=-180,VALUE(REGEXEXTRACT(SUBSTITUTE(F1027,"" "",""""),""-?\d+(\.\d+)?$""))&lt;=180),""OK"",""REVISAR"")"),"#N/A")</f>
        <v>#N/A</v>
      </c>
    </row>
    <row r="1028" ht="15.75" customHeight="1">
      <c r="A1028" s="5" t="str">
        <f t="shared" si="1"/>
        <v>AD507-1026</v>
      </c>
      <c r="C1028" s="5"/>
      <c r="F1028" s="5"/>
      <c r="G1028" s="5" t="str">
        <f t="shared" si="2"/>
        <v/>
      </c>
      <c r="H1028" s="5" t="str">
        <f t="shared" si="3"/>
        <v/>
      </c>
      <c r="I1028" s="5" t="str">
        <f t="shared" si="4"/>
        <v/>
      </c>
      <c r="J1028" s="5" t="str">
        <f t="shared" si="5"/>
        <v/>
      </c>
      <c r="K1028" s="5" t="str">
        <f>IFERROR(__xludf.DUMMYFUNCTION("IF(C1028&lt;&gt;"""",HYPERLINK(""https://wa.me/507""&amp;REGEXREPLACE(C1028,""[^0-9]"","""")&amp;""?text=""&amp;ENCODEURL(""Ya llegue. Codigo: ""&amp;A1028&amp;"". Ubicacion: ""&amp;""https://www.google.com/maps/search/?api=1&amp;query=""&amp;SUBSTITUTE(F1028,"" "","""")),""📲 Avisar al clien"&amp;"te""),"""")"),"")</f>
        <v/>
      </c>
      <c r="L1028" s="5" t="str">
        <f>IFERROR(__xludf.DUMMYFUNCTION("IF(C1028&lt;&gt;"""",""https://api.qrserver.com/v1/create-qr-code/?size=200x200&amp;data=""&amp;ENCODEURL(""https://wa.me/507""&amp;REGEXREPLACE(C1028,""[^0-9]"","""")&amp;""?text=""&amp;ENCODEURL(""Ya llegue. Codigo: ""&amp;A1028&amp;"". Ubicacion: ""&amp;""https://www.google.com/maps/search"&amp;"/?api=1&amp;query=""&amp;SUBSTITUTE(F1028,"" "",""""))),"""")"),"")</f>
        <v/>
      </c>
      <c r="M1028" s="5" t="str">
        <f t="shared" si="6"/>
        <v/>
      </c>
      <c r="N1028" s="5" t="str">
        <f>IFERROR(__xludf.DUMMYFUNCTION("IF(AND(F1028&lt;&gt;"""",REGEXMATCH(SUBSTITUTE(F1028,"" "",""""),""^-?\d+(\.\d+)?,-?\d+(\.\d+)?$""),VALUE(REGEXEXTRACT(SUBSTITUTE(F1028,"" "",""""),""^-?\d+(\.\d+)?""))&gt;=-90,VALUE(REGEXEXTRACT(SUBSTITUTE(F1028,"" "",""""),""^-?\d+(\.\d+)?""))&lt;=90,VALUE(REGEXEXT"&amp;"RACT(SUBSTITUTE(F1028,"" "",""""),""-?\d+(\.\d+)?$""))&gt;=-180,VALUE(REGEXEXTRACT(SUBSTITUTE(F1028,"" "",""""),""-?\d+(\.\d+)?$""))&lt;=180),""OK"",""REVISAR"")"),"#N/A")</f>
        <v>#N/A</v>
      </c>
    </row>
    <row r="1029" ht="15.75" customHeight="1">
      <c r="A1029" s="5" t="str">
        <f t="shared" si="1"/>
        <v>AD507-1027</v>
      </c>
      <c r="C1029" s="5"/>
      <c r="F1029" s="5"/>
      <c r="G1029" s="5" t="str">
        <f t="shared" si="2"/>
        <v/>
      </c>
      <c r="H1029" s="5" t="str">
        <f t="shared" si="3"/>
        <v/>
      </c>
      <c r="I1029" s="5" t="str">
        <f t="shared" si="4"/>
        <v/>
      </c>
      <c r="J1029" s="5" t="str">
        <f t="shared" si="5"/>
        <v/>
      </c>
      <c r="K1029" s="5" t="str">
        <f>IFERROR(__xludf.DUMMYFUNCTION("IF(C1029&lt;&gt;"""",HYPERLINK(""https://wa.me/507""&amp;REGEXREPLACE(C1029,""[^0-9]"","""")&amp;""?text=""&amp;ENCODEURL(""Ya llegue. Codigo: ""&amp;A1029&amp;"". Ubicacion: ""&amp;""https://www.google.com/maps/search/?api=1&amp;query=""&amp;SUBSTITUTE(F1029,"" "","""")),""📲 Avisar al clien"&amp;"te""),"""")"),"")</f>
        <v/>
      </c>
      <c r="L1029" s="5" t="str">
        <f>IFERROR(__xludf.DUMMYFUNCTION("IF(C1029&lt;&gt;"""",""https://api.qrserver.com/v1/create-qr-code/?size=200x200&amp;data=""&amp;ENCODEURL(""https://wa.me/507""&amp;REGEXREPLACE(C1029,""[^0-9]"","""")&amp;""?text=""&amp;ENCODEURL(""Ya llegue. Codigo: ""&amp;A1029&amp;"". Ubicacion: ""&amp;""https://www.google.com/maps/search"&amp;"/?api=1&amp;query=""&amp;SUBSTITUTE(F1029,"" "",""""))),"""")"),"")</f>
        <v/>
      </c>
      <c r="M1029" s="5" t="str">
        <f t="shared" si="6"/>
        <v/>
      </c>
      <c r="N1029" s="5" t="str">
        <f>IFERROR(__xludf.DUMMYFUNCTION("IF(AND(F1029&lt;&gt;"""",REGEXMATCH(SUBSTITUTE(F1029,"" "",""""),""^-?\d+(\.\d+)?,-?\d+(\.\d+)?$""),VALUE(REGEXEXTRACT(SUBSTITUTE(F1029,"" "",""""),""^-?\d+(\.\d+)?""))&gt;=-90,VALUE(REGEXEXTRACT(SUBSTITUTE(F1029,"" "",""""),""^-?\d+(\.\d+)?""))&lt;=90,VALUE(REGEXEXT"&amp;"RACT(SUBSTITUTE(F1029,"" "",""""),""-?\d+(\.\d+)?$""))&gt;=-180,VALUE(REGEXEXTRACT(SUBSTITUTE(F1029,"" "",""""),""-?\d+(\.\d+)?$""))&lt;=180),""OK"",""REVISAR"")"),"#N/A")</f>
        <v>#N/A</v>
      </c>
    </row>
    <row r="1030" ht="15.75" customHeight="1">
      <c r="A1030" s="5" t="str">
        <f t="shared" si="1"/>
        <v>AD507-1028</v>
      </c>
      <c r="C1030" s="5"/>
      <c r="F1030" s="5"/>
      <c r="G1030" s="5" t="str">
        <f t="shared" si="2"/>
        <v/>
      </c>
      <c r="H1030" s="5" t="str">
        <f t="shared" si="3"/>
        <v/>
      </c>
      <c r="I1030" s="5" t="str">
        <f t="shared" si="4"/>
        <v/>
      </c>
      <c r="J1030" s="5" t="str">
        <f t="shared" si="5"/>
        <v/>
      </c>
      <c r="K1030" s="5" t="str">
        <f>IFERROR(__xludf.DUMMYFUNCTION("IF(C1030&lt;&gt;"""",HYPERLINK(""https://wa.me/507""&amp;REGEXREPLACE(C1030,""[^0-9]"","""")&amp;""?text=""&amp;ENCODEURL(""Ya llegue. Codigo: ""&amp;A1030&amp;"". Ubicacion: ""&amp;""https://www.google.com/maps/search/?api=1&amp;query=""&amp;SUBSTITUTE(F1030,"" "","""")),""📲 Avisar al clien"&amp;"te""),"""")"),"")</f>
        <v/>
      </c>
      <c r="L1030" s="5" t="str">
        <f>IFERROR(__xludf.DUMMYFUNCTION("IF(C1030&lt;&gt;"""",""https://api.qrserver.com/v1/create-qr-code/?size=200x200&amp;data=""&amp;ENCODEURL(""https://wa.me/507""&amp;REGEXREPLACE(C1030,""[^0-9]"","""")&amp;""?text=""&amp;ENCODEURL(""Ya llegue. Codigo: ""&amp;A1030&amp;"". Ubicacion: ""&amp;""https://www.google.com/maps/search"&amp;"/?api=1&amp;query=""&amp;SUBSTITUTE(F1030,"" "",""""))),"""")"),"")</f>
        <v/>
      </c>
      <c r="M1030" s="5" t="str">
        <f t="shared" si="6"/>
        <v/>
      </c>
      <c r="N1030" s="5" t="str">
        <f>IFERROR(__xludf.DUMMYFUNCTION("IF(AND(F1030&lt;&gt;"""",REGEXMATCH(SUBSTITUTE(F1030,"" "",""""),""^-?\d+(\.\d+)?,-?\d+(\.\d+)?$""),VALUE(REGEXEXTRACT(SUBSTITUTE(F1030,"" "",""""),""^-?\d+(\.\d+)?""))&gt;=-90,VALUE(REGEXEXTRACT(SUBSTITUTE(F1030,"" "",""""),""^-?\d+(\.\d+)?""))&lt;=90,VALUE(REGEXEXT"&amp;"RACT(SUBSTITUTE(F1030,"" "",""""),""-?\d+(\.\d+)?$""))&gt;=-180,VALUE(REGEXEXTRACT(SUBSTITUTE(F1030,"" "",""""),""-?\d+(\.\d+)?$""))&lt;=180),""OK"",""REVISAR"")"),"#N/A")</f>
        <v>#N/A</v>
      </c>
    </row>
    <row r="1031" ht="15.75" customHeight="1">
      <c r="A1031" s="5" t="str">
        <f t="shared" si="1"/>
        <v>AD507-1029</v>
      </c>
      <c r="C1031" s="5"/>
      <c r="F1031" s="5"/>
      <c r="G1031" s="5" t="str">
        <f t="shared" si="2"/>
        <v/>
      </c>
      <c r="H1031" s="5" t="str">
        <f t="shared" si="3"/>
        <v/>
      </c>
      <c r="I1031" s="5" t="str">
        <f t="shared" si="4"/>
        <v/>
      </c>
      <c r="J1031" s="5" t="str">
        <f t="shared" si="5"/>
        <v/>
      </c>
      <c r="K1031" s="5" t="str">
        <f>IFERROR(__xludf.DUMMYFUNCTION("IF(C1031&lt;&gt;"""",HYPERLINK(""https://wa.me/507""&amp;REGEXREPLACE(C1031,""[^0-9]"","""")&amp;""?text=""&amp;ENCODEURL(""Ya llegue. Codigo: ""&amp;A1031&amp;"". Ubicacion: ""&amp;""https://www.google.com/maps/search/?api=1&amp;query=""&amp;SUBSTITUTE(F1031,"" "","""")),""📲 Avisar al clien"&amp;"te""),"""")"),"")</f>
        <v/>
      </c>
      <c r="L1031" s="5" t="str">
        <f>IFERROR(__xludf.DUMMYFUNCTION("IF(C1031&lt;&gt;"""",""https://api.qrserver.com/v1/create-qr-code/?size=200x200&amp;data=""&amp;ENCODEURL(""https://wa.me/507""&amp;REGEXREPLACE(C1031,""[^0-9]"","""")&amp;""?text=""&amp;ENCODEURL(""Ya llegue. Codigo: ""&amp;A1031&amp;"". Ubicacion: ""&amp;""https://www.google.com/maps/search"&amp;"/?api=1&amp;query=""&amp;SUBSTITUTE(F1031,"" "",""""))),"""")"),"")</f>
        <v/>
      </c>
      <c r="M1031" s="5" t="str">
        <f t="shared" si="6"/>
        <v/>
      </c>
      <c r="N1031" s="5" t="str">
        <f>IFERROR(__xludf.DUMMYFUNCTION("IF(AND(F1031&lt;&gt;"""",REGEXMATCH(SUBSTITUTE(F1031,"" "",""""),""^-?\d+(\.\d+)?,-?\d+(\.\d+)?$""),VALUE(REGEXEXTRACT(SUBSTITUTE(F1031,"" "",""""),""^-?\d+(\.\d+)?""))&gt;=-90,VALUE(REGEXEXTRACT(SUBSTITUTE(F1031,"" "",""""),""^-?\d+(\.\d+)?""))&lt;=90,VALUE(REGEXEXT"&amp;"RACT(SUBSTITUTE(F1031,"" "",""""),""-?\d+(\.\d+)?$""))&gt;=-180,VALUE(REGEXEXTRACT(SUBSTITUTE(F1031,"" "",""""),""-?\d+(\.\d+)?$""))&lt;=180),""OK"",""REVISAR"")"),"#N/A")</f>
        <v>#N/A</v>
      </c>
    </row>
    <row r="1032" ht="15.75" customHeight="1">
      <c r="A1032" s="5" t="str">
        <f t="shared" si="1"/>
        <v>AD507-1030</v>
      </c>
      <c r="C1032" s="5"/>
      <c r="F1032" s="5"/>
      <c r="G1032" s="5" t="str">
        <f t="shared" si="2"/>
        <v/>
      </c>
      <c r="H1032" s="5" t="str">
        <f t="shared" si="3"/>
        <v/>
      </c>
      <c r="I1032" s="5" t="str">
        <f t="shared" si="4"/>
        <v/>
      </c>
      <c r="J1032" s="5" t="str">
        <f t="shared" si="5"/>
        <v/>
      </c>
      <c r="K1032" s="5" t="str">
        <f>IFERROR(__xludf.DUMMYFUNCTION("IF(C1032&lt;&gt;"""",HYPERLINK(""https://wa.me/507""&amp;REGEXREPLACE(C1032,""[^0-9]"","""")&amp;""?text=""&amp;ENCODEURL(""Ya llegue. Codigo: ""&amp;A1032&amp;"". Ubicacion: ""&amp;""https://www.google.com/maps/search/?api=1&amp;query=""&amp;SUBSTITUTE(F1032,"" "","""")),""📲 Avisar al clien"&amp;"te""),"""")"),"")</f>
        <v/>
      </c>
      <c r="L1032" s="5" t="str">
        <f>IFERROR(__xludf.DUMMYFUNCTION("IF(C1032&lt;&gt;"""",""https://api.qrserver.com/v1/create-qr-code/?size=200x200&amp;data=""&amp;ENCODEURL(""https://wa.me/507""&amp;REGEXREPLACE(C1032,""[^0-9]"","""")&amp;""?text=""&amp;ENCODEURL(""Ya llegue. Codigo: ""&amp;A1032&amp;"". Ubicacion: ""&amp;""https://www.google.com/maps/search"&amp;"/?api=1&amp;query=""&amp;SUBSTITUTE(F1032,"" "",""""))),"""")"),"")</f>
        <v/>
      </c>
      <c r="M1032" s="5" t="str">
        <f t="shared" si="6"/>
        <v/>
      </c>
      <c r="N1032" s="5" t="str">
        <f>IFERROR(__xludf.DUMMYFUNCTION("IF(AND(F1032&lt;&gt;"""",REGEXMATCH(SUBSTITUTE(F1032,"" "",""""),""^-?\d+(\.\d+)?,-?\d+(\.\d+)?$""),VALUE(REGEXEXTRACT(SUBSTITUTE(F1032,"" "",""""),""^-?\d+(\.\d+)?""))&gt;=-90,VALUE(REGEXEXTRACT(SUBSTITUTE(F1032,"" "",""""),""^-?\d+(\.\d+)?""))&lt;=90,VALUE(REGEXEXT"&amp;"RACT(SUBSTITUTE(F1032,"" "",""""),""-?\d+(\.\d+)?$""))&gt;=-180,VALUE(REGEXEXTRACT(SUBSTITUTE(F1032,"" "",""""),""-?\d+(\.\d+)?$""))&lt;=180),""OK"",""REVISAR"")"),"#N/A")</f>
        <v>#N/A</v>
      </c>
    </row>
    <row r="1033" ht="15.75" customHeight="1">
      <c r="A1033" s="5" t="str">
        <f t="shared" si="1"/>
        <v>AD507-1031</v>
      </c>
      <c r="C1033" s="5"/>
      <c r="F1033" s="5"/>
      <c r="G1033" s="5" t="str">
        <f t="shared" si="2"/>
        <v/>
      </c>
      <c r="H1033" s="5" t="str">
        <f t="shared" si="3"/>
        <v/>
      </c>
      <c r="I1033" s="5" t="str">
        <f t="shared" si="4"/>
        <v/>
      </c>
      <c r="J1033" s="5" t="str">
        <f t="shared" si="5"/>
        <v/>
      </c>
      <c r="K1033" s="5" t="str">
        <f>IFERROR(__xludf.DUMMYFUNCTION("IF(C1033&lt;&gt;"""",HYPERLINK(""https://wa.me/507""&amp;REGEXREPLACE(C1033,""[^0-9]"","""")&amp;""?text=""&amp;ENCODEURL(""Ya llegue. Codigo: ""&amp;A1033&amp;"". Ubicacion: ""&amp;""https://www.google.com/maps/search/?api=1&amp;query=""&amp;SUBSTITUTE(F1033,"" "","""")),""📲 Avisar al clien"&amp;"te""),"""")"),"")</f>
        <v/>
      </c>
      <c r="L1033" s="5" t="str">
        <f>IFERROR(__xludf.DUMMYFUNCTION("IF(C1033&lt;&gt;"""",""https://api.qrserver.com/v1/create-qr-code/?size=200x200&amp;data=""&amp;ENCODEURL(""https://wa.me/507""&amp;REGEXREPLACE(C1033,""[^0-9]"","""")&amp;""?text=""&amp;ENCODEURL(""Ya llegue. Codigo: ""&amp;A1033&amp;"". Ubicacion: ""&amp;""https://www.google.com/maps/search"&amp;"/?api=1&amp;query=""&amp;SUBSTITUTE(F1033,"" "",""""))),"""")"),"")</f>
        <v/>
      </c>
      <c r="M1033" s="5" t="str">
        <f t="shared" si="6"/>
        <v/>
      </c>
      <c r="N1033" s="5" t="str">
        <f>IFERROR(__xludf.DUMMYFUNCTION("IF(AND(F1033&lt;&gt;"""",REGEXMATCH(SUBSTITUTE(F1033,"" "",""""),""^-?\d+(\.\d+)?,-?\d+(\.\d+)?$""),VALUE(REGEXEXTRACT(SUBSTITUTE(F1033,"" "",""""),""^-?\d+(\.\d+)?""))&gt;=-90,VALUE(REGEXEXTRACT(SUBSTITUTE(F1033,"" "",""""),""^-?\d+(\.\d+)?""))&lt;=90,VALUE(REGEXEXT"&amp;"RACT(SUBSTITUTE(F1033,"" "",""""),""-?\d+(\.\d+)?$""))&gt;=-180,VALUE(REGEXEXTRACT(SUBSTITUTE(F1033,"" "",""""),""-?\d+(\.\d+)?$""))&lt;=180),""OK"",""REVISAR"")"),"#N/A")</f>
        <v>#N/A</v>
      </c>
    </row>
    <row r="1034" ht="15.75" customHeight="1">
      <c r="A1034" s="5" t="str">
        <f t="shared" si="1"/>
        <v>AD507-1032</v>
      </c>
      <c r="C1034" s="5"/>
      <c r="F1034" s="5"/>
      <c r="G1034" s="5" t="str">
        <f t="shared" si="2"/>
        <v/>
      </c>
      <c r="H1034" s="5" t="str">
        <f t="shared" si="3"/>
        <v/>
      </c>
      <c r="I1034" s="5" t="str">
        <f t="shared" si="4"/>
        <v/>
      </c>
      <c r="J1034" s="5" t="str">
        <f t="shared" si="5"/>
        <v/>
      </c>
      <c r="K1034" s="5" t="str">
        <f>IFERROR(__xludf.DUMMYFUNCTION("IF(C1034&lt;&gt;"""",HYPERLINK(""https://wa.me/507""&amp;REGEXREPLACE(C1034,""[^0-9]"","""")&amp;""?text=""&amp;ENCODEURL(""Ya llegue. Codigo: ""&amp;A1034&amp;"". Ubicacion: ""&amp;""https://www.google.com/maps/search/?api=1&amp;query=""&amp;SUBSTITUTE(F1034,"" "","""")),""📲 Avisar al clien"&amp;"te""),"""")"),"")</f>
        <v/>
      </c>
      <c r="L1034" s="5" t="str">
        <f>IFERROR(__xludf.DUMMYFUNCTION("IF(C1034&lt;&gt;"""",""https://api.qrserver.com/v1/create-qr-code/?size=200x200&amp;data=""&amp;ENCODEURL(""https://wa.me/507""&amp;REGEXREPLACE(C1034,""[^0-9]"","""")&amp;""?text=""&amp;ENCODEURL(""Ya llegue. Codigo: ""&amp;A1034&amp;"". Ubicacion: ""&amp;""https://www.google.com/maps/search"&amp;"/?api=1&amp;query=""&amp;SUBSTITUTE(F1034,"" "",""""))),"""")"),"")</f>
        <v/>
      </c>
      <c r="M1034" s="5" t="str">
        <f t="shared" si="6"/>
        <v/>
      </c>
      <c r="N1034" s="5" t="str">
        <f>IFERROR(__xludf.DUMMYFUNCTION("IF(AND(F1034&lt;&gt;"""",REGEXMATCH(SUBSTITUTE(F1034,"" "",""""),""^-?\d+(\.\d+)?,-?\d+(\.\d+)?$""),VALUE(REGEXEXTRACT(SUBSTITUTE(F1034,"" "",""""),""^-?\d+(\.\d+)?""))&gt;=-90,VALUE(REGEXEXTRACT(SUBSTITUTE(F1034,"" "",""""),""^-?\d+(\.\d+)?""))&lt;=90,VALUE(REGEXEXT"&amp;"RACT(SUBSTITUTE(F1034,"" "",""""),""-?\d+(\.\d+)?$""))&gt;=-180,VALUE(REGEXEXTRACT(SUBSTITUTE(F1034,"" "",""""),""-?\d+(\.\d+)?$""))&lt;=180),""OK"",""REVISAR"")"),"#N/A")</f>
        <v>#N/A</v>
      </c>
    </row>
    <row r="1035" ht="15.75" customHeight="1">
      <c r="A1035" s="5" t="str">
        <f t="shared" si="1"/>
        <v>AD507-1033</v>
      </c>
      <c r="C1035" s="5"/>
      <c r="F1035" s="5"/>
      <c r="G1035" s="5" t="str">
        <f t="shared" si="2"/>
        <v/>
      </c>
      <c r="H1035" s="5" t="str">
        <f t="shared" si="3"/>
        <v/>
      </c>
      <c r="I1035" s="5" t="str">
        <f t="shared" si="4"/>
        <v/>
      </c>
      <c r="J1035" s="5" t="str">
        <f t="shared" si="5"/>
        <v/>
      </c>
      <c r="K1035" s="5" t="str">
        <f>IFERROR(__xludf.DUMMYFUNCTION("IF(C1035&lt;&gt;"""",HYPERLINK(""https://wa.me/507""&amp;REGEXREPLACE(C1035,""[^0-9]"","""")&amp;""?text=""&amp;ENCODEURL(""Ya llegue. Codigo: ""&amp;A1035&amp;"". Ubicacion: ""&amp;""https://www.google.com/maps/search/?api=1&amp;query=""&amp;SUBSTITUTE(F1035,"" "","""")),""📲 Avisar al clien"&amp;"te""),"""")"),"")</f>
        <v/>
      </c>
      <c r="L1035" s="5" t="str">
        <f>IFERROR(__xludf.DUMMYFUNCTION("IF(C1035&lt;&gt;"""",""https://api.qrserver.com/v1/create-qr-code/?size=200x200&amp;data=""&amp;ENCODEURL(""https://wa.me/507""&amp;REGEXREPLACE(C1035,""[^0-9]"","""")&amp;""?text=""&amp;ENCODEURL(""Ya llegue. Codigo: ""&amp;A1035&amp;"". Ubicacion: ""&amp;""https://www.google.com/maps/search"&amp;"/?api=1&amp;query=""&amp;SUBSTITUTE(F1035,"" "",""""))),"""")"),"")</f>
        <v/>
      </c>
      <c r="M1035" s="5" t="str">
        <f t="shared" si="6"/>
        <v/>
      </c>
      <c r="N1035" s="5" t="str">
        <f>IFERROR(__xludf.DUMMYFUNCTION("IF(AND(F1035&lt;&gt;"""",REGEXMATCH(SUBSTITUTE(F1035,"" "",""""),""^-?\d+(\.\d+)?,-?\d+(\.\d+)?$""),VALUE(REGEXEXTRACT(SUBSTITUTE(F1035,"" "",""""),""^-?\d+(\.\d+)?""))&gt;=-90,VALUE(REGEXEXTRACT(SUBSTITUTE(F1035,"" "",""""),""^-?\d+(\.\d+)?""))&lt;=90,VALUE(REGEXEXT"&amp;"RACT(SUBSTITUTE(F1035,"" "",""""),""-?\d+(\.\d+)?$""))&gt;=-180,VALUE(REGEXEXTRACT(SUBSTITUTE(F1035,"" "",""""),""-?\d+(\.\d+)?$""))&lt;=180),""OK"",""REVISAR"")"),"#N/A")</f>
        <v>#N/A</v>
      </c>
    </row>
    <row r="1036" ht="15.75" customHeight="1">
      <c r="A1036" s="5" t="str">
        <f t="shared" si="1"/>
        <v>AD507-1034</v>
      </c>
      <c r="C1036" s="5"/>
      <c r="F1036" s="5"/>
      <c r="G1036" s="5" t="str">
        <f t="shared" si="2"/>
        <v/>
      </c>
      <c r="H1036" s="5" t="str">
        <f t="shared" si="3"/>
        <v/>
      </c>
      <c r="I1036" s="5" t="str">
        <f t="shared" si="4"/>
        <v/>
      </c>
      <c r="J1036" s="5" t="str">
        <f t="shared" si="5"/>
        <v/>
      </c>
      <c r="K1036" s="5" t="str">
        <f>IFERROR(__xludf.DUMMYFUNCTION("IF(C1036&lt;&gt;"""",HYPERLINK(""https://wa.me/507""&amp;REGEXREPLACE(C1036,""[^0-9]"","""")&amp;""?text=""&amp;ENCODEURL(""Ya llegue. Codigo: ""&amp;A1036&amp;"". Ubicacion: ""&amp;""https://www.google.com/maps/search/?api=1&amp;query=""&amp;SUBSTITUTE(F1036,"" "","""")),""📲 Avisar al clien"&amp;"te""),"""")"),"")</f>
        <v/>
      </c>
      <c r="L1036" s="5" t="str">
        <f>IFERROR(__xludf.DUMMYFUNCTION("IF(C1036&lt;&gt;"""",""https://api.qrserver.com/v1/create-qr-code/?size=200x200&amp;data=""&amp;ENCODEURL(""https://wa.me/507""&amp;REGEXREPLACE(C1036,""[^0-9]"","""")&amp;""?text=""&amp;ENCODEURL(""Ya llegue. Codigo: ""&amp;A1036&amp;"". Ubicacion: ""&amp;""https://www.google.com/maps/search"&amp;"/?api=1&amp;query=""&amp;SUBSTITUTE(F1036,"" "",""""))),"""")"),"")</f>
        <v/>
      </c>
      <c r="M1036" s="5" t="str">
        <f t="shared" si="6"/>
        <v/>
      </c>
      <c r="N1036" s="5" t="str">
        <f>IFERROR(__xludf.DUMMYFUNCTION("IF(AND(F1036&lt;&gt;"""",REGEXMATCH(SUBSTITUTE(F1036,"" "",""""),""^-?\d+(\.\d+)?,-?\d+(\.\d+)?$""),VALUE(REGEXEXTRACT(SUBSTITUTE(F1036,"" "",""""),""^-?\d+(\.\d+)?""))&gt;=-90,VALUE(REGEXEXTRACT(SUBSTITUTE(F1036,"" "",""""),""^-?\d+(\.\d+)?""))&lt;=90,VALUE(REGEXEXT"&amp;"RACT(SUBSTITUTE(F1036,"" "",""""),""-?\d+(\.\d+)?$""))&gt;=-180,VALUE(REGEXEXTRACT(SUBSTITUTE(F1036,"" "",""""),""-?\d+(\.\d+)?$""))&lt;=180),""OK"",""REVISAR"")"),"#N/A")</f>
        <v>#N/A</v>
      </c>
    </row>
    <row r="1037" ht="15.75" customHeight="1">
      <c r="A1037" s="5" t="str">
        <f t="shared" si="1"/>
        <v>AD507-1035</v>
      </c>
      <c r="C1037" s="5"/>
      <c r="F1037" s="5"/>
      <c r="G1037" s="5" t="str">
        <f t="shared" si="2"/>
        <v/>
      </c>
      <c r="H1037" s="5" t="str">
        <f t="shared" si="3"/>
        <v/>
      </c>
      <c r="I1037" s="5" t="str">
        <f t="shared" si="4"/>
        <v/>
      </c>
      <c r="J1037" s="5" t="str">
        <f t="shared" si="5"/>
        <v/>
      </c>
      <c r="K1037" s="5" t="str">
        <f>IFERROR(__xludf.DUMMYFUNCTION("IF(C1037&lt;&gt;"""",HYPERLINK(""https://wa.me/507""&amp;REGEXREPLACE(C1037,""[^0-9]"","""")&amp;""?text=""&amp;ENCODEURL(""Ya llegue. Codigo: ""&amp;A1037&amp;"". Ubicacion: ""&amp;""https://www.google.com/maps/search/?api=1&amp;query=""&amp;SUBSTITUTE(F1037,"" "","""")),""📲 Avisar al clien"&amp;"te""),"""")"),"")</f>
        <v/>
      </c>
      <c r="L1037" s="5" t="str">
        <f>IFERROR(__xludf.DUMMYFUNCTION("IF(C1037&lt;&gt;"""",""https://api.qrserver.com/v1/create-qr-code/?size=200x200&amp;data=""&amp;ENCODEURL(""https://wa.me/507""&amp;REGEXREPLACE(C1037,""[^0-9]"","""")&amp;""?text=""&amp;ENCODEURL(""Ya llegue. Codigo: ""&amp;A1037&amp;"". Ubicacion: ""&amp;""https://www.google.com/maps/search"&amp;"/?api=1&amp;query=""&amp;SUBSTITUTE(F1037,"" "",""""))),"""")"),"")</f>
        <v/>
      </c>
      <c r="M1037" s="5" t="str">
        <f t="shared" si="6"/>
        <v/>
      </c>
      <c r="N1037" s="5" t="str">
        <f>IFERROR(__xludf.DUMMYFUNCTION("IF(AND(F1037&lt;&gt;"""",REGEXMATCH(SUBSTITUTE(F1037,"" "",""""),""^-?\d+(\.\d+)?,-?\d+(\.\d+)?$""),VALUE(REGEXEXTRACT(SUBSTITUTE(F1037,"" "",""""),""^-?\d+(\.\d+)?""))&gt;=-90,VALUE(REGEXEXTRACT(SUBSTITUTE(F1037,"" "",""""),""^-?\d+(\.\d+)?""))&lt;=90,VALUE(REGEXEXT"&amp;"RACT(SUBSTITUTE(F1037,"" "",""""),""-?\d+(\.\d+)?$""))&gt;=-180,VALUE(REGEXEXTRACT(SUBSTITUTE(F1037,"" "",""""),""-?\d+(\.\d+)?$""))&lt;=180),""OK"",""REVISAR"")"),"#N/A")</f>
        <v>#N/A</v>
      </c>
    </row>
    <row r="1038" ht="15.75" customHeight="1">
      <c r="A1038" s="5" t="str">
        <f t="shared" si="1"/>
        <v>AD507-1036</v>
      </c>
      <c r="C1038" s="5"/>
      <c r="F1038" s="5"/>
      <c r="G1038" s="5" t="str">
        <f t="shared" si="2"/>
        <v/>
      </c>
      <c r="H1038" s="5" t="str">
        <f t="shared" si="3"/>
        <v/>
      </c>
      <c r="I1038" s="5" t="str">
        <f t="shared" si="4"/>
        <v/>
      </c>
      <c r="J1038" s="5" t="str">
        <f t="shared" si="5"/>
        <v/>
      </c>
      <c r="K1038" s="5" t="str">
        <f>IFERROR(__xludf.DUMMYFUNCTION("IF(C1038&lt;&gt;"""",HYPERLINK(""https://wa.me/507""&amp;REGEXREPLACE(C1038,""[^0-9]"","""")&amp;""?text=""&amp;ENCODEURL(""Ya llegue. Codigo: ""&amp;A1038&amp;"". Ubicacion: ""&amp;""https://www.google.com/maps/search/?api=1&amp;query=""&amp;SUBSTITUTE(F1038,"" "","""")),""📲 Avisar al clien"&amp;"te""),"""")"),"")</f>
        <v/>
      </c>
      <c r="L1038" s="5" t="str">
        <f>IFERROR(__xludf.DUMMYFUNCTION("IF(C1038&lt;&gt;"""",""https://api.qrserver.com/v1/create-qr-code/?size=200x200&amp;data=""&amp;ENCODEURL(""https://wa.me/507""&amp;REGEXREPLACE(C1038,""[^0-9]"","""")&amp;""?text=""&amp;ENCODEURL(""Ya llegue. Codigo: ""&amp;A1038&amp;"". Ubicacion: ""&amp;""https://www.google.com/maps/search"&amp;"/?api=1&amp;query=""&amp;SUBSTITUTE(F1038,"" "",""""))),"""")"),"")</f>
        <v/>
      </c>
      <c r="M1038" s="5" t="str">
        <f t="shared" si="6"/>
        <v/>
      </c>
      <c r="N1038" s="5" t="str">
        <f>IFERROR(__xludf.DUMMYFUNCTION("IF(AND(F1038&lt;&gt;"""",REGEXMATCH(SUBSTITUTE(F1038,"" "",""""),""^-?\d+(\.\d+)?,-?\d+(\.\d+)?$""),VALUE(REGEXEXTRACT(SUBSTITUTE(F1038,"" "",""""),""^-?\d+(\.\d+)?""))&gt;=-90,VALUE(REGEXEXTRACT(SUBSTITUTE(F1038,"" "",""""),""^-?\d+(\.\d+)?""))&lt;=90,VALUE(REGEXEXT"&amp;"RACT(SUBSTITUTE(F1038,"" "",""""),""-?\d+(\.\d+)?$""))&gt;=-180,VALUE(REGEXEXTRACT(SUBSTITUTE(F1038,"" "",""""),""-?\d+(\.\d+)?$""))&lt;=180),""OK"",""REVISAR"")"),"#N/A")</f>
        <v>#N/A</v>
      </c>
    </row>
    <row r="1039" ht="15.75" customHeight="1">
      <c r="A1039" s="5" t="str">
        <f t="shared" si="1"/>
        <v>AD507-1037</v>
      </c>
      <c r="C1039" s="5"/>
      <c r="F1039" s="5"/>
      <c r="G1039" s="5" t="str">
        <f t="shared" si="2"/>
        <v/>
      </c>
      <c r="H1039" s="5" t="str">
        <f t="shared" si="3"/>
        <v/>
      </c>
      <c r="I1039" s="5" t="str">
        <f t="shared" si="4"/>
        <v/>
      </c>
      <c r="J1039" s="5" t="str">
        <f t="shared" si="5"/>
        <v/>
      </c>
      <c r="K1039" s="5" t="str">
        <f>IFERROR(__xludf.DUMMYFUNCTION("IF(C1039&lt;&gt;"""",HYPERLINK(""https://wa.me/507""&amp;REGEXREPLACE(C1039,""[^0-9]"","""")&amp;""?text=""&amp;ENCODEURL(""Ya llegue. Codigo: ""&amp;A1039&amp;"". Ubicacion: ""&amp;""https://www.google.com/maps/search/?api=1&amp;query=""&amp;SUBSTITUTE(F1039,"" "","""")),""📲 Avisar al clien"&amp;"te""),"""")"),"")</f>
        <v/>
      </c>
      <c r="L1039" s="5" t="str">
        <f>IFERROR(__xludf.DUMMYFUNCTION("IF(C1039&lt;&gt;"""",""https://api.qrserver.com/v1/create-qr-code/?size=200x200&amp;data=""&amp;ENCODEURL(""https://wa.me/507""&amp;REGEXREPLACE(C1039,""[^0-9]"","""")&amp;""?text=""&amp;ENCODEURL(""Ya llegue. Codigo: ""&amp;A1039&amp;"". Ubicacion: ""&amp;""https://www.google.com/maps/search"&amp;"/?api=1&amp;query=""&amp;SUBSTITUTE(F1039,"" "",""""))),"""")"),"")</f>
        <v/>
      </c>
      <c r="M1039" s="5" t="str">
        <f t="shared" si="6"/>
        <v/>
      </c>
      <c r="N1039" s="5" t="str">
        <f>IFERROR(__xludf.DUMMYFUNCTION("IF(AND(F1039&lt;&gt;"""",REGEXMATCH(SUBSTITUTE(F1039,"" "",""""),""^-?\d+(\.\d+)?,-?\d+(\.\d+)?$""),VALUE(REGEXEXTRACT(SUBSTITUTE(F1039,"" "",""""),""^-?\d+(\.\d+)?""))&gt;=-90,VALUE(REGEXEXTRACT(SUBSTITUTE(F1039,"" "",""""),""^-?\d+(\.\d+)?""))&lt;=90,VALUE(REGEXEXT"&amp;"RACT(SUBSTITUTE(F1039,"" "",""""),""-?\d+(\.\d+)?$""))&gt;=-180,VALUE(REGEXEXTRACT(SUBSTITUTE(F1039,"" "",""""),""-?\d+(\.\d+)?$""))&lt;=180),""OK"",""REVISAR"")"),"#N/A")</f>
        <v>#N/A</v>
      </c>
    </row>
    <row r="1040" ht="15.75" customHeight="1">
      <c r="A1040" s="5" t="str">
        <f t="shared" si="1"/>
        <v>AD507-1038</v>
      </c>
      <c r="C1040" s="5"/>
      <c r="F1040" s="5"/>
      <c r="G1040" s="5" t="str">
        <f t="shared" si="2"/>
        <v/>
      </c>
      <c r="H1040" s="5" t="str">
        <f t="shared" si="3"/>
        <v/>
      </c>
      <c r="I1040" s="5" t="str">
        <f t="shared" si="4"/>
        <v/>
      </c>
      <c r="J1040" s="5" t="str">
        <f t="shared" si="5"/>
        <v/>
      </c>
      <c r="K1040" s="5" t="str">
        <f>IFERROR(__xludf.DUMMYFUNCTION("IF(C1040&lt;&gt;"""",HYPERLINK(""https://wa.me/507""&amp;REGEXREPLACE(C1040,""[^0-9]"","""")&amp;""?text=""&amp;ENCODEURL(""Ya llegue. Codigo: ""&amp;A1040&amp;"". Ubicacion: ""&amp;""https://www.google.com/maps/search/?api=1&amp;query=""&amp;SUBSTITUTE(F1040,"" "","""")),""📲 Avisar al clien"&amp;"te""),"""")"),"")</f>
        <v/>
      </c>
      <c r="L1040" s="5" t="str">
        <f>IFERROR(__xludf.DUMMYFUNCTION("IF(C1040&lt;&gt;"""",""https://api.qrserver.com/v1/create-qr-code/?size=200x200&amp;data=""&amp;ENCODEURL(""https://wa.me/507""&amp;REGEXREPLACE(C1040,""[^0-9]"","""")&amp;""?text=""&amp;ENCODEURL(""Ya llegue. Codigo: ""&amp;A1040&amp;"". Ubicacion: ""&amp;""https://www.google.com/maps/search"&amp;"/?api=1&amp;query=""&amp;SUBSTITUTE(F1040,"" "",""""))),"""")"),"")</f>
        <v/>
      </c>
      <c r="M1040" s="5" t="str">
        <f t="shared" si="6"/>
        <v/>
      </c>
      <c r="N1040" s="5" t="str">
        <f>IFERROR(__xludf.DUMMYFUNCTION("IF(AND(F1040&lt;&gt;"""",REGEXMATCH(SUBSTITUTE(F1040,"" "",""""),""^-?\d+(\.\d+)?,-?\d+(\.\d+)?$""),VALUE(REGEXEXTRACT(SUBSTITUTE(F1040,"" "",""""),""^-?\d+(\.\d+)?""))&gt;=-90,VALUE(REGEXEXTRACT(SUBSTITUTE(F1040,"" "",""""),""^-?\d+(\.\d+)?""))&lt;=90,VALUE(REGEXEXT"&amp;"RACT(SUBSTITUTE(F1040,"" "",""""),""-?\d+(\.\d+)?$""))&gt;=-180,VALUE(REGEXEXTRACT(SUBSTITUTE(F1040,"" "",""""),""-?\d+(\.\d+)?$""))&lt;=180),""OK"",""REVISAR"")"),"#N/A")</f>
        <v>#N/A</v>
      </c>
    </row>
    <row r="1041" ht="15.75" customHeight="1">
      <c r="A1041" s="5" t="str">
        <f t="shared" si="1"/>
        <v>AD507-1039</v>
      </c>
      <c r="C1041" s="5"/>
      <c r="F1041" s="5"/>
      <c r="G1041" s="5" t="str">
        <f t="shared" si="2"/>
        <v/>
      </c>
      <c r="H1041" s="5" t="str">
        <f t="shared" si="3"/>
        <v/>
      </c>
      <c r="I1041" s="5" t="str">
        <f t="shared" si="4"/>
        <v/>
      </c>
      <c r="J1041" s="5" t="str">
        <f t="shared" si="5"/>
        <v/>
      </c>
      <c r="K1041" s="5" t="str">
        <f>IFERROR(__xludf.DUMMYFUNCTION("IF(C1041&lt;&gt;"""",HYPERLINK(""https://wa.me/507""&amp;REGEXREPLACE(C1041,""[^0-9]"","""")&amp;""?text=""&amp;ENCODEURL(""Ya llegue. Codigo: ""&amp;A1041&amp;"". Ubicacion: ""&amp;""https://www.google.com/maps/search/?api=1&amp;query=""&amp;SUBSTITUTE(F1041,"" "","""")),""📲 Avisar al clien"&amp;"te""),"""")"),"")</f>
        <v/>
      </c>
      <c r="L1041" s="5" t="str">
        <f>IFERROR(__xludf.DUMMYFUNCTION("IF(C1041&lt;&gt;"""",""https://api.qrserver.com/v1/create-qr-code/?size=200x200&amp;data=""&amp;ENCODEURL(""https://wa.me/507""&amp;REGEXREPLACE(C1041,""[^0-9]"","""")&amp;""?text=""&amp;ENCODEURL(""Ya llegue. Codigo: ""&amp;A1041&amp;"". Ubicacion: ""&amp;""https://www.google.com/maps/search"&amp;"/?api=1&amp;query=""&amp;SUBSTITUTE(F1041,"" "",""""))),"""")"),"")</f>
        <v/>
      </c>
      <c r="M1041" s="5" t="str">
        <f t="shared" si="6"/>
        <v/>
      </c>
      <c r="N1041" s="5" t="str">
        <f>IFERROR(__xludf.DUMMYFUNCTION("IF(AND(F1041&lt;&gt;"""",REGEXMATCH(SUBSTITUTE(F1041,"" "",""""),""^-?\d+(\.\d+)?,-?\d+(\.\d+)?$""),VALUE(REGEXEXTRACT(SUBSTITUTE(F1041,"" "",""""),""^-?\d+(\.\d+)?""))&gt;=-90,VALUE(REGEXEXTRACT(SUBSTITUTE(F1041,"" "",""""),""^-?\d+(\.\d+)?""))&lt;=90,VALUE(REGEXEXT"&amp;"RACT(SUBSTITUTE(F1041,"" "",""""),""-?\d+(\.\d+)?$""))&gt;=-180,VALUE(REGEXEXTRACT(SUBSTITUTE(F1041,"" "",""""),""-?\d+(\.\d+)?$""))&lt;=180),""OK"",""REVISAR"")"),"#N/A")</f>
        <v>#N/A</v>
      </c>
    </row>
    <row r="1042" ht="15.75" customHeight="1">
      <c r="A1042" s="5" t="str">
        <f t="shared" si="1"/>
        <v>AD507-1040</v>
      </c>
      <c r="C1042" s="5"/>
      <c r="F1042" s="5"/>
      <c r="G1042" s="5" t="str">
        <f t="shared" si="2"/>
        <v/>
      </c>
      <c r="H1042" s="5" t="str">
        <f t="shared" si="3"/>
        <v/>
      </c>
      <c r="I1042" s="5" t="str">
        <f t="shared" si="4"/>
        <v/>
      </c>
      <c r="J1042" s="5" t="str">
        <f t="shared" si="5"/>
        <v/>
      </c>
      <c r="K1042" s="5" t="str">
        <f>IFERROR(__xludf.DUMMYFUNCTION("IF(C1042&lt;&gt;"""",HYPERLINK(""https://wa.me/507""&amp;REGEXREPLACE(C1042,""[^0-9]"","""")&amp;""?text=""&amp;ENCODEURL(""Ya llegue. Codigo: ""&amp;A1042&amp;"". Ubicacion: ""&amp;""https://www.google.com/maps/search/?api=1&amp;query=""&amp;SUBSTITUTE(F1042,"" "","""")),""📲 Avisar al clien"&amp;"te""),"""")"),"")</f>
        <v/>
      </c>
      <c r="L1042" s="5" t="str">
        <f>IFERROR(__xludf.DUMMYFUNCTION("IF(C1042&lt;&gt;"""",""https://api.qrserver.com/v1/create-qr-code/?size=200x200&amp;data=""&amp;ENCODEURL(""https://wa.me/507""&amp;REGEXREPLACE(C1042,""[^0-9]"","""")&amp;""?text=""&amp;ENCODEURL(""Ya llegue. Codigo: ""&amp;A1042&amp;"". Ubicacion: ""&amp;""https://www.google.com/maps/search"&amp;"/?api=1&amp;query=""&amp;SUBSTITUTE(F1042,"" "",""""))),"""")"),"")</f>
        <v/>
      </c>
      <c r="M1042" s="5" t="str">
        <f t="shared" si="6"/>
        <v/>
      </c>
      <c r="N1042" s="5" t="str">
        <f>IFERROR(__xludf.DUMMYFUNCTION("IF(AND(F1042&lt;&gt;"""",REGEXMATCH(SUBSTITUTE(F1042,"" "",""""),""^-?\d+(\.\d+)?,-?\d+(\.\d+)?$""),VALUE(REGEXEXTRACT(SUBSTITUTE(F1042,"" "",""""),""^-?\d+(\.\d+)?""))&gt;=-90,VALUE(REGEXEXTRACT(SUBSTITUTE(F1042,"" "",""""),""^-?\d+(\.\d+)?""))&lt;=90,VALUE(REGEXEXT"&amp;"RACT(SUBSTITUTE(F1042,"" "",""""),""-?\d+(\.\d+)?$""))&gt;=-180,VALUE(REGEXEXTRACT(SUBSTITUTE(F1042,"" "",""""),""-?\d+(\.\d+)?$""))&lt;=180),""OK"",""REVISAR"")"),"#N/A")</f>
        <v>#N/A</v>
      </c>
    </row>
    <row r="1043" ht="15.75" customHeight="1">
      <c r="A1043" s="5" t="str">
        <f t="shared" si="1"/>
        <v>AD507-1041</v>
      </c>
      <c r="C1043" s="5"/>
      <c r="F1043" s="5"/>
      <c r="G1043" s="5" t="str">
        <f t="shared" si="2"/>
        <v/>
      </c>
      <c r="H1043" s="5" t="str">
        <f t="shared" si="3"/>
        <v/>
      </c>
      <c r="I1043" s="5" t="str">
        <f t="shared" si="4"/>
        <v/>
      </c>
      <c r="J1043" s="5" t="str">
        <f t="shared" si="5"/>
        <v/>
      </c>
      <c r="K1043" s="5" t="str">
        <f>IFERROR(__xludf.DUMMYFUNCTION("IF(C1043&lt;&gt;"""",HYPERLINK(""https://wa.me/507""&amp;REGEXREPLACE(C1043,""[^0-9]"","""")&amp;""?text=""&amp;ENCODEURL(""Ya llegue. Codigo: ""&amp;A1043&amp;"". Ubicacion: ""&amp;""https://www.google.com/maps/search/?api=1&amp;query=""&amp;SUBSTITUTE(F1043,"" "","""")),""📲 Avisar al clien"&amp;"te""),"""")"),"")</f>
        <v/>
      </c>
      <c r="L1043" s="5" t="str">
        <f>IFERROR(__xludf.DUMMYFUNCTION("IF(C1043&lt;&gt;"""",""https://api.qrserver.com/v1/create-qr-code/?size=200x200&amp;data=""&amp;ENCODEURL(""https://wa.me/507""&amp;REGEXREPLACE(C1043,""[^0-9]"","""")&amp;""?text=""&amp;ENCODEURL(""Ya llegue. Codigo: ""&amp;A1043&amp;"". Ubicacion: ""&amp;""https://www.google.com/maps/search"&amp;"/?api=1&amp;query=""&amp;SUBSTITUTE(F1043,"" "",""""))),"""")"),"")</f>
        <v/>
      </c>
      <c r="M1043" s="5" t="str">
        <f t="shared" si="6"/>
        <v/>
      </c>
      <c r="N1043" s="5" t="str">
        <f>IFERROR(__xludf.DUMMYFUNCTION("IF(AND(F1043&lt;&gt;"""",REGEXMATCH(SUBSTITUTE(F1043,"" "",""""),""^-?\d+(\.\d+)?,-?\d+(\.\d+)?$""),VALUE(REGEXEXTRACT(SUBSTITUTE(F1043,"" "",""""),""^-?\d+(\.\d+)?""))&gt;=-90,VALUE(REGEXEXTRACT(SUBSTITUTE(F1043,"" "",""""),""^-?\d+(\.\d+)?""))&lt;=90,VALUE(REGEXEXT"&amp;"RACT(SUBSTITUTE(F1043,"" "",""""),""-?\d+(\.\d+)?$""))&gt;=-180,VALUE(REGEXEXTRACT(SUBSTITUTE(F1043,"" "",""""),""-?\d+(\.\d+)?$""))&lt;=180),""OK"",""REVISAR"")"),"#N/A")</f>
        <v>#N/A</v>
      </c>
    </row>
    <row r="1044" ht="15.75" customHeight="1">
      <c r="A1044" s="5" t="str">
        <f t="shared" si="1"/>
        <v>AD507-1042</v>
      </c>
      <c r="C1044" s="5"/>
      <c r="F1044" s="5"/>
      <c r="G1044" s="5" t="str">
        <f t="shared" si="2"/>
        <v/>
      </c>
      <c r="H1044" s="5" t="str">
        <f t="shared" si="3"/>
        <v/>
      </c>
      <c r="I1044" s="5" t="str">
        <f t="shared" si="4"/>
        <v/>
      </c>
      <c r="J1044" s="5" t="str">
        <f t="shared" si="5"/>
        <v/>
      </c>
      <c r="K1044" s="5" t="str">
        <f>IFERROR(__xludf.DUMMYFUNCTION("IF(C1044&lt;&gt;"""",HYPERLINK(""https://wa.me/507""&amp;REGEXREPLACE(C1044,""[^0-9]"","""")&amp;""?text=""&amp;ENCODEURL(""Ya llegue. Codigo: ""&amp;A1044&amp;"". Ubicacion: ""&amp;""https://www.google.com/maps/search/?api=1&amp;query=""&amp;SUBSTITUTE(F1044,"" "","""")),""📲 Avisar al clien"&amp;"te""),"""")"),"")</f>
        <v/>
      </c>
      <c r="L1044" s="5" t="str">
        <f>IFERROR(__xludf.DUMMYFUNCTION("IF(C1044&lt;&gt;"""",""https://api.qrserver.com/v1/create-qr-code/?size=200x200&amp;data=""&amp;ENCODEURL(""https://wa.me/507""&amp;REGEXREPLACE(C1044,""[^0-9]"","""")&amp;""?text=""&amp;ENCODEURL(""Ya llegue. Codigo: ""&amp;A1044&amp;"". Ubicacion: ""&amp;""https://www.google.com/maps/search"&amp;"/?api=1&amp;query=""&amp;SUBSTITUTE(F1044,"" "",""""))),"""")"),"")</f>
        <v/>
      </c>
      <c r="M1044" s="5" t="str">
        <f t="shared" si="6"/>
        <v/>
      </c>
      <c r="N1044" s="5" t="str">
        <f>IFERROR(__xludf.DUMMYFUNCTION("IF(AND(F1044&lt;&gt;"""",REGEXMATCH(SUBSTITUTE(F1044,"" "",""""),""^-?\d+(\.\d+)?,-?\d+(\.\d+)?$""),VALUE(REGEXEXTRACT(SUBSTITUTE(F1044,"" "",""""),""^-?\d+(\.\d+)?""))&gt;=-90,VALUE(REGEXEXTRACT(SUBSTITUTE(F1044,"" "",""""),""^-?\d+(\.\d+)?""))&lt;=90,VALUE(REGEXEXT"&amp;"RACT(SUBSTITUTE(F1044,"" "",""""),""-?\d+(\.\d+)?$""))&gt;=-180,VALUE(REGEXEXTRACT(SUBSTITUTE(F1044,"" "",""""),""-?\d+(\.\d+)?$""))&lt;=180),""OK"",""REVISAR"")"),"#N/A")</f>
        <v>#N/A</v>
      </c>
    </row>
    <row r="1045" ht="15.75" customHeight="1">
      <c r="A1045" s="5" t="str">
        <f t="shared" si="1"/>
        <v>AD507-1043</v>
      </c>
      <c r="C1045" s="5"/>
      <c r="F1045" s="5"/>
      <c r="G1045" s="5" t="str">
        <f t="shared" si="2"/>
        <v/>
      </c>
      <c r="H1045" s="5" t="str">
        <f t="shared" si="3"/>
        <v/>
      </c>
      <c r="I1045" s="5" t="str">
        <f t="shared" si="4"/>
        <v/>
      </c>
      <c r="J1045" s="5" t="str">
        <f t="shared" si="5"/>
        <v/>
      </c>
      <c r="K1045" s="5" t="str">
        <f>IFERROR(__xludf.DUMMYFUNCTION("IF(C1045&lt;&gt;"""",HYPERLINK(""https://wa.me/507""&amp;REGEXREPLACE(C1045,""[^0-9]"","""")&amp;""?text=""&amp;ENCODEURL(""Ya llegue. Codigo: ""&amp;A1045&amp;"". Ubicacion: ""&amp;""https://www.google.com/maps/search/?api=1&amp;query=""&amp;SUBSTITUTE(F1045,"" "","""")),""📲 Avisar al clien"&amp;"te""),"""")"),"")</f>
        <v/>
      </c>
      <c r="L1045" s="5" t="str">
        <f>IFERROR(__xludf.DUMMYFUNCTION("IF(C1045&lt;&gt;"""",""https://api.qrserver.com/v1/create-qr-code/?size=200x200&amp;data=""&amp;ENCODEURL(""https://wa.me/507""&amp;REGEXREPLACE(C1045,""[^0-9]"","""")&amp;""?text=""&amp;ENCODEURL(""Ya llegue. Codigo: ""&amp;A1045&amp;"". Ubicacion: ""&amp;""https://www.google.com/maps/search"&amp;"/?api=1&amp;query=""&amp;SUBSTITUTE(F1045,"" "",""""))),"""")"),"")</f>
        <v/>
      </c>
      <c r="M1045" s="5" t="str">
        <f t="shared" si="6"/>
        <v/>
      </c>
      <c r="N1045" s="5" t="str">
        <f>IFERROR(__xludf.DUMMYFUNCTION("IF(AND(F1045&lt;&gt;"""",REGEXMATCH(SUBSTITUTE(F1045,"" "",""""),""^-?\d+(\.\d+)?,-?\d+(\.\d+)?$""),VALUE(REGEXEXTRACT(SUBSTITUTE(F1045,"" "",""""),""^-?\d+(\.\d+)?""))&gt;=-90,VALUE(REGEXEXTRACT(SUBSTITUTE(F1045,"" "",""""),""^-?\d+(\.\d+)?""))&lt;=90,VALUE(REGEXEXT"&amp;"RACT(SUBSTITUTE(F1045,"" "",""""),""-?\d+(\.\d+)?$""))&gt;=-180,VALUE(REGEXEXTRACT(SUBSTITUTE(F1045,"" "",""""),""-?\d+(\.\d+)?$""))&lt;=180),""OK"",""REVISAR"")"),"#N/A")</f>
        <v>#N/A</v>
      </c>
    </row>
    <row r="1046" ht="15.75" customHeight="1">
      <c r="A1046" s="5" t="str">
        <f t="shared" si="1"/>
        <v>AD507-1044</v>
      </c>
      <c r="C1046" s="5"/>
      <c r="F1046" s="5"/>
      <c r="G1046" s="5" t="str">
        <f t="shared" si="2"/>
        <v/>
      </c>
      <c r="H1046" s="5" t="str">
        <f t="shared" si="3"/>
        <v/>
      </c>
      <c r="I1046" s="5" t="str">
        <f t="shared" si="4"/>
        <v/>
      </c>
      <c r="J1046" s="5" t="str">
        <f t="shared" si="5"/>
        <v/>
      </c>
      <c r="K1046" s="5" t="str">
        <f>IFERROR(__xludf.DUMMYFUNCTION("IF(C1046&lt;&gt;"""",HYPERLINK(""https://wa.me/507""&amp;REGEXREPLACE(C1046,""[^0-9]"","""")&amp;""?text=""&amp;ENCODEURL(""Ya llegue. Codigo: ""&amp;A1046&amp;"". Ubicacion: ""&amp;""https://www.google.com/maps/search/?api=1&amp;query=""&amp;SUBSTITUTE(F1046,"" "","""")),""📲 Avisar al clien"&amp;"te""),"""")"),"")</f>
        <v/>
      </c>
      <c r="L1046" s="5" t="str">
        <f>IFERROR(__xludf.DUMMYFUNCTION("IF(C1046&lt;&gt;"""",""https://api.qrserver.com/v1/create-qr-code/?size=200x200&amp;data=""&amp;ENCODEURL(""https://wa.me/507""&amp;REGEXREPLACE(C1046,""[^0-9]"","""")&amp;""?text=""&amp;ENCODEURL(""Ya llegue. Codigo: ""&amp;A1046&amp;"". Ubicacion: ""&amp;""https://www.google.com/maps/search"&amp;"/?api=1&amp;query=""&amp;SUBSTITUTE(F1046,"" "",""""))),"""")"),"")</f>
        <v/>
      </c>
      <c r="M1046" s="5" t="str">
        <f t="shared" si="6"/>
        <v/>
      </c>
      <c r="N1046" s="5" t="str">
        <f>IFERROR(__xludf.DUMMYFUNCTION("IF(AND(F1046&lt;&gt;"""",REGEXMATCH(SUBSTITUTE(F1046,"" "",""""),""^-?\d+(\.\d+)?,-?\d+(\.\d+)?$""),VALUE(REGEXEXTRACT(SUBSTITUTE(F1046,"" "",""""),""^-?\d+(\.\d+)?""))&gt;=-90,VALUE(REGEXEXTRACT(SUBSTITUTE(F1046,"" "",""""),""^-?\d+(\.\d+)?""))&lt;=90,VALUE(REGEXEXT"&amp;"RACT(SUBSTITUTE(F1046,"" "",""""),""-?\d+(\.\d+)?$""))&gt;=-180,VALUE(REGEXEXTRACT(SUBSTITUTE(F1046,"" "",""""),""-?\d+(\.\d+)?$""))&lt;=180),""OK"",""REVISAR"")"),"#N/A")</f>
        <v>#N/A</v>
      </c>
    </row>
    <row r="1047" ht="15.75" customHeight="1">
      <c r="A1047" s="5" t="str">
        <f t="shared" si="1"/>
        <v>AD507-1045</v>
      </c>
      <c r="C1047" s="5"/>
      <c r="F1047" s="5"/>
      <c r="G1047" s="5" t="str">
        <f t="shared" si="2"/>
        <v/>
      </c>
      <c r="H1047" s="5" t="str">
        <f t="shared" si="3"/>
        <v/>
      </c>
      <c r="I1047" s="5" t="str">
        <f t="shared" si="4"/>
        <v/>
      </c>
      <c r="J1047" s="5" t="str">
        <f t="shared" si="5"/>
        <v/>
      </c>
      <c r="K1047" s="5" t="str">
        <f>IFERROR(__xludf.DUMMYFUNCTION("IF(C1047&lt;&gt;"""",HYPERLINK(""https://wa.me/507""&amp;REGEXREPLACE(C1047,""[^0-9]"","""")&amp;""?text=""&amp;ENCODEURL(""Ya llegue. Codigo: ""&amp;A1047&amp;"". Ubicacion: ""&amp;""https://www.google.com/maps/search/?api=1&amp;query=""&amp;SUBSTITUTE(F1047,"" "","""")),""📲 Avisar al clien"&amp;"te""),"""")"),"")</f>
        <v/>
      </c>
      <c r="L1047" s="5" t="str">
        <f>IFERROR(__xludf.DUMMYFUNCTION("IF(C1047&lt;&gt;"""",""https://api.qrserver.com/v1/create-qr-code/?size=200x200&amp;data=""&amp;ENCODEURL(""https://wa.me/507""&amp;REGEXREPLACE(C1047,""[^0-9]"","""")&amp;""?text=""&amp;ENCODEURL(""Ya llegue. Codigo: ""&amp;A1047&amp;"". Ubicacion: ""&amp;""https://www.google.com/maps/search"&amp;"/?api=1&amp;query=""&amp;SUBSTITUTE(F1047,"" "",""""))),"""")"),"")</f>
        <v/>
      </c>
      <c r="M1047" s="5" t="str">
        <f t="shared" si="6"/>
        <v/>
      </c>
      <c r="N1047" s="5" t="str">
        <f>IFERROR(__xludf.DUMMYFUNCTION("IF(AND(F1047&lt;&gt;"""",REGEXMATCH(SUBSTITUTE(F1047,"" "",""""),""^-?\d+(\.\d+)?,-?\d+(\.\d+)?$""),VALUE(REGEXEXTRACT(SUBSTITUTE(F1047,"" "",""""),""^-?\d+(\.\d+)?""))&gt;=-90,VALUE(REGEXEXTRACT(SUBSTITUTE(F1047,"" "",""""),""^-?\d+(\.\d+)?""))&lt;=90,VALUE(REGEXEXT"&amp;"RACT(SUBSTITUTE(F1047,"" "",""""),""-?\d+(\.\d+)?$""))&gt;=-180,VALUE(REGEXEXTRACT(SUBSTITUTE(F1047,"" "",""""),""-?\d+(\.\d+)?$""))&lt;=180),""OK"",""REVISAR"")"),"#N/A")</f>
        <v>#N/A</v>
      </c>
    </row>
    <row r="1048" ht="15.75" customHeight="1">
      <c r="A1048" s="5" t="str">
        <f t="shared" si="1"/>
        <v>AD507-1046</v>
      </c>
      <c r="C1048" s="5"/>
      <c r="F1048" s="5"/>
      <c r="G1048" s="5" t="str">
        <f t="shared" si="2"/>
        <v/>
      </c>
      <c r="H1048" s="5" t="str">
        <f t="shared" si="3"/>
        <v/>
      </c>
      <c r="I1048" s="5" t="str">
        <f t="shared" si="4"/>
        <v/>
      </c>
      <c r="J1048" s="5" t="str">
        <f t="shared" si="5"/>
        <v/>
      </c>
      <c r="K1048" s="5" t="str">
        <f>IFERROR(__xludf.DUMMYFUNCTION("IF(C1048&lt;&gt;"""",HYPERLINK(""https://wa.me/507""&amp;REGEXREPLACE(C1048,""[^0-9]"","""")&amp;""?text=""&amp;ENCODEURL(""Ya llegue. Codigo: ""&amp;A1048&amp;"". Ubicacion: ""&amp;""https://www.google.com/maps/search/?api=1&amp;query=""&amp;SUBSTITUTE(F1048,"" "","""")),""📲 Avisar al clien"&amp;"te""),"""")"),"")</f>
        <v/>
      </c>
      <c r="L1048" s="5" t="str">
        <f>IFERROR(__xludf.DUMMYFUNCTION("IF(C1048&lt;&gt;"""",""https://api.qrserver.com/v1/create-qr-code/?size=200x200&amp;data=""&amp;ENCODEURL(""https://wa.me/507""&amp;REGEXREPLACE(C1048,""[^0-9]"","""")&amp;""?text=""&amp;ENCODEURL(""Ya llegue. Codigo: ""&amp;A1048&amp;"". Ubicacion: ""&amp;""https://www.google.com/maps/search"&amp;"/?api=1&amp;query=""&amp;SUBSTITUTE(F1048,"" "",""""))),"""")"),"")</f>
        <v/>
      </c>
      <c r="M1048" s="5" t="str">
        <f t="shared" si="6"/>
        <v/>
      </c>
      <c r="N1048" s="5" t="str">
        <f>IFERROR(__xludf.DUMMYFUNCTION("IF(AND(F1048&lt;&gt;"""",REGEXMATCH(SUBSTITUTE(F1048,"" "",""""),""^-?\d+(\.\d+)?,-?\d+(\.\d+)?$""),VALUE(REGEXEXTRACT(SUBSTITUTE(F1048,"" "",""""),""^-?\d+(\.\d+)?""))&gt;=-90,VALUE(REGEXEXTRACT(SUBSTITUTE(F1048,"" "",""""),""^-?\d+(\.\d+)?""))&lt;=90,VALUE(REGEXEXT"&amp;"RACT(SUBSTITUTE(F1048,"" "",""""),""-?\d+(\.\d+)?$""))&gt;=-180,VALUE(REGEXEXTRACT(SUBSTITUTE(F1048,"" "",""""),""-?\d+(\.\d+)?$""))&lt;=180),""OK"",""REVISAR"")"),"#N/A")</f>
        <v>#N/A</v>
      </c>
    </row>
    <row r="1049" ht="15.75" customHeight="1">
      <c r="A1049" s="5" t="str">
        <f t="shared" si="1"/>
        <v>AD507-1047</v>
      </c>
      <c r="C1049" s="5"/>
      <c r="F1049" s="5"/>
      <c r="G1049" s="5" t="str">
        <f t="shared" si="2"/>
        <v/>
      </c>
      <c r="H1049" s="5" t="str">
        <f t="shared" si="3"/>
        <v/>
      </c>
      <c r="I1049" s="5" t="str">
        <f t="shared" si="4"/>
        <v/>
      </c>
      <c r="J1049" s="5" t="str">
        <f t="shared" si="5"/>
        <v/>
      </c>
      <c r="K1049" s="5" t="str">
        <f>IFERROR(__xludf.DUMMYFUNCTION("IF(C1049&lt;&gt;"""",HYPERLINK(""https://wa.me/507""&amp;REGEXREPLACE(C1049,""[^0-9]"","""")&amp;""?text=""&amp;ENCODEURL(""Ya llegue. Codigo: ""&amp;A1049&amp;"". Ubicacion: ""&amp;""https://www.google.com/maps/search/?api=1&amp;query=""&amp;SUBSTITUTE(F1049,"" "","""")),""📲 Avisar al clien"&amp;"te""),"""")"),"")</f>
        <v/>
      </c>
      <c r="L1049" s="5" t="str">
        <f>IFERROR(__xludf.DUMMYFUNCTION("IF(C1049&lt;&gt;"""",""https://api.qrserver.com/v1/create-qr-code/?size=200x200&amp;data=""&amp;ENCODEURL(""https://wa.me/507""&amp;REGEXREPLACE(C1049,""[^0-9]"","""")&amp;""?text=""&amp;ENCODEURL(""Ya llegue. Codigo: ""&amp;A1049&amp;"". Ubicacion: ""&amp;""https://www.google.com/maps/search"&amp;"/?api=1&amp;query=""&amp;SUBSTITUTE(F1049,"" "",""""))),"""")"),"")</f>
        <v/>
      </c>
      <c r="M1049" s="5" t="str">
        <f t="shared" si="6"/>
        <v/>
      </c>
      <c r="N1049" s="5" t="str">
        <f>IFERROR(__xludf.DUMMYFUNCTION("IF(AND(F1049&lt;&gt;"""",REGEXMATCH(SUBSTITUTE(F1049,"" "",""""),""^-?\d+(\.\d+)?,-?\d+(\.\d+)?$""),VALUE(REGEXEXTRACT(SUBSTITUTE(F1049,"" "",""""),""^-?\d+(\.\d+)?""))&gt;=-90,VALUE(REGEXEXTRACT(SUBSTITUTE(F1049,"" "",""""),""^-?\d+(\.\d+)?""))&lt;=90,VALUE(REGEXEXT"&amp;"RACT(SUBSTITUTE(F1049,"" "",""""),""-?\d+(\.\d+)?$""))&gt;=-180,VALUE(REGEXEXTRACT(SUBSTITUTE(F1049,"" "",""""),""-?\d+(\.\d+)?$""))&lt;=180),""OK"",""REVISAR"")"),"#N/A")</f>
        <v>#N/A</v>
      </c>
    </row>
    <row r="1050" ht="15.75" customHeight="1">
      <c r="A1050" s="5" t="str">
        <f t="shared" si="1"/>
        <v>AD507-1048</v>
      </c>
      <c r="C1050" s="5"/>
      <c r="F1050" s="5"/>
      <c r="G1050" s="5" t="str">
        <f t="shared" si="2"/>
        <v/>
      </c>
      <c r="H1050" s="5" t="str">
        <f t="shared" si="3"/>
        <v/>
      </c>
      <c r="I1050" s="5" t="str">
        <f t="shared" si="4"/>
        <v/>
      </c>
      <c r="J1050" s="5" t="str">
        <f t="shared" si="5"/>
        <v/>
      </c>
      <c r="K1050" s="5" t="str">
        <f>IFERROR(__xludf.DUMMYFUNCTION("IF(C1050&lt;&gt;"""",HYPERLINK(""https://wa.me/507""&amp;REGEXREPLACE(C1050,""[^0-9]"","""")&amp;""?text=""&amp;ENCODEURL(""Ya llegue. Codigo: ""&amp;A1050&amp;"". Ubicacion: ""&amp;""https://www.google.com/maps/search/?api=1&amp;query=""&amp;SUBSTITUTE(F1050,"" "","""")),""📲 Avisar al clien"&amp;"te""),"""")"),"")</f>
        <v/>
      </c>
      <c r="L1050" s="5" t="str">
        <f>IFERROR(__xludf.DUMMYFUNCTION("IF(C1050&lt;&gt;"""",""https://api.qrserver.com/v1/create-qr-code/?size=200x200&amp;data=""&amp;ENCODEURL(""https://wa.me/507""&amp;REGEXREPLACE(C1050,""[^0-9]"","""")&amp;""?text=""&amp;ENCODEURL(""Ya llegue. Codigo: ""&amp;A1050&amp;"". Ubicacion: ""&amp;""https://www.google.com/maps/search"&amp;"/?api=1&amp;query=""&amp;SUBSTITUTE(F1050,"" "",""""))),"""")"),"")</f>
        <v/>
      </c>
      <c r="M1050" s="5" t="str">
        <f t="shared" si="6"/>
        <v/>
      </c>
      <c r="N1050" s="5" t="str">
        <f>IFERROR(__xludf.DUMMYFUNCTION("IF(AND(F1050&lt;&gt;"""",REGEXMATCH(SUBSTITUTE(F1050,"" "",""""),""^-?\d+(\.\d+)?,-?\d+(\.\d+)?$""),VALUE(REGEXEXTRACT(SUBSTITUTE(F1050,"" "",""""),""^-?\d+(\.\d+)?""))&gt;=-90,VALUE(REGEXEXTRACT(SUBSTITUTE(F1050,"" "",""""),""^-?\d+(\.\d+)?""))&lt;=90,VALUE(REGEXEXT"&amp;"RACT(SUBSTITUTE(F1050,"" "",""""),""-?\d+(\.\d+)?$""))&gt;=-180,VALUE(REGEXEXTRACT(SUBSTITUTE(F1050,"" "",""""),""-?\d+(\.\d+)?$""))&lt;=180),""OK"",""REVISAR"")"),"#N/A")</f>
        <v>#N/A</v>
      </c>
    </row>
    <row r="1051" ht="15.75" customHeight="1">
      <c r="A1051" s="5" t="str">
        <f t="shared" si="1"/>
        <v>AD507-1049</v>
      </c>
      <c r="C1051" s="5"/>
      <c r="F1051" s="5"/>
      <c r="G1051" s="5" t="str">
        <f t="shared" si="2"/>
        <v/>
      </c>
      <c r="H1051" s="5" t="str">
        <f t="shared" si="3"/>
        <v/>
      </c>
      <c r="I1051" s="5" t="str">
        <f t="shared" si="4"/>
        <v/>
      </c>
      <c r="J1051" s="5" t="str">
        <f t="shared" si="5"/>
        <v/>
      </c>
      <c r="K1051" s="5" t="str">
        <f>IFERROR(__xludf.DUMMYFUNCTION("IF(C1051&lt;&gt;"""",HYPERLINK(""https://wa.me/507""&amp;REGEXREPLACE(C1051,""[^0-9]"","""")&amp;""?text=""&amp;ENCODEURL(""Ya llegue. Codigo: ""&amp;A1051&amp;"". Ubicacion: ""&amp;""https://www.google.com/maps/search/?api=1&amp;query=""&amp;SUBSTITUTE(F1051,"" "","""")),""📲 Avisar al clien"&amp;"te""),"""")"),"")</f>
        <v/>
      </c>
      <c r="L1051" s="5" t="str">
        <f>IFERROR(__xludf.DUMMYFUNCTION("IF(C1051&lt;&gt;"""",""https://api.qrserver.com/v1/create-qr-code/?size=200x200&amp;data=""&amp;ENCODEURL(""https://wa.me/507""&amp;REGEXREPLACE(C1051,""[^0-9]"","""")&amp;""?text=""&amp;ENCODEURL(""Ya llegue. Codigo: ""&amp;A1051&amp;"". Ubicacion: ""&amp;""https://www.google.com/maps/search"&amp;"/?api=1&amp;query=""&amp;SUBSTITUTE(F1051,"" "",""""))),"""")"),"")</f>
        <v/>
      </c>
      <c r="M1051" s="5" t="str">
        <f t="shared" si="6"/>
        <v/>
      </c>
      <c r="N1051" s="5" t="str">
        <f>IFERROR(__xludf.DUMMYFUNCTION("IF(AND(F1051&lt;&gt;"""",REGEXMATCH(SUBSTITUTE(F1051,"" "",""""),""^-?\d+(\.\d+)?,-?\d+(\.\d+)?$""),VALUE(REGEXEXTRACT(SUBSTITUTE(F1051,"" "",""""),""^-?\d+(\.\d+)?""))&gt;=-90,VALUE(REGEXEXTRACT(SUBSTITUTE(F1051,"" "",""""),""^-?\d+(\.\d+)?""))&lt;=90,VALUE(REGEXEXT"&amp;"RACT(SUBSTITUTE(F1051,"" "",""""),""-?\d+(\.\d+)?$""))&gt;=-180,VALUE(REGEXEXTRACT(SUBSTITUTE(F1051,"" "",""""),""-?\d+(\.\d+)?$""))&lt;=180),""OK"",""REVISAR"")"),"#N/A")</f>
        <v>#N/A</v>
      </c>
    </row>
    <row r="1052" ht="15.75" customHeight="1">
      <c r="A1052" s="5" t="str">
        <f t="shared" si="1"/>
        <v>AD507-1050</v>
      </c>
      <c r="C1052" s="5"/>
      <c r="F1052" s="5"/>
      <c r="G1052" s="5" t="str">
        <f t="shared" si="2"/>
        <v/>
      </c>
      <c r="H1052" s="5" t="str">
        <f t="shared" si="3"/>
        <v/>
      </c>
      <c r="I1052" s="5" t="str">
        <f t="shared" si="4"/>
        <v/>
      </c>
      <c r="J1052" s="5" t="str">
        <f t="shared" si="5"/>
        <v/>
      </c>
      <c r="K1052" s="5" t="str">
        <f>IFERROR(__xludf.DUMMYFUNCTION("IF(C1052&lt;&gt;"""",HYPERLINK(""https://wa.me/507""&amp;REGEXREPLACE(C1052,""[^0-9]"","""")&amp;""?text=""&amp;ENCODEURL(""Ya llegue. Codigo: ""&amp;A1052&amp;"". Ubicacion: ""&amp;""https://www.google.com/maps/search/?api=1&amp;query=""&amp;SUBSTITUTE(F1052,"" "","""")),""📲 Avisar al clien"&amp;"te""),"""")"),"")</f>
        <v/>
      </c>
      <c r="L1052" s="5" t="str">
        <f>IFERROR(__xludf.DUMMYFUNCTION("IF(C1052&lt;&gt;"""",""https://api.qrserver.com/v1/create-qr-code/?size=200x200&amp;data=""&amp;ENCODEURL(""https://wa.me/507""&amp;REGEXREPLACE(C1052,""[^0-9]"","""")&amp;""?text=""&amp;ENCODEURL(""Ya llegue. Codigo: ""&amp;A1052&amp;"". Ubicacion: ""&amp;""https://www.google.com/maps/search"&amp;"/?api=1&amp;query=""&amp;SUBSTITUTE(F1052,"" "",""""))),"""")"),"")</f>
        <v/>
      </c>
      <c r="M1052" s="5" t="str">
        <f t="shared" si="6"/>
        <v/>
      </c>
      <c r="N1052" s="5" t="str">
        <f>IFERROR(__xludf.DUMMYFUNCTION("IF(AND(F1052&lt;&gt;"""",REGEXMATCH(SUBSTITUTE(F1052,"" "",""""),""^-?\d+(\.\d+)?,-?\d+(\.\d+)?$""),VALUE(REGEXEXTRACT(SUBSTITUTE(F1052,"" "",""""),""^-?\d+(\.\d+)?""))&gt;=-90,VALUE(REGEXEXTRACT(SUBSTITUTE(F1052,"" "",""""),""^-?\d+(\.\d+)?""))&lt;=90,VALUE(REGEXEXT"&amp;"RACT(SUBSTITUTE(F1052,"" "",""""),""-?\d+(\.\d+)?$""))&gt;=-180,VALUE(REGEXEXTRACT(SUBSTITUTE(F1052,"" "",""""),""-?\d+(\.\d+)?$""))&lt;=180),""OK"",""REVISAR"")"),"#N/A")</f>
        <v>#N/A</v>
      </c>
    </row>
    <row r="1053" ht="15.75" customHeight="1">
      <c r="A1053" s="5" t="str">
        <f t="shared" si="1"/>
        <v>AD507-1051</v>
      </c>
      <c r="C1053" s="5"/>
      <c r="F1053" s="5"/>
      <c r="G1053" s="5" t="str">
        <f t="shared" si="2"/>
        <v/>
      </c>
      <c r="H1053" s="5" t="str">
        <f t="shared" si="3"/>
        <v/>
      </c>
      <c r="I1053" s="5" t="str">
        <f t="shared" si="4"/>
        <v/>
      </c>
      <c r="J1053" s="5" t="str">
        <f t="shared" si="5"/>
        <v/>
      </c>
      <c r="K1053" s="5" t="str">
        <f>IFERROR(__xludf.DUMMYFUNCTION("IF(C1053&lt;&gt;"""",HYPERLINK(""https://wa.me/507""&amp;REGEXREPLACE(C1053,""[^0-9]"","""")&amp;""?text=""&amp;ENCODEURL(""Ya llegue. Codigo: ""&amp;A1053&amp;"". Ubicacion: ""&amp;""https://www.google.com/maps/search/?api=1&amp;query=""&amp;SUBSTITUTE(F1053,"" "","""")),""📲 Avisar al clien"&amp;"te""),"""")"),"")</f>
        <v/>
      </c>
      <c r="L1053" s="5" t="str">
        <f>IFERROR(__xludf.DUMMYFUNCTION("IF(C1053&lt;&gt;"""",""https://api.qrserver.com/v1/create-qr-code/?size=200x200&amp;data=""&amp;ENCODEURL(""https://wa.me/507""&amp;REGEXREPLACE(C1053,""[^0-9]"","""")&amp;""?text=""&amp;ENCODEURL(""Ya llegue. Codigo: ""&amp;A1053&amp;"". Ubicacion: ""&amp;""https://www.google.com/maps/search"&amp;"/?api=1&amp;query=""&amp;SUBSTITUTE(F1053,"" "",""""))),"""")"),"")</f>
        <v/>
      </c>
      <c r="M1053" s="5" t="str">
        <f t="shared" si="6"/>
        <v/>
      </c>
      <c r="N1053" s="5" t="str">
        <f>IFERROR(__xludf.DUMMYFUNCTION("IF(AND(F1053&lt;&gt;"""",REGEXMATCH(SUBSTITUTE(F1053,"" "",""""),""^-?\d+(\.\d+)?,-?\d+(\.\d+)?$""),VALUE(REGEXEXTRACT(SUBSTITUTE(F1053,"" "",""""),""^-?\d+(\.\d+)?""))&gt;=-90,VALUE(REGEXEXTRACT(SUBSTITUTE(F1053,"" "",""""),""^-?\d+(\.\d+)?""))&lt;=90,VALUE(REGEXEXT"&amp;"RACT(SUBSTITUTE(F1053,"" "",""""),""-?\d+(\.\d+)?$""))&gt;=-180,VALUE(REGEXEXTRACT(SUBSTITUTE(F1053,"" "",""""),""-?\d+(\.\d+)?$""))&lt;=180),""OK"",""REVISAR"")"),"#N/A")</f>
        <v>#N/A</v>
      </c>
    </row>
    <row r="1054" ht="15.75" customHeight="1">
      <c r="A1054" s="5" t="str">
        <f t="shared" si="1"/>
        <v>AD507-1052</v>
      </c>
      <c r="C1054" s="5"/>
      <c r="F1054" s="5"/>
      <c r="G1054" s="5" t="str">
        <f t="shared" si="2"/>
        <v/>
      </c>
      <c r="H1054" s="5" t="str">
        <f t="shared" si="3"/>
        <v/>
      </c>
      <c r="I1054" s="5" t="str">
        <f t="shared" si="4"/>
        <v/>
      </c>
      <c r="J1054" s="5" t="str">
        <f t="shared" si="5"/>
        <v/>
      </c>
      <c r="K1054" s="5" t="str">
        <f>IFERROR(__xludf.DUMMYFUNCTION("IF(C1054&lt;&gt;"""",HYPERLINK(""https://wa.me/507""&amp;REGEXREPLACE(C1054,""[^0-9]"","""")&amp;""?text=""&amp;ENCODEURL(""Ya llegue. Codigo: ""&amp;A1054&amp;"". Ubicacion: ""&amp;""https://www.google.com/maps/search/?api=1&amp;query=""&amp;SUBSTITUTE(F1054,"" "","""")),""📲 Avisar al clien"&amp;"te""),"""")"),"")</f>
        <v/>
      </c>
      <c r="L1054" s="5" t="str">
        <f>IFERROR(__xludf.DUMMYFUNCTION("IF(C1054&lt;&gt;"""",""https://api.qrserver.com/v1/create-qr-code/?size=200x200&amp;data=""&amp;ENCODEURL(""https://wa.me/507""&amp;REGEXREPLACE(C1054,""[^0-9]"","""")&amp;""?text=""&amp;ENCODEURL(""Ya llegue. Codigo: ""&amp;A1054&amp;"". Ubicacion: ""&amp;""https://www.google.com/maps/search"&amp;"/?api=1&amp;query=""&amp;SUBSTITUTE(F1054,"" "",""""))),"""")"),"")</f>
        <v/>
      </c>
      <c r="M1054" s="5" t="str">
        <f t="shared" si="6"/>
        <v/>
      </c>
      <c r="N1054" s="5" t="str">
        <f>IFERROR(__xludf.DUMMYFUNCTION("IF(AND(F1054&lt;&gt;"""",REGEXMATCH(SUBSTITUTE(F1054,"" "",""""),""^-?\d+(\.\d+)?,-?\d+(\.\d+)?$""),VALUE(REGEXEXTRACT(SUBSTITUTE(F1054,"" "",""""),""^-?\d+(\.\d+)?""))&gt;=-90,VALUE(REGEXEXTRACT(SUBSTITUTE(F1054,"" "",""""),""^-?\d+(\.\d+)?""))&lt;=90,VALUE(REGEXEXT"&amp;"RACT(SUBSTITUTE(F1054,"" "",""""),""-?\d+(\.\d+)?$""))&gt;=-180,VALUE(REGEXEXTRACT(SUBSTITUTE(F1054,"" "",""""),""-?\d+(\.\d+)?$""))&lt;=180),""OK"",""REVISAR"")"),"#N/A")</f>
        <v>#N/A</v>
      </c>
    </row>
    <row r="1055" ht="15.75" customHeight="1">
      <c r="A1055" s="5" t="str">
        <f t="shared" si="1"/>
        <v>AD507-1053</v>
      </c>
      <c r="C1055" s="5"/>
      <c r="F1055" s="5"/>
      <c r="G1055" s="5" t="str">
        <f t="shared" si="2"/>
        <v/>
      </c>
      <c r="H1055" s="5" t="str">
        <f t="shared" si="3"/>
        <v/>
      </c>
      <c r="I1055" s="5" t="str">
        <f t="shared" si="4"/>
        <v/>
      </c>
      <c r="J1055" s="5" t="str">
        <f t="shared" si="5"/>
        <v/>
      </c>
      <c r="K1055" s="5" t="str">
        <f>IFERROR(__xludf.DUMMYFUNCTION("IF(C1055&lt;&gt;"""",HYPERLINK(""https://wa.me/507""&amp;REGEXREPLACE(C1055,""[^0-9]"","""")&amp;""?text=""&amp;ENCODEURL(""Ya llegue. Codigo: ""&amp;A1055&amp;"". Ubicacion: ""&amp;""https://www.google.com/maps/search/?api=1&amp;query=""&amp;SUBSTITUTE(F1055,"" "","""")),""📲 Avisar al clien"&amp;"te""),"""")"),"")</f>
        <v/>
      </c>
      <c r="L1055" s="5" t="str">
        <f>IFERROR(__xludf.DUMMYFUNCTION("IF(C1055&lt;&gt;"""",""https://api.qrserver.com/v1/create-qr-code/?size=200x200&amp;data=""&amp;ENCODEURL(""https://wa.me/507""&amp;REGEXREPLACE(C1055,""[^0-9]"","""")&amp;""?text=""&amp;ENCODEURL(""Ya llegue. Codigo: ""&amp;A1055&amp;"". Ubicacion: ""&amp;""https://www.google.com/maps/search"&amp;"/?api=1&amp;query=""&amp;SUBSTITUTE(F1055,"" "",""""))),"""")"),"")</f>
        <v/>
      </c>
      <c r="M1055" s="5" t="str">
        <f t="shared" si="6"/>
        <v/>
      </c>
      <c r="N1055" s="5" t="str">
        <f>IFERROR(__xludf.DUMMYFUNCTION("IF(AND(F1055&lt;&gt;"""",REGEXMATCH(SUBSTITUTE(F1055,"" "",""""),""^-?\d+(\.\d+)?,-?\d+(\.\d+)?$""),VALUE(REGEXEXTRACT(SUBSTITUTE(F1055,"" "",""""),""^-?\d+(\.\d+)?""))&gt;=-90,VALUE(REGEXEXTRACT(SUBSTITUTE(F1055,"" "",""""),""^-?\d+(\.\d+)?""))&lt;=90,VALUE(REGEXEXT"&amp;"RACT(SUBSTITUTE(F1055,"" "",""""),""-?\d+(\.\d+)?$""))&gt;=-180,VALUE(REGEXEXTRACT(SUBSTITUTE(F1055,"" "",""""),""-?\d+(\.\d+)?$""))&lt;=180),""OK"",""REVISAR"")"),"#N/A")</f>
        <v>#N/A</v>
      </c>
    </row>
    <row r="1056" ht="15.75" customHeight="1">
      <c r="A1056" s="5" t="str">
        <f t="shared" si="1"/>
        <v>AD507-1054</v>
      </c>
      <c r="C1056" s="5"/>
      <c r="F1056" s="5"/>
      <c r="G1056" s="5" t="str">
        <f t="shared" si="2"/>
        <v/>
      </c>
      <c r="H1056" s="5" t="str">
        <f t="shared" si="3"/>
        <v/>
      </c>
      <c r="I1056" s="5" t="str">
        <f t="shared" si="4"/>
        <v/>
      </c>
      <c r="J1056" s="5" t="str">
        <f t="shared" si="5"/>
        <v/>
      </c>
      <c r="K1056" s="5" t="str">
        <f>IFERROR(__xludf.DUMMYFUNCTION("IF(C1056&lt;&gt;"""",HYPERLINK(""https://wa.me/507""&amp;REGEXREPLACE(C1056,""[^0-9]"","""")&amp;""?text=""&amp;ENCODEURL(""Ya llegue. Codigo: ""&amp;A1056&amp;"". Ubicacion: ""&amp;""https://www.google.com/maps/search/?api=1&amp;query=""&amp;SUBSTITUTE(F1056,"" "","""")),""📲 Avisar al clien"&amp;"te""),"""")"),"")</f>
        <v/>
      </c>
      <c r="L1056" s="5" t="str">
        <f>IFERROR(__xludf.DUMMYFUNCTION("IF(C1056&lt;&gt;"""",""https://api.qrserver.com/v1/create-qr-code/?size=200x200&amp;data=""&amp;ENCODEURL(""https://wa.me/507""&amp;REGEXREPLACE(C1056,""[^0-9]"","""")&amp;""?text=""&amp;ENCODEURL(""Ya llegue. Codigo: ""&amp;A1056&amp;"". Ubicacion: ""&amp;""https://www.google.com/maps/search"&amp;"/?api=1&amp;query=""&amp;SUBSTITUTE(F1056,"" "",""""))),"""")"),"")</f>
        <v/>
      </c>
      <c r="M1056" s="5" t="str">
        <f t="shared" si="6"/>
        <v/>
      </c>
      <c r="N1056" s="5" t="str">
        <f>IFERROR(__xludf.DUMMYFUNCTION("IF(AND(F1056&lt;&gt;"""",REGEXMATCH(SUBSTITUTE(F1056,"" "",""""),""^-?\d+(\.\d+)?,-?\d+(\.\d+)?$""),VALUE(REGEXEXTRACT(SUBSTITUTE(F1056,"" "",""""),""^-?\d+(\.\d+)?""))&gt;=-90,VALUE(REGEXEXTRACT(SUBSTITUTE(F1056,"" "",""""),""^-?\d+(\.\d+)?""))&lt;=90,VALUE(REGEXEXT"&amp;"RACT(SUBSTITUTE(F1056,"" "",""""),""-?\d+(\.\d+)?$""))&gt;=-180,VALUE(REGEXEXTRACT(SUBSTITUTE(F1056,"" "",""""),""-?\d+(\.\d+)?$""))&lt;=180),""OK"",""REVISAR"")"),"#N/A")</f>
        <v>#N/A</v>
      </c>
    </row>
    <row r="1057" ht="15.75" customHeight="1">
      <c r="A1057" s="5" t="str">
        <f t="shared" si="1"/>
        <v>AD507-1055</v>
      </c>
      <c r="C1057" s="5"/>
      <c r="F1057" s="5"/>
      <c r="G1057" s="5" t="str">
        <f t="shared" si="2"/>
        <v/>
      </c>
      <c r="H1057" s="5" t="str">
        <f t="shared" si="3"/>
        <v/>
      </c>
      <c r="I1057" s="5" t="str">
        <f t="shared" si="4"/>
        <v/>
      </c>
      <c r="J1057" s="5" t="str">
        <f t="shared" si="5"/>
        <v/>
      </c>
      <c r="K1057" s="5" t="str">
        <f>IFERROR(__xludf.DUMMYFUNCTION("IF(C1057&lt;&gt;"""",HYPERLINK(""https://wa.me/507""&amp;REGEXREPLACE(C1057,""[^0-9]"","""")&amp;""?text=""&amp;ENCODEURL(""Ya llegue. Codigo: ""&amp;A1057&amp;"". Ubicacion: ""&amp;""https://www.google.com/maps/search/?api=1&amp;query=""&amp;SUBSTITUTE(F1057,"" "","""")),""📲 Avisar al clien"&amp;"te""),"""")"),"")</f>
        <v/>
      </c>
      <c r="L1057" s="5" t="str">
        <f>IFERROR(__xludf.DUMMYFUNCTION("IF(C1057&lt;&gt;"""",""https://api.qrserver.com/v1/create-qr-code/?size=200x200&amp;data=""&amp;ENCODEURL(""https://wa.me/507""&amp;REGEXREPLACE(C1057,""[^0-9]"","""")&amp;""?text=""&amp;ENCODEURL(""Ya llegue. Codigo: ""&amp;A1057&amp;"". Ubicacion: ""&amp;""https://www.google.com/maps/search"&amp;"/?api=1&amp;query=""&amp;SUBSTITUTE(F1057,"" "",""""))),"""")"),"")</f>
        <v/>
      </c>
      <c r="M1057" s="5" t="str">
        <f t="shared" si="6"/>
        <v/>
      </c>
      <c r="N1057" s="5" t="str">
        <f>IFERROR(__xludf.DUMMYFUNCTION("IF(AND(F1057&lt;&gt;"""",REGEXMATCH(SUBSTITUTE(F1057,"" "",""""),""^-?\d+(\.\d+)?,-?\d+(\.\d+)?$""),VALUE(REGEXEXTRACT(SUBSTITUTE(F1057,"" "",""""),""^-?\d+(\.\d+)?""))&gt;=-90,VALUE(REGEXEXTRACT(SUBSTITUTE(F1057,"" "",""""),""^-?\d+(\.\d+)?""))&lt;=90,VALUE(REGEXEXT"&amp;"RACT(SUBSTITUTE(F1057,"" "",""""),""-?\d+(\.\d+)?$""))&gt;=-180,VALUE(REGEXEXTRACT(SUBSTITUTE(F1057,"" "",""""),""-?\d+(\.\d+)?$""))&lt;=180),""OK"",""REVISAR"")"),"#N/A")</f>
        <v>#N/A</v>
      </c>
    </row>
    <row r="1058" ht="15.75" customHeight="1">
      <c r="A1058" s="5" t="str">
        <f t="shared" si="1"/>
        <v>AD507-1056</v>
      </c>
      <c r="C1058" s="5"/>
      <c r="F1058" s="5"/>
      <c r="G1058" s="5" t="str">
        <f t="shared" si="2"/>
        <v/>
      </c>
      <c r="H1058" s="5" t="str">
        <f t="shared" si="3"/>
        <v/>
      </c>
      <c r="I1058" s="5" t="str">
        <f t="shared" si="4"/>
        <v/>
      </c>
      <c r="J1058" s="5" t="str">
        <f t="shared" si="5"/>
        <v/>
      </c>
      <c r="K1058" s="5" t="str">
        <f>IFERROR(__xludf.DUMMYFUNCTION("IF(C1058&lt;&gt;"""",HYPERLINK(""https://wa.me/507""&amp;REGEXREPLACE(C1058,""[^0-9]"","""")&amp;""?text=""&amp;ENCODEURL(""Ya llegue. Codigo: ""&amp;A1058&amp;"". Ubicacion: ""&amp;""https://www.google.com/maps/search/?api=1&amp;query=""&amp;SUBSTITUTE(F1058,"" "","""")),""📲 Avisar al clien"&amp;"te""),"""")"),"")</f>
        <v/>
      </c>
      <c r="L1058" s="5" t="str">
        <f>IFERROR(__xludf.DUMMYFUNCTION("IF(C1058&lt;&gt;"""",""https://api.qrserver.com/v1/create-qr-code/?size=200x200&amp;data=""&amp;ENCODEURL(""https://wa.me/507""&amp;REGEXREPLACE(C1058,""[^0-9]"","""")&amp;""?text=""&amp;ENCODEURL(""Ya llegue. Codigo: ""&amp;A1058&amp;"". Ubicacion: ""&amp;""https://www.google.com/maps/search"&amp;"/?api=1&amp;query=""&amp;SUBSTITUTE(F1058,"" "",""""))),"""")"),"")</f>
        <v/>
      </c>
      <c r="M1058" s="5" t="str">
        <f t="shared" si="6"/>
        <v/>
      </c>
      <c r="N1058" s="5" t="str">
        <f>IFERROR(__xludf.DUMMYFUNCTION("IF(AND(F1058&lt;&gt;"""",REGEXMATCH(SUBSTITUTE(F1058,"" "",""""),""^-?\d+(\.\d+)?,-?\d+(\.\d+)?$""),VALUE(REGEXEXTRACT(SUBSTITUTE(F1058,"" "",""""),""^-?\d+(\.\d+)?""))&gt;=-90,VALUE(REGEXEXTRACT(SUBSTITUTE(F1058,"" "",""""),""^-?\d+(\.\d+)?""))&lt;=90,VALUE(REGEXEXT"&amp;"RACT(SUBSTITUTE(F1058,"" "",""""),""-?\d+(\.\d+)?$""))&gt;=-180,VALUE(REGEXEXTRACT(SUBSTITUTE(F1058,"" "",""""),""-?\d+(\.\d+)?$""))&lt;=180),""OK"",""REVISAR"")"),"#N/A")</f>
        <v>#N/A</v>
      </c>
    </row>
    <row r="1059" ht="15.75" customHeight="1">
      <c r="A1059" s="5" t="str">
        <f t="shared" si="1"/>
        <v>AD507-1057</v>
      </c>
      <c r="C1059" s="5"/>
      <c r="F1059" s="5"/>
      <c r="G1059" s="5" t="str">
        <f t="shared" si="2"/>
        <v/>
      </c>
      <c r="H1059" s="5" t="str">
        <f t="shared" si="3"/>
        <v/>
      </c>
      <c r="I1059" s="5" t="str">
        <f t="shared" si="4"/>
        <v/>
      </c>
      <c r="J1059" s="5" t="str">
        <f t="shared" si="5"/>
        <v/>
      </c>
      <c r="K1059" s="5" t="str">
        <f>IFERROR(__xludf.DUMMYFUNCTION("IF(C1059&lt;&gt;"""",HYPERLINK(""https://wa.me/507""&amp;REGEXREPLACE(C1059,""[^0-9]"","""")&amp;""?text=""&amp;ENCODEURL(""Ya llegue. Codigo: ""&amp;A1059&amp;"". Ubicacion: ""&amp;""https://www.google.com/maps/search/?api=1&amp;query=""&amp;SUBSTITUTE(F1059,"" "","""")),""📲 Avisar al clien"&amp;"te""),"""")"),"")</f>
        <v/>
      </c>
      <c r="L1059" s="5" t="str">
        <f>IFERROR(__xludf.DUMMYFUNCTION("IF(C1059&lt;&gt;"""",""https://api.qrserver.com/v1/create-qr-code/?size=200x200&amp;data=""&amp;ENCODEURL(""https://wa.me/507""&amp;REGEXREPLACE(C1059,""[^0-9]"","""")&amp;""?text=""&amp;ENCODEURL(""Ya llegue. Codigo: ""&amp;A1059&amp;"". Ubicacion: ""&amp;""https://www.google.com/maps/search"&amp;"/?api=1&amp;query=""&amp;SUBSTITUTE(F1059,"" "",""""))),"""")"),"")</f>
        <v/>
      </c>
      <c r="M1059" s="5" t="str">
        <f t="shared" si="6"/>
        <v/>
      </c>
      <c r="N1059" s="5" t="str">
        <f>IFERROR(__xludf.DUMMYFUNCTION("IF(AND(F1059&lt;&gt;"""",REGEXMATCH(SUBSTITUTE(F1059,"" "",""""),""^-?\d+(\.\d+)?,-?\d+(\.\d+)?$""),VALUE(REGEXEXTRACT(SUBSTITUTE(F1059,"" "",""""),""^-?\d+(\.\d+)?""))&gt;=-90,VALUE(REGEXEXTRACT(SUBSTITUTE(F1059,"" "",""""),""^-?\d+(\.\d+)?""))&lt;=90,VALUE(REGEXEXT"&amp;"RACT(SUBSTITUTE(F1059,"" "",""""),""-?\d+(\.\d+)?$""))&gt;=-180,VALUE(REGEXEXTRACT(SUBSTITUTE(F1059,"" "",""""),""-?\d+(\.\d+)?$""))&lt;=180),""OK"",""REVISAR"")"),"#N/A")</f>
        <v>#N/A</v>
      </c>
    </row>
    <row r="1060" ht="15.75" customHeight="1">
      <c r="A1060" s="5" t="str">
        <f t="shared" si="1"/>
        <v>AD507-1058</v>
      </c>
      <c r="C1060" s="5"/>
      <c r="F1060" s="5"/>
      <c r="G1060" s="5" t="str">
        <f t="shared" si="2"/>
        <v/>
      </c>
      <c r="H1060" s="5" t="str">
        <f t="shared" si="3"/>
        <v/>
      </c>
      <c r="I1060" s="5" t="str">
        <f t="shared" si="4"/>
        <v/>
      </c>
      <c r="J1060" s="5" t="str">
        <f t="shared" si="5"/>
        <v/>
      </c>
      <c r="K1060" s="5" t="str">
        <f>IFERROR(__xludf.DUMMYFUNCTION("IF(C1060&lt;&gt;"""",HYPERLINK(""https://wa.me/507""&amp;REGEXREPLACE(C1060,""[^0-9]"","""")&amp;""?text=""&amp;ENCODEURL(""Ya llegue. Codigo: ""&amp;A1060&amp;"". Ubicacion: ""&amp;""https://www.google.com/maps/search/?api=1&amp;query=""&amp;SUBSTITUTE(F1060,"" "","""")),""📲 Avisar al clien"&amp;"te""),"""")"),"")</f>
        <v/>
      </c>
      <c r="L1060" s="5" t="str">
        <f>IFERROR(__xludf.DUMMYFUNCTION("IF(C1060&lt;&gt;"""",""https://api.qrserver.com/v1/create-qr-code/?size=200x200&amp;data=""&amp;ENCODEURL(""https://wa.me/507""&amp;REGEXREPLACE(C1060,""[^0-9]"","""")&amp;""?text=""&amp;ENCODEURL(""Ya llegue. Codigo: ""&amp;A1060&amp;"". Ubicacion: ""&amp;""https://www.google.com/maps/search"&amp;"/?api=1&amp;query=""&amp;SUBSTITUTE(F1060,"" "",""""))),"""")"),"")</f>
        <v/>
      </c>
      <c r="M1060" s="5" t="str">
        <f t="shared" si="6"/>
        <v/>
      </c>
      <c r="N1060" s="5" t="str">
        <f>IFERROR(__xludf.DUMMYFUNCTION("IF(AND(F1060&lt;&gt;"""",REGEXMATCH(SUBSTITUTE(F1060,"" "",""""),""^-?\d+(\.\d+)?,-?\d+(\.\d+)?$""),VALUE(REGEXEXTRACT(SUBSTITUTE(F1060,"" "",""""),""^-?\d+(\.\d+)?""))&gt;=-90,VALUE(REGEXEXTRACT(SUBSTITUTE(F1060,"" "",""""),""^-?\d+(\.\d+)?""))&lt;=90,VALUE(REGEXEXT"&amp;"RACT(SUBSTITUTE(F1060,"" "",""""),""-?\d+(\.\d+)?$""))&gt;=-180,VALUE(REGEXEXTRACT(SUBSTITUTE(F1060,"" "",""""),""-?\d+(\.\d+)?$""))&lt;=180),""OK"",""REVISAR"")"),"#N/A")</f>
        <v>#N/A</v>
      </c>
    </row>
    <row r="1061" ht="15.75" customHeight="1">
      <c r="A1061" s="5" t="str">
        <f t="shared" si="1"/>
        <v>AD507-1059</v>
      </c>
      <c r="C1061" s="5"/>
      <c r="F1061" s="5"/>
      <c r="G1061" s="5" t="str">
        <f t="shared" si="2"/>
        <v/>
      </c>
      <c r="H1061" s="5" t="str">
        <f t="shared" si="3"/>
        <v/>
      </c>
      <c r="I1061" s="5" t="str">
        <f t="shared" si="4"/>
        <v/>
      </c>
      <c r="J1061" s="5" t="str">
        <f t="shared" si="5"/>
        <v/>
      </c>
      <c r="K1061" s="5" t="str">
        <f>IFERROR(__xludf.DUMMYFUNCTION("IF(C1061&lt;&gt;"""",HYPERLINK(""https://wa.me/507""&amp;REGEXREPLACE(C1061,""[^0-9]"","""")&amp;""?text=""&amp;ENCODEURL(""Ya llegue. Codigo: ""&amp;A1061&amp;"". Ubicacion: ""&amp;""https://www.google.com/maps/search/?api=1&amp;query=""&amp;SUBSTITUTE(F1061,"" "","""")),""📲 Avisar al clien"&amp;"te""),"""")"),"")</f>
        <v/>
      </c>
      <c r="L1061" s="5" t="str">
        <f>IFERROR(__xludf.DUMMYFUNCTION("IF(C1061&lt;&gt;"""",""https://api.qrserver.com/v1/create-qr-code/?size=200x200&amp;data=""&amp;ENCODEURL(""https://wa.me/507""&amp;REGEXREPLACE(C1061,""[^0-9]"","""")&amp;""?text=""&amp;ENCODEURL(""Ya llegue. Codigo: ""&amp;A1061&amp;"". Ubicacion: ""&amp;""https://www.google.com/maps/search"&amp;"/?api=1&amp;query=""&amp;SUBSTITUTE(F1061,"" "",""""))),"""")"),"")</f>
        <v/>
      </c>
      <c r="M1061" s="5" t="str">
        <f t="shared" si="6"/>
        <v/>
      </c>
      <c r="N1061" s="5" t="str">
        <f>IFERROR(__xludf.DUMMYFUNCTION("IF(AND(F1061&lt;&gt;"""",REGEXMATCH(SUBSTITUTE(F1061,"" "",""""),""^-?\d+(\.\d+)?,-?\d+(\.\d+)?$""),VALUE(REGEXEXTRACT(SUBSTITUTE(F1061,"" "",""""),""^-?\d+(\.\d+)?""))&gt;=-90,VALUE(REGEXEXTRACT(SUBSTITUTE(F1061,"" "",""""),""^-?\d+(\.\d+)?""))&lt;=90,VALUE(REGEXEXT"&amp;"RACT(SUBSTITUTE(F1061,"" "",""""),""-?\d+(\.\d+)?$""))&gt;=-180,VALUE(REGEXEXTRACT(SUBSTITUTE(F1061,"" "",""""),""-?\d+(\.\d+)?$""))&lt;=180),""OK"",""REVISAR"")"),"#N/A")</f>
        <v>#N/A</v>
      </c>
    </row>
    <row r="1062" ht="15.75" customHeight="1">
      <c r="A1062" s="5" t="str">
        <f t="shared" si="1"/>
        <v>AD507-1060</v>
      </c>
      <c r="C1062" s="5"/>
      <c r="F1062" s="5"/>
      <c r="G1062" s="5" t="str">
        <f t="shared" si="2"/>
        <v/>
      </c>
      <c r="H1062" s="5" t="str">
        <f t="shared" si="3"/>
        <v/>
      </c>
      <c r="I1062" s="5" t="str">
        <f t="shared" si="4"/>
        <v/>
      </c>
      <c r="J1062" s="5" t="str">
        <f t="shared" si="5"/>
        <v/>
      </c>
      <c r="K1062" s="5" t="str">
        <f>IFERROR(__xludf.DUMMYFUNCTION("IF(C1062&lt;&gt;"""",HYPERLINK(""https://wa.me/507""&amp;REGEXREPLACE(C1062,""[^0-9]"","""")&amp;""?text=""&amp;ENCODEURL(""Ya llegue. Codigo: ""&amp;A1062&amp;"". Ubicacion: ""&amp;""https://www.google.com/maps/search/?api=1&amp;query=""&amp;SUBSTITUTE(F1062,"" "","""")),""📲 Avisar al clien"&amp;"te""),"""")"),"")</f>
        <v/>
      </c>
      <c r="L1062" s="5" t="str">
        <f>IFERROR(__xludf.DUMMYFUNCTION("IF(C1062&lt;&gt;"""",""https://api.qrserver.com/v1/create-qr-code/?size=200x200&amp;data=""&amp;ENCODEURL(""https://wa.me/507""&amp;REGEXREPLACE(C1062,""[^0-9]"","""")&amp;""?text=""&amp;ENCODEURL(""Ya llegue. Codigo: ""&amp;A1062&amp;"". Ubicacion: ""&amp;""https://www.google.com/maps/search"&amp;"/?api=1&amp;query=""&amp;SUBSTITUTE(F1062,"" "",""""))),"""")"),"")</f>
        <v/>
      </c>
      <c r="M1062" s="5" t="str">
        <f t="shared" si="6"/>
        <v/>
      </c>
      <c r="N1062" s="5" t="str">
        <f>IFERROR(__xludf.DUMMYFUNCTION("IF(AND(F1062&lt;&gt;"""",REGEXMATCH(SUBSTITUTE(F1062,"" "",""""),""^-?\d+(\.\d+)?,-?\d+(\.\d+)?$""),VALUE(REGEXEXTRACT(SUBSTITUTE(F1062,"" "",""""),""^-?\d+(\.\d+)?""))&gt;=-90,VALUE(REGEXEXTRACT(SUBSTITUTE(F1062,"" "",""""),""^-?\d+(\.\d+)?""))&lt;=90,VALUE(REGEXEXT"&amp;"RACT(SUBSTITUTE(F1062,"" "",""""),""-?\d+(\.\d+)?$""))&gt;=-180,VALUE(REGEXEXTRACT(SUBSTITUTE(F1062,"" "",""""),""-?\d+(\.\d+)?$""))&lt;=180),""OK"",""REVISAR"")"),"#N/A")</f>
        <v>#N/A</v>
      </c>
    </row>
    <row r="1063" ht="15.75" customHeight="1">
      <c r="A1063" s="5" t="str">
        <f t="shared" si="1"/>
        <v>AD507-1061</v>
      </c>
      <c r="C1063" s="5"/>
      <c r="F1063" s="5"/>
      <c r="G1063" s="5" t="str">
        <f t="shared" si="2"/>
        <v/>
      </c>
      <c r="H1063" s="5" t="str">
        <f t="shared" si="3"/>
        <v/>
      </c>
      <c r="I1063" s="5" t="str">
        <f t="shared" si="4"/>
        <v/>
      </c>
      <c r="J1063" s="5" t="str">
        <f t="shared" si="5"/>
        <v/>
      </c>
      <c r="K1063" s="5" t="str">
        <f>IFERROR(__xludf.DUMMYFUNCTION("IF(C1063&lt;&gt;"""",HYPERLINK(""https://wa.me/507""&amp;REGEXREPLACE(C1063,""[^0-9]"","""")&amp;""?text=""&amp;ENCODEURL(""Ya llegue. Codigo: ""&amp;A1063&amp;"". Ubicacion: ""&amp;""https://www.google.com/maps/search/?api=1&amp;query=""&amp;SUBSTITUTE(F1063,"" "","""")),""📲 Avisar al clien"&amp;"te""),"""")"),"")</f>
        <v/>
      </c>
      <c r="L1063" s="5" t="str">
        <f>IFERROR(__xludf.DUMMYFUNCTION("IF(C1063&lt;&gt;"""",""https://api.qrserver.com/v1/create-qr-code/?size=200x200&amp;data=""&amp;ENCODEURL(""https://wa.me/507""&amp;REGEXREPLACE(C1063,""[^0-9]"","""")&amp;""?text=""&amp;ENCODEURL(""Ya llegue. Codigo: ""&amp;A1063&amp;"". Ubicacion: ""&amp;""https://www.google.com/maps/search"&amp;"/?api=1&amp;query=""&amp;SUBSTITUTE(F1063,"" "",""""))),"""")"),"")</f>
        <v/>
      </c>
      <c r="M1063" s="5" t="str">
        <f t="shared" si="6"/>
        <v/>
      </c>
      <c r="N1063" s="5" t="str">
        <f>IFERROR(__xludf.DUMMYFUNCTION("IF(AND(F1063&lt;&gt;"""",REGEXMATCH(SUBSTITUTE(F1063,"" "",""""),""^-?\d+(\.\d+)?,-?\d+(\.\d+)?$""),VALUE(REGEXEXTRACT(SUBSTITUTE(F1063,"" "",""""),""^-?\d+(\.\d+)?""))&gt;=-90,VALUE(REGEXEXTRACT(SUBSTITUTE(F1063,"" "",""""),""^-?\d+(\.\d+)?""))&lt;=90,VALUE(REGEXEXT"&amp;"RACT(SUBSTITUTE(F1063,"" "",""""),""-?\d+(\.\d+)?$""))&gt;=-180,VALUE(REGEXEXTRACT(SUBSTITUTE(F1063,"" "",""""),""-?\d+(\.\d+)?$""))&lt;=180),""OK"",""REVISAR"")"),"#N/A")</f>
        <v>#N/A</v>
      </c>
    </row>
    <row r="1064" ht="15.75" customHeight="1">
      <c r="A1064" s="5" t="str">
        <f t="shared" si="1"/>
        <v>AD507-1062</v>
      </c>
      <c r="C1064" s="5"/>
      <c r="F1064" s="5"/>
      <c r="G1064" s="5" t="str">
        <f t="shared" si="2"/>
        <v/>
      </c>
      <c r="H1064" s="5" t="str">
        <f t="shared" si="3"/>
        <v/>
      </c>
      <c r="I1064" s="5" t="str">
        <f t="shared" si="4"/>
        <v/>
      </c>
      <c r="J1064" s="5" t="str">
        <f t="shared" si="5"/>
        <v/>
      </c>
      <c r="K1064" s="5" t="str">
        <f>IFERROR(__xludf.DUMMYFUNCTION("IF(C1064&lt;&gt;"""",HYPERLINK(""https://wa.me/507""&amp;REGEXREPLACE(C1064,""[^0-9]"","""")&amp;""?text=""&amp;ENCODEURL(""Ya llegue. Codigo: ""&amp;A1064&amp;"". Ubicacion: ""&amp;""https://www.google.com/maps/search/?api=1&amp;query=""&amp;SUBSTITUTE(F1064,"" "","""")),""📲 Avisar al clien"&amp;"te""),"""")"),"")</f>
        <v/>
      </c>
      <c r="L1064" s="5" t="str">
        <f>IFERROR(__xludf.DUMMYFUNCTION("IF(C1064&lt;&gt;"""",""https://api.qrserver.com/v1/create-qr-code/?size=200x200&amp;data=""&amp;ENCODEURL(""https://wa.me/507""&amp;REGEXREPLACE(C1064,""[^0-9]"","""")&amp;""?text=""&amp;ENCODEURL(""Ya llegue. Codigo: ""&amp;A1064&amp;"". Ubicacion: ""&amp;""https://www.google.com/maps/search"&amp;"/?api=1&amp;query=""&amp;SUBSTITUTE(F1064,"" "",""""))),"""")"),"")</f>
        <v/>
      </c>
      <c r="M1064" s="5" t="str">
        <f t="shared" si="6"/>
        <v/>
      </c>
      <c r="N1064" s="5" t="str">
        <f>IFERROR(__xludf.DUMMYFUNCTION("IF(AND(F1064&lt;&gt;"""",REGEXMATCH(SUBSTITUTE(F1064,"" "",""""),""^-?\d+(\.\d+)?,-?\d+(\.\d+)?$""),VALUE(REGEXEXTRACT(SUBSTITUTE(F1064,"" "",""""),""^-?\d+(\.\d+)?""))&gt;=-90,VALUE(REGEXEXTRACT(SUBSTITUTE(F1064,"" "",""""),""^-?\d+(\.\d+)?""))&lt;=90,VALUE(REGEXEXT"&amp;"RACT(SUBSTITUTE(F1064,"" "",""""),""-?\d+(\.\d+)?$""))&gt;=-180,VALUE(REGEXEXTRACT(SUBSTITUTE(F1064,"" "",""""),""-?\d+(\.\d+)?$""))&lt;=180),""OK"",""REVISAR"")"),"#N/A")</f>
        <v>#N/A</v>
      </c>
    </row>
    <row r="1065" ht="15.75" customHeight="1">
      <c r="A1065" s="5" t="str">
        <f t="shared" si="1"/>
        <v>AD507-1063</v>
      </c>
      <c r="C1065" s="5"/>
      <c r="F1065" s="5"/>
      <c r="G1065" s="5" t="str">
        <f t="shared" si="2"/>
        <v/>
      </c>
      <c r="H1065" s="5" t="str">
        <f t="shared" si="3"/>
        <v/>
      </c>
      <c r="I1065" s="5" t="str">
        <f t="shared" si="4"/>
        <v/>
      </c>
      <c r="J1065" s="5" t="str">
        <f t="shared" si="5"/>
        <v/>
      </c>
      <c r="K1065" s="5" t="str">
        <f>IFERROR(__xludf.DUMMYFUNCTION("IF(C1065&lt;&gt;"""",HYPERLINK(""https://wa.me/507""&amp;REGEXREPLACE(C1065,""[^0-9]"","""")&amp;""?text=""&amp;ENCODEURL(""Ya llegue. Codigo: ""&amp;A1065&amp;"". Ubicacion: ""&amp;""https://www.google.com/maps/search/?api=1&amp;query=""&amp;SUBSTITUTE(F1065,"" "","""")),""📲 Avisar al clien"&amp;"te""),"""")"),"")</f>
        <v/>
      </c>
      <c r="L1065" s="5" t="str">
        <f>IFERROR(__xludf.DUMMYFUNCTION("IF(C1065&lt;&gt;"""",""https://api.qrserver.com/v1/create-qr-code/?size=200x200&amp;data=""&amp;ENCODEURL(""https://wa.me/507""&amp;REGEXREPLACE(C1065,""[^0-9]"","""")&amp;""?text=""&amp;ENCODEURL(""Ya llegue. Codigo: ""&amp;A1065&amp;"". Ubicacion: ""&amp;""https://www.google.com/maps/search"&amp;"/?api=1&amp;query=""&amp;SUBSTITUTE(F1065,"" "",""""))),"""")"),"")</f>
        <v/>
      </c>
      <c r="M1065" s="5" t="str">
        <f t="shared" si="6"/>
        <v/>
      </c>
      <c r="N1065" s="5" t="str">
        <f>IFERROR(__xludf.DUMMYFUNCTION("IF(AND(F1065&lt;&gt;"""",REGEXMATCH(SUBSTITUTE(F1065,"" "",""""),""^-?\d+(\.\d+)?,-?\d+(\.\d+)?$""),VALUE(REGEXEXTRACT(SUBSTITUTE(F1065,"" "",""""),""^-?\d+(\.\d+)?""))&gt;=-90,VALUE(REGEXEXTRACT(SUBSTITUTE(F1065,"" "",""""),""^-?\d+(\.\d+)?""))&lt;=90,VALUE(REGEXEXT"&amp;"RACT(SUBSTITUTE(F1065,"" "",""""),""-?\d+(\.\d+)?$""))&gt;=-180,VALUE(REGEXEXTRACT(SUBSTITUTE(F1065,"" "",""""),""-?\d+(\.\d+)?$""))&lt;=180),""OK"",""REVISAR"")"),"#N/A")</f>
        <v>#N/A</v>
      </c>
    </row>
    <row r="1066" ht="15.75" customHeight="1">
      <c r="A1066" s="5" t="str">
        <f t="shared" si="1"/>
        <v>AD507-1064</v>
      </c>
      <c r="C1066" s="5"/>
      <c r="F1066" s="5"/>
      <c r="G1066" s="5" t="str">
        <f t="shared" si="2"/>
        <v/>
      </c>
      <c r="H1066" s="5" t="str">
        <f t="shared" si="3"/>
        <v/>
      </c>
      <c r="I1066" s="5" t="str">
        <f t="shared" si="4"/>
        <v/>
      </c>
      <c r="J1066" s="5" t="str">
        <f t="shared" si="5"/>
        <v/>
      </c>
      <c r="K1066" s="5" t="str">
        <f>IFERROR(__xludf.DUMMYFUNCTION("IF(C1066&lt;&gt;"""",HYPERLINK(""https://wa.me/507""&amp;REGEXREPLACE(C1066,""[^0-9]"","""")&amp;""?text=""&amp;ENCODEURL(""Ya llegue. Codigo: ""&amp;A1066&amp;"". Ubicacion: ""&amp;""https://www.google.com/maps/search/?api=1&amp;query=""&amp;SUBSTITUTE(F1066,"" "","""")),""📲 Avisar al clien"&amp;"te""),"""")"),"")</f>
        <v/>
      </c>
      <c r="L1066" s="5" t="str">
        <f>IFERROR(__xludf.DUMMYFUNCTION("IF(C1066&lt;&gt;"""",""https://api.qrserver.com/v1/create-qr-code/?size=200x200&amp;data=""&amp;ENCODEURL(""https://wa.me/507""&amp;REGEXREPLACE(C1066,""[^0-9]"","""")&amp;""?text=""&amp;ENCODEURL(""Ya llegue. Codigo: ""&amp;A1066&amp;"". Ubicacion: ""&amp;""https://www.google.com/maps/search"&amp;"/?api=1&amp;query=""&amp;SUBSTITUTE(F1066,"" "",""""))),"""")"),"")</f>
        <v/>
      </c>
      <c r="M1066" s="5" t="str">
        <f t="shared" si="6"/>
        <v/>
      </c>
      <c r="N1066" s="5" t="str">
        <f>IFERROR(__xludf.DUMMYFUNCTION("IF(AND(F1066&lt;&gt;"""",REGEXMATCH(SUBSTITUTE(F1066,"" "",""""),""^-?\d+(\.\d+)?,-?\d+(\.\d+)?$""),VALUE(REGEXEXTRACT(SUBSTITUTE(F1066,"" "",""""),""^-?\d+(\.\d+)?""))&gt;=-90,VALUE(REGEXEXTRACT(SUBSTITUTE(F1066,"" "",""""),""^-?\d+(\.\d+)?""))&lt;=90,VALUE(REGEXEXT"&amp;"RACT(SUBSTITUTE(F1066,"" "",""""),""-?\d+(\.\d+)?$""))&gt;=-180,VALUE(REGEXEXTRACT(SUBSTITUTE(F1066,"" "",""""),""-?\d+(\.\d+)?$""))&lt;=180),""OK"",""REVISAR"")"),"#N/A")</f>
        <v>#N/A</v>
      </c>
    </row>
    <row r="1067" ht="15.75" customHeight="1">
      <c r="A1067" s="5" t="str">
        <f t="shared" si="1"/>
        <v>AD507-1065</v>
      </c>
      <c r="C1067" s="5"/>
      <c r="F1067" s="5"/>
      <c r="G1067" s="5" t="str">
        <f t="shared" si="2"/>
        <v/>
      </c>
      <c r="H1067" s="5" t="str">
        <f t="shared" si="3"/>
        <v/>
      </c>
      <c r="I1067" s="5" t="str">
        <f t="shared" si="4"/>
        <v/>
      </c>
      <c r="J1067" s="5" t="str">
        <f t="shared" si="5"/>
        <v/>
      </c>
      <c r="K1067" s="5" t="str">
        <f>IFERROR(__xludf.DUMMYFUNCTION("IF(C1067&lt;&gt;"""",HYPERLINK(""https://wa.me/507""&amp;REGEXREPLACE(C1067,""[^0-9]"","""")&amp;""?text=""&amp;ENCODEURL(""Ya llegue. Codigo: ""&amp;A1067&amp;"". Ubicacion: ""&amp;""https://www.google.com/maps/search/?api=1&amp;query=""&amp;SUBSTITUTE(F1067,"" "","""")),""📲 Avisar al clien"&amp;"te""),"""")"),"")</f>
        <v/>
      </c>
      <c r="L1067" s="5" t="str">
        <f>IFERROR(__xludf.DUMMYFUNCTION("IF(C1067&lt;&gt;"""",""https://api.qrserver.com/v1/create-qr-code/?size=200x200&amp;data=""&amp;ENCODEURL(""https://wa.me/507""&amp;REGEXREPLACE(C1067,""[^0-9]"","""")&amp;""?text=""&amp;ENCODEURL(""Ya llegue. Codigo: ""&amp;A1067&amp;"". Ubicacion: ""&amp;""https://www.google.com/maps/search"&amp;"/?api=1&amp;query=""&amp;SUBSTITUTE(F1067,"" "",""""))),"""")"),"")</f>
        <v/>
      </c>
      <c r="M1067" s="5" t="str">
        <f t="shared" si="6"/>
        <v/>
      </c>
      <c r="N1067" s="5" t="str">
        <f>IFERROR(__xludf.DUMMYFUNCTION("IF(AND(F1067&lt;&gt;"""",REGEXMATCH(SUBSTITUTE(F1067,"" "",""""),""^-?\d+(\.\d+)?,-?\d+(\.\d+)?$""),VALUE(REGEXEXTRACT(SUBSTITUTE(F1067,"" "",""""),""^-?\d+(\.\d+)?""))&gt;=-90,VALUE(REGEXEXTRACT(SUBSTITUTE(F1067,"" "",""""),""^-?\d+(\.\d+)?""))&lt;=90,VALUE(REGEXEXT"&amp;"RACT(SUBSTITUTE(F1067,"" "",""""),""-?\d+(\.\d+)?$""))&gt;=-180,VALUE(REGEXEXTRACT(SUBSTITUTE(F1067,"" "",""""),""-?\d+(\.\d+)?$""))&lt;=180),""OK"",""REVISAR"")"),"#N/A")</f>
        <v>#N/A</v>
      </c>
    </row>
    <row r="1068" ht="15.75" customHeight="1">
      <c r="A1068" s="5" t="str">
        <f t="shared" si="1"/>
        <v>AD507-1066</v>
      </c>
      <c r="C1068" s="5"/>
      <c r="F1068" s="5"/>
      <c r="G1068" s="5" t="str">
        <f t="shared" si="2"/>
        <v/>
      </c>
      <c r="H1068" s="5" t="str">
        <f t="shared" si="3"/>
        <v/>
      </c>
      <c r="I1068" s="5" t="str">
        <f t="shared" si="4"/>
        <v/>
      </c>
      <c r="J1068" s="5" t="str">
        <f t="shared" si="5"/>
        <v/>
      </c>
      <c r="K1068" s="5" t="str">
        <f>IFERROR(__xludf.DUMMYFUNCTION("IF(C1068&lt;&gt;"""",HYPERLINK(""https://wa.me/507""&amp;REGEXREPLACE(C1068,""[^0-9]"","""")&amp;""?text=""&amp;ENCODEURL(""Ya llegue. Codigo: ""&amp;A1068&amp;"". Ubicacion: ""&amp;""https://www.google.com/maps/search/?api=1&amp;query=""&amp;SUBSTITUTE(F1068,"" "","""")),""📲 Avisar al clien"&amp;"te""),"""")"),"")</f>
        <v/>
      </c>
      <c r="L1068" s="5" t="str">
        <f>IFERROR(__xludf.DUMMYFUNCTION("IF(C1068&lt;&gt;"""",""https://api.qrserver.com/v1/create-qr-code/?size=200x200&amp;data=""&amp;ENCODEURL(""https://wa.me/507""&amp;REGEXREPLACE(C1068,""[^0-9]"","""")&amp;""?text=""&amp;ENCODEURL(""Ya llegue. Codigo: ""&amp;A1068&amp;"". Ubicacion: ""&amp;""https://www.google.com/maps/search"&amp;"/?api=1&amp;query=""&amp;SUBSTITUTE(F1068,"" "",""""))),"""")"),"")</f>
        <v/>
      </c>
      <c r="M1068" s="5" t="str">
        <f t="shared" si="6"/>
        <v/>
      </c>
      <c r="N1068" s="5" t="str">
        <f>IFERROR(__xludf.DUMMYFUNCTION("IF(AND(F1068&lt;&gt;"""",REGEXMATCH(SUBSTITUTE(F1068,"" "",""""),""^-?\d+(\.\d+)?,-?\d+(\.\d+)?$""),VALUE(REGEXEXTRACT(SUBSTITUTE(F1068,"" "",""""),""^-?\d+(\.\d+)?""))&gt;=-90,VALUE(REGEXEXTRACT(SUBSTITUTE(F1068,"" "",""""),""^-?\d+(\.\d+)?""))&lt;=90,VALUE(REGEXEXT"&amp;"RACT(SUBSTITUTE(F1068,"" "",""""),""-?\d+(\.\d+)?$""))&gt;=-180,VALUE(REGEXEXTRACT(SUBSTITUTE(F1068,"" "",""""),""-?\d+(\.\d+)?$""))&lt;=180),""OK"",""REVISAR"")"),"#N/A")</f>
        <v>#N/A</v>
      </c>
    </row>
    <row r="1069" ht="15.75" customHeight="1">
      <c r="A1069" s="5" t="str">
        <f t="shared" si="1"/>
        <v>AD507-1067</v>
      </c>
      <c r="C1069" s="5"/>
      <c r="F1069" s="5"/>
      <c r="G1069" s="5" t="str">
        <f t="shared" si="2"/>
        <v/>
      </c>
      <c r="H1069" s="5" t="str">
        <f t="shared" si="3"/>
        <v/>
      </c>
      <c r="I1069" s="5" t="str">
        <f t="shared" si="4"/>
        <v/>
      </c>
      <c r="J1069" s="5" t="str">
        <f t="shared" si="5"/>
        <v/>
      </c>
      <c r="K1069" s="5" t="str">
        <f>IFERROR(__xludf.DUMMYFUNCTION("IF(C1069&lt;&gt;"""",HYPERLINK(""https://wa.me/507""&amp;REGEXREPLACE(C1069,""[^0-9]"","""")&amp;""?text=""&amp;ENCODEURL(""Ya llegue. Codigo: ""&amp;A1069&amp;"". Ubicacion: ""&amp;""https://www.google.com/maps/search/?api=1&amp;query=""&amp;SUBSTITUTE(F1069,"" "","""")),""📲 Avisar al clien"&amp;"te""),"""")"),"")</f>
        <v/>
      </c>
      <c r="L1069" s="5" t="str">
        <f>IFERROR(__xludf.DUMMYFUNCTION("IF(C1069&lt;&gt;"""",""https://api.qrserver.com/v1/create-qr-code/?size=200x200&amp;data=""&amp;ENCODEURL(""https://wa.me/507""&amp;REGEXREPLACE(C1069,""[^0-9]"","""")&amp;""?text=""&amp;ENCODEURL(""Ya llegue. Codigo: ""&amp;A1069&amp;"". Ubicacion: ""&amp;""https://www.google.com/maps/search"&amp;"/?api=1&amp;query=""&amp;SUBSTITUTE(F1069,"" "",""""))),"""")"),"")</f>
        <v/>
      </c>
      <c r="M1069" s="5" t="str">
        <f t="shared" si="6"/>
        <v/>
      </c>
      <c r="N1069" s="5" t="str">
        <f>IFERROR(__xludf.DUMMYFUNCTION("IF(AND(F1069&lt;&gt;"""",REGEXMATCH(SUBSTITUTE(F1069,"" "",""""),""^-?\d+(\.\d+)?,-?\d+(\.\d+)?$""),VALUE(REGEXEXTRACT(SUBSTITUTE(F1069,"" "",""""),""^-?\d+(\.\d+)?""))&gt;=-90,VALUE(REGEXEXTRACT(SUBSTITUTE(F1069,"" "",""""),""^-?\d+(\.\d+)?""))&lt;=90,VALUE(REGEXEXT"&amp;"RACT(SUBSTITUTE(F1069,"" "",""""),""-?\d+(\.\d+)?$""))&gt;=-180,VALUE(REGEXEXTRACT(SUBSTITUTE(F1069,"" "",""""),""-?\d+(\.\d+)?$""))&lt;=180),""OK"",""REVISAR"")"),"#N/A")</f>
        <v>#N/A</v>
      </c>
    </row>
    <row r="1070" ht="15.75" customHeight="1">
      <c r="A1070" s="5" t="str">
        <f t="shared" si="1"/>
        <v>AD507-1068</v>
      </c>
      <c r="C1070" s="5"/>
      <c r="F1070" s="5"/>
      <c r="G1070" s="5" t="str">
        <f t="shared" si="2"/>
        <v/>
      </c>
      <c r="H1070" s="5" t="str">
        <f t="shared" si="3"/>
        <v/>
      </c>
      <c r="I1070" s="5" t="str">
        <f t="shared" si="4"/>
        <v/>
      </c>
      <c r="J1070" s="5" t="str">
        <f t="shared" si="5"/>
        <v/>
      </c>
      <c r="K1070" s="5" t="str">
        <f>IFERROR(__xludf.DUMMYFUNCTION("IF(C1070&lt;&gt;"""",HYPERLINK(""https://wa.me/507""&amp;REGEXREPLACE(C1070,""[^0-9]"","""")&amp;""?text=""&amp;ENCODEURL(""Ya llegue. Codigo: ""&amp;A1070&amp;"". Ubicacion: ""&amp;""https://www.google.com/maps/search/?api=1&amp;query=""&amp;SUBSTITUTE(F1070,"" "","""")),""📲 Avisar al clien"&amp;"te""),"""")"),"")</f>
        <v/>
      </c>
      <c r="L1070" s="5" t="str">
        <f>IFERROR(__xludf.DUMMYFUNCTION("IF(C1070&lt;&gt;"""",""https://api.qrserver.com/v1/create-qr-code/?size=200x200&amp;data=""&amp;ENCODEURL(""https://wa.me/507""&amp;REGEXREPLACE(C1070,""[^0-9]"","""")&amp;""?text=""&amp;ENCODEURL(""Ya llegue. Codigo: ""&amp;A1070&amp;"". Ubicacion: ""&amp;""https://www.google.com/maps/search"&amp;"/?api=1&amp;query=""&amp;SUBSTITUTE(F1070,"" "",""""))),"""")"),"")</f>
        <v/>
      </c>
      <c r="M1070" s="5" t="str">
        <f t="shared" si="6"/>
        <v/>
      </c>
      <c r="N1070" s="5" t="str">
        <f>IFERROR(__xludf.DUMMYFUNCTION("IF(AND(F1070&lt;&gt;"""",REGEXMATCH(SUBSTITUTE(F1070,"" "",""""),""^-?\d+(\.\d+)?,-?\d+(\.\d+)?$""),VALUE(REGEXEXTRACT(SUBSTITUTE(F1070,"" "",""""),""^-?\d+(\.\d+)?""))&gt;=-90,VALUE(REGEXEXTRACT(SUBSTITUTE(F1070,"" "",""""),""^-?\d+(\.\d+)?""))&lt;=90,VALUE(REGEXEXT"&amp;"RACT(SUBSTITUTE(F1070,"" "",""""),""-?\d+(\.\d+)?$""))&gt;=-180,VALUE(REGEXEXTRACT(SUBSTITUTE(F1070,"" "",""""),""-?\d+(\.\d+)?$""))&lt;=180),""OK"",""REVISAR"")"),"#N/A")</f>
        <v>#N/A</v>
      </c>
    </row>
    <row r="1071" ht="15.75" customHeight="1">
      <c r="A1071" s="5" t="str">
        <f t="shared" si="1"/>
        <v>AD507-1069</v>
      </c>
      <c r="C1071" s="5"/>
      <c r="F1071" s="5"/>
      <c r="G1071" s="5" t="str">
        <f t="shared" si="2"/>
        <v/>
      </c>
      <c r="H1071" s="5" t="str">
        <f t="shared" si="3"/>
        <v/>
      </c>
      <c r="I1071" s="5" t="str">
        <f t="shared" si="4"/>
        <v/>
      </c>
      <c r="J1071" s="5" t="str">
        <f t="shared" si="5"/>
        <v/>
      </c>
      <c r="K1071" s="5" t="str">
        <f>IFERROR(__xludf.DUMMYFUNCTION("IF(C1071&lt;&gt;"""",HYPERLINK(""https://wa.me/507""&amp;REGEXREPLACE(C1071,""[^0-9]"","""")&amp;""?text=""&amp;ENCODEURL(""Ya llegue. Codigo: ""&amp;A1071&amp;"". Ubicacion: ""&amp;""https://www.google.com/maps/search/?api=1&amp;query=""&amp;SUBSTITUTE(F1071,"" "","""")),""📲 Avisar al clien"&amp;"te""),"""")"),"")</f>
        <v/>
      </c>
      <c r="L1071" s="5" t="str">
        <f>IFERROR(__xludf.DUMMYFUNCTION("IF(C1071&lt;&gt;"""",""https://api.qrserver.com/v1/create-qr-code/?size=200x200&amp;data=""&amp;ENCODEURL(""https://wa.me/507""&amp;REGEXREPLACE(C1071,""[^0-9]"","""")&amp;""?text=""&amp;ENCODEURL(""Ya llegue. Codigo: ""&amp;A1071&amp;"". Ubicacion: ""&amp;""https://www.google.com/maps/search"&amp;"/?api=1&amp;query=""&amp;SUBSTITUTE(F1071,"" "",""""))),"""")"),"")</f>
        <v/>
      </c>
      <c r="M1071" s="5" t="str">
        <f t="shared" si="6"/>
        <v/>
      </c>
      <c r="N1071" s="5" t="str">
        <f>IFERROR(__xludf.DUMMYFUNCTION("IF(AND(F1071&lt;&gt;"""",REGEXMATCH(SUBSTITUTE(F1071,"" "",""""),""^-?\d+(\.\d+)?,-?\d+(\.\d+)?$""),VALUE(REGEXEXTRACT(SUBSTITUTE(F1071,"" "",""""),""^-?\d+(\.\d+)?""))&gt;=-90,VALUE(REGEXEXTRACT(SUBSTITUTE(F1071,"" "",""""),""^-?\d+(\.\d+)?""))&lt;=90,VALUE(REGEXEXT"&amp;"RACT(SUBSTITUTE(F1071,"" "",""""),""-?\d+(\.\d+)?$""))&gt;=-180,VALUE(REGEXEXTRACT(SUBSTITUTE(F1071,"" "",""""),""-?\d+(\.\d+)?$""))&lt;=180),""OK"",""REVISAR"")"),"#N/A")</f>
        <v>#N/A</v>
      </c>
    </row>
    <row r="1072" ht="15.75" customHeight="1">
      <c r="A1072" s="5" t="str">
        <f t="shared" si="1"/>
        <v>AD507-1070</v>
      </c>
      <c r="C1072" s="5"/>
      <c r="F1072" s="5"/>
      <c r="G1072" s="5" t="str">
        <f t="shared" si="2"/>
        <v/>
      </c>
      <c r="H1072" s="5" t="str">
        <f t="shared" si="3"/>
        <v/>
      </c>
      <c r="I1072" s="5" t="str">
        <f t="shared" si="4"/>
        <v/>
      </c>
      <c r="J1072" s="5" t="str">
        <f t="shared" si="5"/>
        <v/>
      </c>
      <c r="K1072" s="5" t="str">
        <f>IFERROR(__xludf.DUMMYFUNCTION("IF(C1072&lt;&gt;"""",HYPERLINK(""https://wa.me/507""&amp;REGEXREPLACE(C1072,""[^0-9]"","""")&amp;""?text=""&amp;ENCODEURL(""Ya llegue. Codigo: ""&amp;A1072&amp;"". Ubicacion: ""&amp;""https://www.google.com/maps/search/?api=1&amp;query=""&amp;SUBSTITUTE(F1072,"" "","""")),""📲 Avisar al clien"&amp;"te""),"""")"),"")</f>
        <v/>
      </c>
      <c r="L1072" s="5" t="str">
        <f>IFERROR(__xludf.DUMMYFUNCTION("IF(C1072&lt;&gt;"""",""https://api.qrserver.com/v1/create-qr-code/?size=200x200&amp;data=""&amp;ENCODEURL(""https://wa.me/507""&amp;REGEXREPLACE(C1072,""[^0-9]"","""")&amp;""?text=""&amp;ENCODEURL(""Ya llegue. Codigo: ""&amp;A1072&amp;"". Ubicacion: ""&amp;""https://www.google.com/maps/search"&amp;"/?api=1&amp;query=""&amp;SUBSTITUTE(F1072,"" "",""""))),"""")"),"")</f>
        <v/>
      </c>
      <c r="M1072" s="5" t="str">
        <f t="shared" si="6"/>
        <v/>
      </c>
      <c r="N1072" s="5" t="str">
        <f>IFERROR(__xludf.DUMMYFUNCTION("IF(AND(F1072&lt;&gt;"""",REGEXMATCH(SUBSTITUTE(F1072,"" "",""""),""^-?\d+(\.\d+)?,-?\d+(\.\d+)?$""),VALUE(REGEXEXTRACT(SUBSTITUTE(F1072,"" "",""""),""^-?\d+(\.\d+)?""))&gt;=-90,VALUE(REGEXEXTRACT(SUBSTITUTE(F1072,"" "",""""),""^-?\d+(\.\d+)?""))&lt;=90,VALUE(REGEXEXT"&amp;"RACT(SUBSTITUTE(F1072,"" "",""""),""-?\d+(\.\d+)?$""))&gt;=-180,VALUE(REGEXEXTRACT(SUBSTITUTE(F1072,"" "",""""),""-?\d+(\.\d+)?$""))&lt;=180),""OK"",""REVISAR"")"),"#N/A")</f>
        <v>#N/A</v>
      </c>
    </row>
    <row r="1073" ht="15.75" customHeight="1">
      <c r="A1073" s="5" t="str">
        <f t="shared" si="1"/>
        <v>AD507-1071</v>
      </c>
      <c r="C1073" s="5"/>
      <c r="F1073" s="5"/>
      <c r="G1073" s="5" t="str">
        <f t="shared" si="2"/>
        <v/>
      </c>
      <c r="H1073" s="5" t="str">
        <f t="shared" si="3"/>
        <v/>
      </c>
      <c r="I1073" s="5" t="str">
        <f t="shared" si="4"/>
        <v/>
      </c>
      <c r="J1073" s="5" t="str">
        <f t="shared" si="5"/>
        <v/>
      </c>
      <c r="K1073" s="5" t="str">
        <f>IFERROR(__xludf.DUMMYFUNCTION("IF(C1073&lt;&gt;"""",HYPERLINK(""https://wa.me/507""&amp;REGEXREPLACE(C1073,""[^0-9]"","""")&amp;""?text=""&amp;ENCODEURL(""Ya llegue. Codigo: ""&amp;A1073&amp;"". Ubicacion: ""&amp;""https://www.google.com/maps/search/?api=1&amp;query=""&amp;SUBSTITUTE(F1073,"" "","""")),""📲 Avisar al clien"&amp;"te""),"""")"),"")</f>
        <v/>
      </c>
      <c r="L1073" s="5" t="str">
        <f>IFERROR(__xludf.DUMMYFUNCTION("IF(C1073&lt;&gt;"""",""https://api.qrserver.com/v1/create-qr-code/?size=200x200&amp;data=""&amp;ENCODEURL(""https://wa.me/507""&amp;REGEXREPLACE(C1073,""[^0-9]"","""")&amp;""?text=""&amp;ENCODEURL(""Ya llegue. Codigo: ""&amp;A1073&amp;"". Ubicacion: ""&amp;""https://www.google.com/maps/search"&amp;"/?api=1&amp;query=""&amp;SUBSTITUTE(F1073,"" "",""""))),"""")"),"")</f>
        <v/>
      </c>
      <c r="M1073" s="5" t="str">
        <f t="shared" si="6"/>
        <v/>
      </c>
      <c r="N1073" s="5" t="str">
        <f>IFERROR(__xludf.DUMMYFUNCTION("IF(AND(F1073&lt;&gt;"""",REGEXMATCH(SUBSTITUTE(F1073,"" "",""""),""^-?\d+(\.\d+)?,-?\d+(\.\d+)?$""),VALUE(REGEXEXTRACT(SUBSTITUTE(F1073,"" "",""""),""^-?\d+(\.\d+)?""))&gt;=-90,VALUE(REGEXEXTRACT(SUBSTITUTE(F1073,"" "",""""),""^-?\d+(\.\d+)?""))&lt;=90,VALUE(REGEXEXT"&amp;"RACT(SUBSTITUTE(F1073,"" "",""""),""-?\d+(\.\d+)?$""))&gt;=-180,VALUE(REGEXEXTRACT(SUBSTITUTE(F1073,"" "",""""),""-?\d+(\.\d+)?$""))&lt;=180),""OK"",""REVISAR"")"),"#N/A")</f>
        <v>#N/A</v>
      </c>
    </row>
    <row r="1074" ht="15.75" customHeight="1">
      <c r="A1074" s="5" t="str">
        <f t="shared" si="1"/>
        <v>AD507-1072</v>
      </c>
      <c r="C1074" s="5"/>
      <c r="F1074" s="5"/>
      <c r="G1074" s="5" t="str">
        <f t="shared" si="2"/>
        <v/>
      </c>
      <c r="H1074" s="5" t="str">
        <f t="shared" si="3"/>
        <v/>
      </c>
      <c r="I1074" s="5" t="str">
        <f t="shared" si="4"/>
        <v/>
      </c>
      <c r="J1074" s="5" t="str">
        <f t="shared" si="5"/>
        <v/>
      </c>
      <c r="K1074" s="5" t="str">
        <f>IFERROR(__xludf.DUMMYFUNCTION("IF(C1074&lt;&gt;"""",HYPERLINK(""https://wa.me/507""&amp;REGEXREPLACE(C1074,""[^0-9]"","""")&amp;""?text=""&amp;ENCODEURL(""Ya llegue. Codigo: ""&amp;A1074&amp;"". Ubicacion: ""&amp;""https://www.google.com/maps/search/?api=1&amp;query=""&amp;SUBSTITUTE(F1074,"" "","""")),""📲 Avisar al clien"&amp;"te""),"""")"),"")</f>
        <v/>
      </c>
      <c r="L1074" s="5" t="str">
        <f>IFERROR(__xludf.DUMMYFUNCTION("IF(C1074&lt;&gt;"""",""https://api.qrserver.com/v1/create-qr-code/?size=200x200&amp;data=""&amp;ENCODEURL(""https://wa.me/507""&amp;REGEXREPLACE(C1074,""[^0-9]"","""")&amp;""?text=""&amp;ENCODEURL(""Ya llegue. Codigo: ""&amp;A1074&amp;"". Ubicacion: ""&amp;""https://www.google.com/maps/search"&amp;"/?api=1&amp;query=""&amp;SUBSTITUTE(F1074,"" "",""""))),"""")"),"")</f>
        <v/>
      </c>
      <c r="M1074" s="5" t="str">
        <f t="shared" si="6"/>
        <v/>
      </c>
      <c r="N1074" s="5" t="str">
        <f>IFERROR(__xludf.DUMMYFUNCTION("IF(AND(F1074&lt;&gt;"""",REGEXMATCH(SUBSTITUTE(F1074,"" "",""""),""^-?\d+(\.\d+)?,-?\d+(\.\d+)?$""),VALUE(REGEXEXTRACT(SUBSTITUTE(F1074,"" "",""""),""^-?\d+(\.\d+)?""))&gt;=-90,VALUE(REGEXEXTRACT(SUBSTITUTE(F1074,"" "",""""),""^-?\d+(\.\d+)?""))&lt;=90,VALUE(REGEXEXT"&amp;"RACT(SUBSTITUTE(F1074,"" "",""""),""-?\d+(\.\d+)?$""))&gt;=-180,VALUE(REGEXEXTRACT(SUBSTITUTE(F1074,"" "",""""),""-?\d+(\.\d+)?$""))&lt;=180),""OK"",""REVISAR"")"),"#N/A")</f>
        <v>#N/A</v>
      </c>
    </row>
    <row r="1075" ht="15.75" customHeight="1">
      <c r="A1075" s="5" t="str">
        <f t="shared" si="1"/>
        <v>AD507-1073</v>
      </c>
      <c r="C1075" s="5"/>
      <c r="F1075" s="5"/>
      <c r="G1075" s="5" t="str">
        <f t="shared" si="2"/>
        <v/>
      </c>
      <c r="H1075" s="5" t="str">
        <f t="shared" si="3"/>
        <v/>
      </c>
      <c r="I1075" s="5" t="str">
        <f t="shared" si="4"/>
        <v/>
      </c>
      <c r="J1075" s="5" t="str">
        <f t="shared" si="5"/>
        <v/>
      </c>
      <c r="K1075" s="5" t="str">
        <f>IFERROR(__xludf.DUMMYFUNCTION("IF(C1075&lt;&gt;"""",HYPERLINK(""https://wa.me/507""&amp;REGEXREPLACE(C1075,""[^0-9]"","""")&amp;""?text=""&amp;ENCODEURL(""Ya llegue. Codigo: ""&amp;A1075&amp;"". Ubicacion: ""&amp;""https://www.google.com/maps/search/?api=1&amp;query=""&amp;SUBSTITUTE(F1075,"" "","""")),""📲 Avisar al clien"&amp;"te""),"""")"),"")</f>
        <v/>
      </c>
      <c r="L1075" s="5" t="str">
        <f>IFERROR(__xludf.DUMMYFUNCTION("IF(C1075&lt;&gt;"""",""https://api.qrserver.com/v1/create-qr-code/?size=200x200&amp;data=""&amp;ENCODEURL(""https://wa.me/507""&amp;REGEXREPLACE(C1075,""[^0-9]"","""")&amp;""?text=""&amp;ENCODEURL(""Ya llegue. Codigo: ""&amp;A1075&amp;"". Ubicacion: ""&amp;""https://www.google.com/maps/search"&amp;"/?api=1&amp;query=""&amp;SUBSTITUTE(F1075,"" "",""""))),"""")"),"")</f>
        <v/>
      </c>
      <c r="M1075" s="5" t="str">
        <f t="shared" si="6"/>
        <v/>
      </c>
      <c r="N1075" s="5" t="str">
        <f>IFERROR(__xludf.DUMMYFUNCTION("IF(AND(F1075&lt;&gt;"""",REGEXMATCH(SUBSTITUTE(F1075,"" "",""""),""^-?\d+(\.\d+)?,-?\d+(\.\d+)?$""),VALUE(REGEXEXTRACT(SUBSTITUTE(F1075,"" "",""""),""^-?\d+(\.\d+)?""))&gt;=-90,VALUE(REGEXEXTRACT(SUBSTITUTE(F1075,"" "",""""),""^-?\d+(\.\d+)?""))&lt;=90,VALUE(REGEXEXT"&amp;"RACT(SUBSTITUTE(F1075,"" "",""""),""-?\d+(\.\d+)?$""))&gt;=-180,VALUE(REGEXEXTRACT(SUBSTITUTE(F1075,"" "",""""),""-?\d+(\.\d+)?$""))&lt;=180),""OK"",""REVISAR"")"),"#N/A")</f>
        <v>#N/A</v>
      </c>
    </row>
    <row r="1076" ht="15.75" customHeight="1">
      <c r="A1076" s="5" t="str">
        <f t="shared" si="1"/>
        <v>AD507-1074</v>
      </c>
      <c r="C1076" s="5"/>
      <c r="F1076" s="5"/>
      <c r="G1076" s="5" t="str">
        <f t="shared" si="2"/>
        <v/>
      </c>
      <c r="H1076" s="5" t="str">
        <f t="shared" si="3"/>
        <v/>
      </c>
      <c r="I1076" s="5" t="str">
        <f t="shared" si="4"/>
        <v/>
      </c>
      <c r="J1076" s="5" t="str">
        <f t="shared" si="5"/>
        <v/>
      </c>
      <c r="K1076" s="5" t="str">
        <f>IFERROR(__xludf.DUMMYFUNCTION("IF(C1076&lt;&gt;"""",HYPERLINK(""https://wa.me/507""&amp;REGEXREPLACE(C1076,""[^0-9]"","""")&amp;""?text=""&amp;ENCODEURL(""Ya llegue. Codigo: ""&amp;A1076&amp;"". Ubicacion: ""&amp;""https://www.google.com/maps/search/?api=1&amp;query=""&amp;SUBSTITUTE(F1076,"" "","""")),""📲 Avisar al clien"&amp;"te""),"""")"),"")</f>
        <v/>
      </c>
      <c r="L1076" s="5" t="str">
        <f>IFERROR(__xludf.DUMMYFUNCTION("IF(C1076&lt;&gt;"""",""https://api.qrserver.com/v1/create-qr-code/?size=200x200&amp;data=""&amp;ENCODEURL(""https://wa.me/507""&amp;REGEXREPLACE(C1076,""[^0-9]"","""")&amp;""?text=""&amp;ENCODEURL(""Ya llegue. Codigo: ""&amp;A1076&amp;"". Ubicacion: ""&amp;""https://www.google.com/maps/search"&amp;"/?api=1&amp;query=""&amp;SUBSTITUTE(F1076,"" "",""""))),"""")"),"")</f>
        <v/>
      </c>
      <c r="M1076" s="5" t="str">
        <f t="shared" si="6"/>
        <v/>
      </c>
      <c r="N1076" s="5" t="str">
        <f>IFERROR(__xludf.DUMMYFUNCTION("IF(AND(F1076&lt;&gt;"""",REGEXMATCH(SUBSTITUTE(F1076,"" "",""""),""^-?\d+(\.\d+)?,-?\d+(\.\d+)?$""),VALUE(REGEXEXTRACT(SUBSTITUTE(F1076,"" "",""""),""^-?\d+(\.\d+)?""))&gt;=-90,VALUE(REGEXEXTRACT(SUBSTITUTE(F1076,"" "",""""),""^-?\d+(\.\d+)?""))&lt;=90,VALUE(REGEXEXT"&amp;"RACT(SUBSTITUTE(F1076,"" "",""""),""-?\d+(\.\d+)?$""))&gt;=-180,VALUE(REGEXEXTRACT(SUBSTITUTE(F1076,"" "",""""),""-?\d+(\.\d+)?$""))&lt;=180),""OK"",""REVISAR"")"),"#N/A")</f>
        <v>#N/A</v>
      </c>
    </row>
    <row r="1077" ht="15.75" customHeight="1">
      <c r="A1077" s="5" t="str">
        <f t="shared" si="1"/>
        <v>AD507-1075</v>
      </c>
      <c r="C1077" s="5"/>
      <c r="F1077" s="5"/>
      <c r="G1077" s="5" t="str">
        <f t="shared" si="2"/>
        <v/>
      </c>
      <c r="H1077" s="5" t="str">
        <f t="shared" si="3"/>
        <v/>
      </c>
      <c r="I1077" s="5" t="str">
        <f t="shared" si="4"/>
        <v/>
      </c>
      <c r="J1077" s="5" t="str">
        <f t="shared" si="5"/>
        <v/>
      </c>
      <c r="K1077" s="5" t="str">
        <f>IFERROR(__xludf.DUMMYFUNCTION("IF(C1077&lt;&gt;"""",HYPERLINK(""https://wa.me/507""&amp;REGEXREPLACE(C1077,""[^0-9]"","""")&amp;""?text=""&amp;ENCODEURL(""Ya llegue. Codigo: ""&amp;A1077&amp;"". Ubicacion: ""&amp;""https://www.google.com/maps/search/?api=1&amp;query=""&amp;SUBSTITUTE(F1077,"" "","""")),""📲 Avisar al clien"&amp;"te""),"""")"),"")</f>
        <v/>
      </c>
      <c r="L1077" s="5" t="str">
        <f>IFERROR(__xludf.DUMMYFUNCTION("IF(C1077&lt;&gt;"""",""https://api.qrserver.com/v1/create-qr-code/?size=200x200&amp;data=""&amp;ENCODEURL(""https://wa.me/507""&amp;REGEXREPLACE(C1077,""[^0-9]"","""")&amp;""?text=""&amp;ENCODEURL(""Ya llegue. Codigo: ""&amp;A1077&amp;"". Ubicacion: ""&amp;""https://www.google.com/maps/search"&amp;"/?api=1&amp;query=""&amp;SUBSTITUTE(F1077,"" "",""""))),"""")"),"")</f>
        <v/>
      </c>
      <c r="M1077" s="5" t="str">
        <f t="shared" si="6"/>
        <v/>
      </c>
      <c r="N1077" s="5" t="str">
        <f>IFERROR(__xludf.DUMMYFUNCTION("IF(AND(F1077&lt;&gt;"""",REGEXMATCH(SUBSTITUTE(F1077,"" "",""""),""^-?\d+(\.\d+)?,-?\d+(\.\d+)?$""),VALUE(REGEXEXTRACT(SUBSTITUTE(F1077,"" "",""""),""^-?\d+(\.\d+)?""))&gt;=-90,VALUE(REGEXEXTRACT(SUBSTITUTE(F1077,"" "",""""),""^-?\d+(\.\d+)?""))&lt;=90,VALUE(REGEXEXT"&amp;"RACT(SUBSTITUTE(F1077,"" "",""""),""-?\d+(\.\d+)?$""))&gt;=-180,VALUE(REGEXEXTRACT(SUBSTITUTE(F1077,"" "",""""),""-?\d+(\.\d+)?$""))&lt;=180),""OK"",""REVISAR"")"),"#N/A")</f>
        <v>#N/A</v>
      </c>
    </row>
    <row r="1078" ht="15.75" customHeight="1">
      <c r="A1078" s="5" t="str">
        <f t="shared" si="1"/>
        <v>AD507-1076</v>
      </c>
      <c r="C1078" s="5"/>
      <c r="F1078" s="5"/>
      <c r="G1078" s="5" t="str">
        <f t="shared" si="2"/>
        <v/>
      </c>
      <c r="H1078" s="5" t="str">
        <f t="shared" si="3"/>
        <v/>
      </c>
      <c r="I1078" s="5" t="str">
        <f t="shared" si="4"/>
        <v/>
      </c>
      <c r="J1078" s="5" t="str">
        <f t="shared" si="5"/>
        <v/>
      </c>
      <c r="K1078" s="5" t="str">
        <f>IFERROR(__xludf.DUMMYFUNCTION("IF(C1078&lt;&gt;"""",HYPERLINK(""https://wa.me/507""&amp;REGEXREPLACE(C1078,""[^0-9]"","""")&amp;""?text=""&amp;ENCODEURL(""Ya llegue. Codigo: ""&amp;A1078&amp;"". Ubicacion: ""&amp;""https://www.google.com/maps/search/?api=1&amp;query=""&amp;SUBSTITUTE(F1078,"" "","""")),""📲 Avisar al clien"&amp;"te""),"""")"),"")</f>
        <v/>
      </c>
      <c r="L1078" s="5" t="str">
        <f>IFERROR(__xludf.DUMMYFUNCTION("IF(C1078&lt;&gt;"""",""https://api.qrserver.com/v1/create-qr-code/?size=200x200&amp;data=""&amp;ENCODEURL(""https://wa.me/507""&amp;REGEXREPLACE(C1078,""[^0-9]"","""")&amp;""?text=""&amp;ENCODEURL(""Ya llegue. Codigo: ""&amp;A1078&amp;"". Ubicacion: ""&amp;""https://www.google.com/maps/search"&amp;"/?api=1&amp;query=""&amp;SUBSTITUTE(F1078,"" "",""""))),"""")"),"")</f>
        <v/>
      </c>
      <c r="M1078" s="5" t="str">
        <f t="shared" si="6"/>
        <v/>
      </c>
      <c r="N1078" s="5" t="str">
        <f>IFERROR(__xludf.DUMMYFUNCTION("IF(AND(F1078&lt;&gt;"""",REGEXMATCH(SUBSTITUTE(F1078,"" "",""""),""^-?\d+(\.\d+)?,-?\d+(\.\d+)?$""),VALUE(REGEXEXTRACT(SUBSTITUTE(F1078,"" "",""""),""^-?\d+(\.\d+)?""))&gt;=-90,VALUE(REGEXEXTRACT(SUBSTITUTE(F1078,"" "",""""),""^-?\d+(\.\d+)?""))&lt;=90,VALUE(REGEXEXT"&amp;"RACT(SUBSTITUTE(F1078,"" "",""""),""-?\d+(\.\d+)?$""))&gt;=-180,VALUE(REGEXEXTRACT(SUBSTITUTE(F1078,"" "",""""),""-?\d+(\.\d+)?$""))&lt;=180),""OK"",""REVISAR"")"),"#N/A")</f>
        <v>#N/A</v>
      </c>
    </row>
    <row r="1079" ht="15.75" customHeight="1">
      <c r="A1079" s="5" t="str">
        <f t="shared" si="1"/>
        <v>AD507-1077</v>
      </c>
      <c r="C1079" s="5"/>
      <c r="F1079" s="5"/>
      <c r="G1079" s="5" t="str">
        <f t="shared" si="2"/>
        <v/>
      </c>
      <c r="H1079" s="5" t="str">
        <f t="shared" si="3"/>
        <v/>
      </c>
      <c r="I1079" s="5" t="str">
        <f t="shared" si="4"/>
        <v/>
      </c>
      <c r="J1079" s="5" t="str">
        <f t="shared" si="5"/>
        <v/>
      </c>
      <c r="K1079" s="5" t="str">
        <f>IFERROR(__xludf.DUMMYFUNCTION("IF(C1079&lt;&gt;"""",HYPERLINK(""https://wa.me/507""&amp;REGEXREPLACE(C1079,""[^0-9]"","""")&amp;""?text=""&amp;ENCODEURL(""Ya llegue. Codigo: ""&amp;A1079&amp;"". Ubicacion: ""&amp;""https://www.google.com/maps/search/?api=1&amp;query=""&amp;SUBSTITUTE(F1079,"" "","""")),""📲 Avisar al clien"&amp;"te""),"""")"),"")</f>
        <v/>
      </c>
      <c r="L1079" s="5" t="str">
        <f>IFERROR(__xludf.DUMMYFUNCTION("IF(C1079&lt;&gt;"""",""https://api.qrserver.com/v1/create-qr-code/?size=200x200&amp;data=""&amp;ENCODEURL(""https://wa.me/507""&amp;REGEXREPLACE(C1079,""[^0-9]"","""")&amp;""?text=""&amp;ENCODEURL(""Ya llegue. Codigo: ""&amp;A1079&amp;"". Ubicacion: ""&amp;""https://www.google.com/maps/search"&amp;"/?api=1&amp;query=""&amp;SUBSTITUTE(F1079,"" "",""""))),"""")"),"")</f>
        <v/>
      </c>
      <c r="M1079" s="5" t="str">
        <f t="shared" si="6"/>
        <v/>
      </c>
      <c r="N1079" s="5" t="str">
        <f>IFERROR(__xludf.DUMMYFUNCTION("IF(AND(F1079&lt;&gt;"""",REGEXMATCH(SUBSTITUTE(F1079,"" "",""""),""^-?\d+(\.\d+)?,-?\d+(\.\d+)?$""),VALUE(REGEXEXTRACT(SUBSTITUTE(F1079,"" "",""""),""^-?\d+(\.\d+)?""))&gt;=-90,VALUE(REGEXEXTRACT(SUBSTITUTE(F1079,"" "",""""),""^-?\d+(\.\d+)?""))&lt;=90,VALUE(REGEXEXT"&amp;"RACT(SUBSTITUTE(F1079,"" "",""""),""-?\d+(\.\d+)?$""))&gt;=-180,VALUE(REGEXEXTRACT(SUBSTITUTE(F1079,"" "",""""),""-?\d+(\.\d+)?$""))&lt;=180),""OK"",""REVISAR"")"),"#N/A")</f>
        <v>#N/A</v>
      </c>
    </row>
    <row r="1080" ht="15.75" customHeight="1">
      <c r="A1080" s="5" t="str">
        <f t="shared" si="1"/>
        <v>AD507-1078</v>
      </c>
      <c r="C1080" s="5"/>
      <c r="F1080" s="5"/>
      <c r="G1080" s="5" t="str">
        <f t="shared" si="2"/>
        <v/>
      </c>
      <c r="H1080" s="5" t="str">
        <f t="shared" si="3"/>
        <v/>
      </c>
      <c r="I1080" s="5" t="str">
        <f t="shared" si="4"/>
        <v/>
      </c>
      <c r="J1080" s="5" t="str">
        <f t="shared" si="5"/>
        <v/>
      </c>
      <c r="K1080" s="5" t="str">
        <f>IFERROR(__xludf.DUMMYFUNCTION("IF(C1080&lt;&gt;"""",HYPERLINK(""https://wa.me/507""&amp;REGEXREPLACE(C1080,""[^0-9]"","""")&amp;""?text=""&amp;ENCODEURL(""Ya llegue. Codigo: ""&amp;A1080&amp;"". Ubicacion: ""&amp;""https://www.google.com/maps/search/?api=1&amp;query=""&amp;SUBSTITUTE(F1080,"" "","""")),""📲 Avisar al clien"&amp;"te""),"""")"),"")</f>
        <v/>
      </c>
      <c r="L1080" s="5" t="str">
        <f>IFERROR(__xludf.DUMMYFUNCTION("IF(C1080&lt;&gt;"""",""https://api.qrserver.com/v1/create-qr-code/?size=200x200&amp;data=""&amp;ENCODEURL(""https://wa.me/507""&amp;REGEXREPLACE(C1080,""[^0-9]"","""")&amp;""?text=""&amp;ENCODEURL(""Ya llegue. Codigo: ""&amp;A1080&amp;"". Ubicacion: ""&amp;""https://www.google.com/maps/search"&amp;"/?api=1&amp;query=""&amp;SUBSTITUTE(F1080,"" "",""""))),"""")"),"")</f>
        <v/>
      </c>
      <c r="M1080" s="5" t="str">
        <f t="shared" si="6"/>
        <v/>
      </c>
      <c r="N1080" s="5" t="str">
        <f>IFERROR(__xludf.DUMMYFUNCTION("IF(AND(F1080&lt;&gt;"""",REGEXMATCH(SUBSTITUTE(F1080,"" "",""""),""^-?\d+(\.\d+)?,-?\d+(\.\d+)?$""),VALUE(REGEXEXTRACT(SUBSTITUTE(F1080,"" "",""""),""^-?\d+(\.\d+)?""))&gt;=-90,VALUE(REGEXEXTRACT(SUBSTITUTE(F1080,"" "",""""),""^-?\d+(\.\d+)?""))&lt;=90,VALUE(REGEXEXT"&amp;"RACT(SUBSTITUTE(F1080,"" "",""""),""-?\d+(\.\d+)?$""))&gt;=-180,VALUE(REGEXEXTRACT(SUBSTITUTE(F1080,"" "",""""),""-?\d+(\.\d+)?$""))&lt;=180),""OK"",""REVISAR"")"),"#N/A")</f>
        <v>#N/A</v>
      </c>
    </row>
    <row r="1081" ht="15.75" customHeight="1">
      <c r="A1081" s="5" t="str">
        <f t="shared" si="1"/>
        <v>AD507-1079</v>
      </c>
      <c r="C1081" s="5"/>
      <c r="F1081" s="5"/>
      <c r="G1081" s="5" t="str">
        <f t="shared" si="2"/>
        <v/>
      </c>
      <c r="H1081" s="5" t="str">
        <f t="shared" si="3"/>
        <v/>
      </c>
      <c r="I1081" s="5" t="str">
        <f t="shared" si="4"/>
        <v/>
      </c>
      <c r="J1081" s="5" t="str">
        <f t="shared" si="5"/>
        <v/>
      </c>
      <c r="K1081" s="5" t="str">
        <f>IFERROR(__xludf.DUMMYFUNCTION("IF(C1081&lt;&gt;"""",HYPERLINK(""https://wa.me/507""&amp;REGEXREPLACE(C1081,""[^0-9]"","""")&amp;""?text=""&amp;ENCODEURL(""Ya llegue. Codigo: ""&amp;A1081&amp;"". Ubicacion: ""&amp;""https://www.google.com/maps/search/?api=1&amp;query=""&amp;SUBSTITUTE(F1081,"" "","""")),""📲 Avisar al clien"&amp;"te""),"""")"),"")</f>
        <v/>
      </c>
      <c r="L1081" s="5" t="str">
        <f>IFERROR(__xludf.DUMMYFUNCTION("IF(C1081&lt;&gt;"""",""https://api.qrserver.com/v1/create-qr-code/?size=200x200&amp;data=""&amp;ENCODEURL(""https://wa.me/507""&amp;REGEXREPLACE(C1081,""[^0-9]"","""")&amp;""?text=""&amp;ENCODEURL(""Ya llegue. Codigo: ""&amp;A1081&amp;"". Ubicacion: ""&amp;""https://www.google.com/maps/search"&amp;"/?api=1&amp;query=""&amp;SUBSTITUTE(F1081,"" "",""""))),"""")"),"")</f>
        <v/>
      </c>
      <c r="M1081" s="5" t="str">
        <f t="shared" si="6"/>
        <v/>
      </c>
      <c r="N1081" s="5" t="str">
        <f>IFERROR(__xludf.DUMMYFUNCTION("IF(AND(F1081&lt;&gt;"""",REGEXMATCH(SUBSTITUTE(F1081,"" "",""""),""^-?\d+(\.\d+)?,-?\d+(\.\d+)?$""),VALUE(REGEXEXTRACT(SUBSTITUTE(F1081,"" "",""""),""^-?\d+(\.\d+)?""))&gt;=-90,VALUE(REGEXEXTRACT(SUBSTITUTE(F1081,"" "",""""),""^-?\d+(\.\d+)?""))&lt;=90,VALUE(REGEXEXT"&amp;"RACT(SUBSTITUTE(F1081,"" "",""""),""-?\d+(\.\d+)?$""))&gt;=-180,VALUE(REGEXEXTRACT(SUBSTITUTE(F1081,"" "",""""),""-?\d+(\.\d+)?$""))&lt;=180),""OK"",""REVISAR"")"),"#N/A")</f>
        <v>#N/A</v>
      </c>
    </row>
    <row r="1082" ht="15.75" customHeight="1">
      <c r="A1082" s="5" t="str">
        <f t="shared" si="1"/>
        <v>AD507-1080</v>
      </c>
      <c r="C1082" s="5"/>
      <c r="F1082" s="5"/>
      <c r="G1082" s="5" t="str">
        <f t="shared" si="2"/>
        <v/>
      </c>
      <c r="H1082" s="5" t="str">
        <f t="shared" si="3"/>
        <v/>
      </c>
      <c r="I1082" s="5" t="str">
        <f t="shared" si="4"/>
        <v/>
      </c>
      <c r="J1082" s="5" t="str">
        <f t="shared" si="5"/>
        <v/>
      </c>
      <c r="K1082" s="5" t="str">
        <f>IFERROR(__xludf.DUMMYFUNCTION("IF(C1082&lt;&gt;"""",HYPERLINK(""https://wa.me/507""&amp;REGEXREPLACE(C1082,""[^0-9]"","""")&amp;""?text=""&amp;ENCODEURL(""Ya llegue. Codigo: ""&amp;A1082&amp;"". Ubicacion: ""&amp;""https://www.google.com/maps/search/?api=1&amp;query=""&amp;SUBSTITUTE(F1082,"" "","""")),""📲 Avisar al clien"&amp;"te""),"""")"),"")</f>
        <v/>
      </c>
      <c r="L1082" s="5" t="str">
        <f>IFERROR(__xludf.DUMMYFUNCTION("IF(C1082&lt;&gt;"""",""https://api.qrserver.com/v1/create-qr-code/?size=200x200&amp;data=""&amp;ENCODEURL(""https://wa.me/507""&amp;REGEXREPLACE(C1082,""[^0-9]"","""")&amp;""?text=""&amp;ENCODEURL(""Ya llegue. Codigo: ""&amp;A1082&amp;"". Ubicacion: ""&amp;""https://www.google.com/maps/search"&amp;"/?api=1&amp;query=""&amp;SUBSTITUTE(F1082,"" "",""""))),"""")"),"")</f>
        <v/>
      </c>
      <c r="M1082" s="5" t="str">
        <f t="shared" si="6"/>
        <v/>
      </c>
      <c r="N1082" s="5" t="str">
        <f>IFERROR(__xludf.DUMMYFUNCTION("IF(AND(F1082&lt;&gt;"""",REGEXMATCH(SUBSTITUTE(F1082,"" "",""""),""^-?\d+(\.\d+)?,-?\d+(\.\d+)?$""),VALUE(REGEXEXTRACT(SUBSTITUTE(F1082,"" "",""""),""^-?\d+(\.\d+)?""))&gt;=-90,VALUE(REGEXEXTRACT(SUBSTITUTE(F1082,"" "",""""),""^-?\d+(\.\d+)?""))&lt;=90,VALUE(REGEXEXT"&amp;"RACT(SUBSTITUTE(F1082,"" "",""""),""-?\d+(\.\d+)?$""))&gt;=-180,VALUE(REGEXEXTRACT(SUBSTITUTE(F1082,"" "",""""),""-?\d+(\.\d+)?$""))&lt;=180),""OK"",""REVISAR"")"),"#N/A")</f>
        <v>#N/A</v>
      </c>
    </row>
    <row r="1083" ht="15.75" customHeight="1">
      <c r="A1083" s="5" t="str">
        <f t="shared" si="1"/>
        <v>AD507-1081</v>
      </c>
      <c r="C1083" s="5"/>
      <c r="F1083" s="5"/>
      <c r="G1083" s="5" t="str">
        <f t="shared" si="2"/>
        <v/>
      </c>
      <c r="H1083" s="5" t="str">
        <f t="shared" si="3"/>
        <v/>
      </c>
      <c r="I1083" s="5" t="str">
        <f t="shared" si="4"/>
        <v/>
      </c>
      <c r="J1083" s="5" t="str">
        <f t="shared" si="5"/>
        <v/>
      </c>
      <c r="K1083" s="5" t="str">
        <f>IFERROR(__xludf.DUMMYFUNCTION("IF(C1083&lt;&gt;"""",HYPERLINK(""https://wa.me/507""&amp;REGEXREPLACE(C1083,""[^0-9]"","""")&amp;""?text=""&amp;ENCODEURL(""Ya llegue. Codigo: ""&amp;A1083&amp;"". Ubicacion: ""&amp;""https://www.google.com/maps/search/?api=1&amp;query=""&amp;SUBSTITUTE(F1083,"" "","""")),""📲 Avisar al clien"&amp;"te""),"""")"),"")</f>
        <v/>
      </c>
      <c r="L1083" s="5" t="str">
        <f>IFERROR(__xludf.DUMMYFUNCTION("IF(C1083&lt;&gt;"""",""https://api.qrserver.com/v1/create-qr-code/?size=200x200&amp;data=""&amp;ENCODEURL(""https://wa.me/507""&amp;REGEXREPLACE(C1083,""[^0-9]"","""")&amp;""?text=""&amp;ENCODEURL(""Ya llegue. Codigo: ""&amp;A1083&amp;"". Ubicacion: ""&amp;""https://www.google.com/maps/search"&amp;"/?api=1&amp;query=""&amp;SUBSTITUTE(F1083,"" "",""""))),"""")"),"")</f>
        <v/>
      </c>
      <c r="M1083" s="5" t="str">
        <f t="shared" si="6"/>
        <v/>
      </c>
      <c r="N1083" s="5" t="str">
        <f>IFERROR(__xludf.DUMMYFUNCTION("IF(AND(F1083&lt;&gt;"""",REGEXMATCH(SUBSTITUTE(F1083,"" "",""""),""^-?\d+(\.\d+)?,-?\d+(\.\d+)?$""),VALUE(REGEXEXTRACT(SUBSTITUTE(F1083,"" "",""""),""^-?\d+(\.\d+)?""))&gt;=-90,VALUE(REGEXEXTRACT(SUBSTITUTE(F1083,"" "",""""),""^-?\d+(\.\d+)?""))&lt;=90,VALUE(REGEXEXT"&amp;"RACT(SUBSTITUTE(F1083,"" "",""""),""-?\d+(\.\d+)?$""))&gt;=-180,VALUE(REGEXEXTRACT(SUBSTITUTE(F1083,"" "",""""),""-?\d+(\.\d+)?$""))&lt;=180),""OK"",""REVISAR"")"),"#N/A")</f>
        <v>#N/A</v>
      </c>
    </row>
    <row r="1084" ht="15.75" customHeight="1">
      <c r="A1084" s="5" t="str">
        <f t="shared" si="1"/>
        <v>AD507-1082</v>
      </c>
      <c r="C1084" s="5"/>
      <c r="F1084" s="5"/>
      <c r="G1084" s="5" t="str">
        <f t="shared" si="2"/>
        <v/>
      </c>
      <c r="H1084" s="5" t="str">
        <f t="shared" si="3"/>
        <v/>
      </c>
      <c r="I1084" s="5" t="str">
        <f t="shared" si="4"/>
        <v/>
      </c>
      <c r="J1084" s="5" t="str">
        <f t="shared" si="5"/>
        <v/>
      </c>
      <c r="K1084" s="5" t="str">
        <f>IFERROR(__xludf.DUMMYFUNCTION("IF(C1084&lt;&gt;"""",HYPERLINK(""https://wa.me/507""&amp;REGEXREPLACE(C1084,""[^0-9]"","""")&amp;""?text=""&amp;ENCODEURL(""Ya llegue. Codigo: ""&amp;A1084&amp;"". Ubicacion: ""&amp;""https://www.google.com/maps/search/?api=1&amp;query=""&amp;SUBSTITUTE(F1084,"" "","""")),""📲 Avisar al clien"&amp;"te""),"""")"),"")</f>
        <v/>
      </c>
      <c r="L1084" s="5" t="str">
        <f>IFERROR(__xludf.DUMMYFUNCTION("IF(C1084&lt;&gt;"""",""https://api.qrserver.com/v1/create-qr-code/?size=200x200&amp;data=""&amp;ENCODEURL(""https://wa.me/507""&amp;REGEXREPLACE(C1084,""[^0-9]"","""")&amp;""?text=""&amp;ENCODEURL(""Ya llegue. Codigo: ""&amp;A1084&amp;"". Ubicacion: ""&amp;""https://www.google.com/maps/search"&amp;"/?api=1&amp;query=""&amp;SUBSTITUTE(F1084,"" "",""""))),"""")"),"")</f>
        <v/>
      </c>
      <c r="M1084" s="5" t="str">
        <f t="shared" si="6"/>
        <v/>
      </c>
      <c r="N1084" s="5" t="str">
        <f>IFERROR(__xludf.DUMMYFUNCTION("IF(AND(F1084&lt;&gt;"""",REGEXMATCH(SUBSTITUTE(F1084,"" "",""""),""^-?\d+(\.\d+)?,-?\d+(\.\d+)?$""),VALUE(REGEXEXTRACT(SUBSTITUTE(F1084,"" "",""""),""^-?\d+(\.\d+)?""))&gt;=-90,VALUE(REGEXEXTRACT(SUBSTITUTE(F1084,"" "",""""),""^-?\d+(\.\d+)?""))&lt;=90,VALUE(REGEXEXT"&amp;"RACT(SUBSTITUTE(F1084,"" "",""""),""-?\d+(\.\d+)?$""))&gt;=-180,VALUE(REGEXEXTRACT(SUBSTITUTE(F1084,"" "",""""),""-?\d+(\.\d+)?$""))&lt;=180),""OK"",""REVISAR"")"),"#N/A")</f>
        <v>#N/A</v>
      </c>
    </row>
    <row r="1085" ht="15.75" customHeight="1">
      <c r="A1085" s="5" t="str">
        <f t="shared" si="1"/>
        <v>AD507-1083</v>
      </c>
      <c r="C1085" s="5"/>
      <c r="F1085" s="5"/>
      <c r="G1085" s="5" t="str">
        <f t="shared" si="2"/>
        <v/>
      </c>
      <c r="H1085" s="5" t="str">
        <f t="shared" si="3"/>
        <v/>
      </c>
      <c r="I1085" s="5" t="str">
        <f t="shared" si="4"/>
        <v/>
      </c>
      <c r="J1085" s="5" t="str">
        <f t="shared" si="5"/>
        <v/>
      </c>
      <c r="K1085" s="5" t="str">
        <f>IFERROR(__xludf.DUMMYFUNCTION("IF(C1085&lt;&gt;"""",HYPERLINK(""https://wa.me/507""&amp;REGEXREPLACE(C1085,""[^0-9]"","""")&amp;""?text=""&amp;ENCODEURL(""Ya llegue. Codigo: ""&amp;A1085&amp;"". Ubicacion: ""&amp;""https://www.google.com/maps/search/?api=1&amp;query=""&amp;SUBSTITUTE(F1085,"" "","""")),""📲 Avisar al clien"&amp;"te""),"""")"),"")</f>
        <v/>
      </c>
      <c r="L1085" s="5" t="str">
        <f>IFERROR(__xludf.DUMMYFUNCTION("IF(C1085&lt;&gt;"""",""https://api.qrserver.com/v1/create-qr-code/?size=200x200&amp;data=""&amp;ENCODEURL(""https://wa.me/507""&amp;REGEXREPLACE(C1085,""[^0-9]"","""")&amp;""?text=""&amp;ENCODEURL(""Ya llegue. Codigo: ""&amp;A1085&amp;"". Ubicacion: ""&amp;""https://www.google.com/maps/search"&amp;"/?api=1&amp;query=""&amp;SUBSTITUTE(F1085,"" "",""""))),"""")"),"")</f>
        <v/>
      </c>
      <c r="M1085" s="5" t="str">
        <f t="shared" si="6"/>
        <v/>
      </c>
      <c r="N1085" s="5" t="str">
        <f>IFERROR(__xludf.DUMMYFUNCTION("IF(AND(F1085&lt;&gt;"""",REGEXMATCH(SUBSTITUTE(F1085,"" "",""""),""^-?\d+(\.\d+)?,-?\d+(\.\d+)?$""),VALUE(REGEXEXTRACT(SUBSTITUTE(F1085,"" "",""""),""^-?\d+(\.\d+)?""))&gt;=-90,VALUE(REGEXEXTRACT(SUBSTITUTE(F1085,"" "",""""),""^-?\d+(\.\d+)?""))&lt;=90,VALUE(REGEXEXT"&amp;"RACT(SUBSTITUTE(F1085,"" "",""""),""-?\d+(\.\d+)?$""))&gt;=-180,VALUE(REGEXEXTRACT(SUBSTITUTE(F1085,"" "",""""),""-?\d+(\.\d+)?$""))&lt;=180),""OK"",""REVISAR"")"),"#N/A")</f>
        <v>#N/A</v>
      </c>
    </row>
    <row r="1086" ht="15.75" customHeight="1">
      <c r="A1086" s="5" t="str">
        <f t="shared" si="1"/>
        <v>AD507-1084</v>
      </c>
      <c r="C1086" s="5"/>
      <c r="F1086" s="5"/>
      <c r="G1086" s="5" t="str">
        <f t="shared" si="2"/>
        <v/>
      </c>
      <c r="H1086" s="5" t="str">
        <f t="shared" si="3"/>
        <v/>
      </c>
      <c r="I1086" s="5" t="str">
        <f t="shared" si="4"/>
        <v/>
      </c>
      <c r="J1086" s="5" t="str">
        <f t="shared" si="5"/>
        <v/>
      </c>
      <c r="K1086" s="5" t="str">
        <f>IFERROR(__xludf.DUMMYFUNCTION("IF(C1086&lt;&gt;"""",HYPERLINK(""https://wa.me/507""&amp;REGEXREPLACE(C1086,""[^0-9]"","""")&amp;""?text=""&amp;ENCODEURL(""Ya llegue. Codigo: ""&amp;A1086&amp;"". Ubicacion: ""&amp;""https://www.google.com/maps/search/?api=1&amp;query=""&amp;SUBSTITUTE(F1086,"" "","""")),""📲 Avisar al clien"&amp;"te""),"""")"),"")</f>
        <v/>
      </c>
      <c r="L1086" s="5" t="str">
        <f>IFERROR(__xludf.DUMMYFUNCTION("IF(C1086&lt;&gt;"""",""https://api.qrserver.com/v1/create-qr-code/?size=200x200&amp;data=""&amp;ENCODEURL(""https://wa.me/507""&amp;REGEXREPLACE(C1086,""[^0-9]"","""")&amp;""?text=""&amp;ENCODEURL(""Ya llegue. Codigo: ""&amp;A1086&amp;"". Ubicacion: ""&amp;""https://www.google.com/maps/search"&amp;"/?api=1&amp;query=""&amp;SUBSTITUTE(F1086,"" "",""""))),"""")"),"")</f>
        <v/>
      </c>
      <c r="M1086" s="5" t="str">
        <f t="shared" si="6"/>
        <v/>
      </c>
      <c r="N1086" s="5" t="str">
        <f>IFERROR(__xludf.DUMMYFUNCTION("IF(AND(F1086&lt;&gt;"""",REGEXMATCH(SUBSTITUTE(F1086,"" "",""""),""^-?\d+(\.\d+)?,-?\d+(\.\d+)?$""),VALUE(REGEXEXTRACT(SUBSTITUTE(F1086,"" "",""""),""^-?\d+(\.\d+)?""))&gt;=-90,VALUE(REGEXEXTRACT(SUBSTITUTE(F1086,"" "",""""),""^-?\d+(\.\d+)?""))&lt;=90,VALUE(REGEXEXT"&amp;"RACT(SUBSTITUTE(F1086,"" "",""""),""-?\d+(\.\d+)?$""))&gt;=-180,VALUE(REGEXEXTRACT(SUBSTITUTE(F1086,"" "",""""),""-?\d+(\.\d+)?$""))&lt;=180),""OK"",""REVISAR"")"),"#N/A")</f>
        <v>#N/A</v>
      </c>
    </row>
    <row r="1087" ht="15.75" customHeight="1">
      <c r="A1087" s="5" t="str">
        <f t="shared" si="1"/>
        <v>AD507-1085</v>
      </c>
      <c r="C1087" s="5"/>
      <c r="F1087" s="5"/>
      <c r="G1087" s="5" t="str">
        <f t="shared" si="2"/>
        <v/>
      </c>
      <c r="H1087" s="5" t="str">
        <f t="shared" si="3"/>
        <v/>
      </c>
      <c r="I1087" s="5" t="str">
        <f t="shared" si="4"/>
        <v/>
      </c>
      <c r="J1087" s="5" t="str">
        <f t="shared" si="5"/>
        <v/>
      </c>
      <c r="K1087" s="5" t="str">
        <f>IFERROR(__xludf.DUMMYFUNCTION("IF(C1087&lt;&gt;"""",HYPERLINK(""https://wa.me/507""&amp;REGEXREPLACE(C1087,""[^0-9]"","""")&amp;""?text=""&amp;ENCODEURL(""Ya llegue. Codigo: ""&amp;A1087&amp;"". Ubicacion: ""&amp;""https://www.google.com/maps/search/?api=1&amp;query=""&amp;SUBSTITUTE(F1087,"" "","""")),""📲 Avisar al clien"&amp;"te""),"""")"),"")</f>
        <v/>
      </c>
      <c r="L1087" s="5" t="str">
        <f>IFERROR(__xludf.DUMMYFUNCTION("IF(C1087&lt;&gt;"""",""https://api.qrserver.com/v1/create-qr-code/?size=200x200&amp;data=""&amp;ENCODEURL(""https://wa.me/507""&amp;REGEXREPLACE(C1087,""[^0-9]"","""")&amp;""?text=""&amp;ENCODEURL(""Ya llegue. Codigo: ""&amp;A1087&amp;"". Ubicacion: ""&amp;""https://www.google.com/maps/search"&amp;"/?api=1&amp;query=""&amp;SUBSTITUTE(F1087,"" "",""""))),"""")"),"")</f>
        <v/>
      </c>
      <c r="M1087" s="5" t="str">
        <f t="shared" si="6"/>
        <v/>
      </c>
      <c r="N1087" s="5" t="str">
        <f>IFERROR(__xludf.DUMMYFUNCTION("IF(AND(F1087&lt;&gt;"""",REGEXMATCH(SUBSTITUTE(F1087,"" "",""""),""^-?\d+(\.\d+)?,-?\d+(\.\d+)?$""),VALUE(REGEXEXTRACT(SUBSTITUTE(F1087,"" "",""""),""^-?\d+(\.\d+)?""))&gt;=-90,VALUE(REGEXEXTRACT(SUBSTITUTE(F1087,"" "",""""),""^-?\d+(\.\d+)?""))&lt;=90,VALUE(REGEXEXT"&amp;"RACT(SUBSTITUTE(F1087,"" "",""""),""-?\d+(\.\d+)?$""))&gt;=-180,VALUE(REGEXEXTRACT(SUBSTITUTE(F1087,"" "",""""),""-?\d+(\.\d+)?$""))&lt;=180),""OK"",""REVISAR"")"),"#N/A")</f>
        <v>#N/A</v>
      </c>
    </row>
    <row r="1088" ht="15.75" customHeight="1">
      <c r="A1088" s="5" t="str">
        <f t="shared" si="1"/>
        <v>AD507-1086</v>
      </c>
      <c r="C1088" s="5"/>
      <c r="F1088" s="5"/>
      <c r="G1088" s="5" t="str">
        <f t="shared" si="2"/>
        <v/>
      </c>
      <c r="H1088" s="5" t="str">
        <f t="shared" si="3"/>
        <v/>
      </c>
      <c r="I1088" s="5" t="str">
        <f t="shared" si="4"/>
        <v/>
      </c>
      <c r="J1088" s="5" t="str">
        <f t="shared" si="5"/>
        <v/>
      </c>
      <c r="K1088" s="5" t="str">
        <f>IFERROR(__xludf.DUMMYFUNCTION("IF(C1088&lt;&gt;"""",HYPERLINK(""https://wa.me/507""&amp;REGEXREPLACE(C1088,""[^0-9]"","""")&amp;""?text=""&amp;ENCODEURL(""Ya llegue. Codigo: ""&amp;A1088&amp;"". Ubicacion: ""&amp;""https://www.google.com/maps/search/?api=1&amp;query=""&amp;SUBSTITUTE(F1088,"" "","""")),""📲 Avisar al clien"&amp;"te""),"""")"),"")</f>
        <v/>
      </c>
      <c r="L1088" s="5" t="str">
        <f>IFERROR(__xludf.DUMMYFUNCTION("IF(C1088&lt;&gt;"""",""https://api.qrserver.com/v1/create-qr-code/?size=200x200&amp;data=""&amp;ENCODEURL(""https://wa.me/507""&amp;REGEXREPLACE(C1088,""[^0-9]"","""")&amp;""?text=""&amp;ENCODEURL(""Ya llegue. Codigo: ""&amp;A1088&amp;"". Ubicacion: ""&amp;""https://www.google.com/maps/search"&amp;"/?api=1&amp;query=""&amp;SUBSTITUTE(F1088,"" "",""""))),"""")"),"")</f>
        <v/>
      </c>
      <c r="M1088" s="5" t="str">
        <f t="shared" si="6"/>
        <v/>
      </c>
      <c r="N1088" s="5" t="str">
        <f>IFERROR(__xludf.DUMMYFUNCTION("IF(AND(F1088&lt;&gt;"""",REGEXMATCH(SUBSTITUTE(F1088,"" "",""""),""^-?\d+(\.\d+)?,-?\d+(\.\d+)?$""),VALUE(REGEXEXTRACT(SUBSTITUTE(F1088,"" "",""""),""^-?\d+(\.\d+)?""))&gt;=-90,VALUE(REGEXEXTRACT(SUBSTITUTE(F1088,"" "",""""),""^-?\d+(\.\d+)?""))&lt;=90,VALUE(REGEXEXT"&amp;"RACT(SUBSTITUTE(F1088,"" "",""""),""-?\d+(\.\d+)?$""))&gt;=-180,VALUE(REGEXEXTRACT(SUBSTITUTE(F1088,"" "",""""),""-?\d+(\.\d+)?$""))&lt;=180),""OK"",""REVISAR"")"),"#N/A")</f>
        <v>#N/A</v>
      </c>
    </row>
    <row r="1089" ht="15.75" customHeight="1">
      <c r="A1089" s="5" t="str">
        <f t="shared" si="1"/>
        <v>AD507-1087</v>
      </c>
      <c r="C1089" s="5"/>
      <c r="F1089" s="5"/>
      <c r="G1089" s="5" t="str">
        <f t="shared" si="2"/>
        <v/>
      </c>
      <c r="H1089" s="5" t="str">
        <f t="shared" si="3"/>
        <v/>
      </c>
      <c r="I1089" s="5" t="str">
        <f t="shared" si="4"/>
        <v/>
      </c>
      <c r="J1089" s="5" t="str">
        <f t="shared" si="5"/>
        <v/>
      </c>
      <c r="K1089" s="5" t="str">
        <f>IFERROR(__xludf.DUMMYFUNCTION("IF(C1089&lt;&gt;"""",HYPERLINK(""https://wa.me/507""&amp;REGEXREPLACE(C1089,""[^0-9]"","""")&amp;""?text=""&amp;ENCODEURL(""Ya llegue. Codigo: ""&amp;A1089&amp;"". Ubicacion: ""&amp;""https://www.google.com/maps/search/?api=1&amp;query=""&amp;SUBSTITUTE(F1089,"" "","""")),""📲 Avisar al clien"&amp;"te""),"""")"),"")</f>
        <v/>
      </c>
      <c r="L1089" s="5" t="str">
        <f>IFERROR(__xludf.DUMMYFUNCTION("IF(C1089&lt;&gt;"""",""https://api.qrserver.com/v1/create-qr-code/?size=200x200&amp;data=""&amp;ENCODEURL(""https://wa.me/507""&amp;REGEXREPLACE(C1089,""[^0-9]"","""")&amp;""?text=""&amp;ENCODEURL(""Ya llegue. Codigo: ""&amp;A1089&amp;"". Ubicacion: ""&amp;""https://www.google.com/maps/search"&amp;"/?api=1&amp;query=""&amp;SUBSTITUTE(F1089,"" "",""""))),"""")"),"")</f>
        <v/>
      </c>
      <c r="M1089" s="5" t="str">
        <f t="shared" si="6"/>
        <v/>
      </c>
      <c r="N1089" s="5" t="str">
        <f>IFERROR(__xludf.DUMMYFUNCTION("IF(AND(F1089&lt;&gt;"""",REGEXMATCH(SUBSTITUTE(F1089,"" "",""""),""^-?\d+(\.\d+)?,-?\d+(\.\d+)?$""),VALUE(REGEXEXTRACT(SUBSTITUTE(F1089,"" "",""""),""^-?\d+(\.\d+)?""))&gt;=-90,VALUE(REGEXEXTRACT(SUBSTITUTE(F1089,"" "",""""),""^-?\d+(\.\d+)?""))&lt;=90,VALUE(REGEXEXT"&amp;"RACT(SUBSTITUTE(F1089,"" "",""""),""-?\d+(\.\d+)?$""))&gt;=-180,VALUE(REGEXEXTRACT(SUBSTITUTE(F1089,"" "",""""),""-?\d+(\.\d+)?$""))&lt;=180),""OK"",""REVISAR"")"),"#N/A")</f>
        <v>#N/A</v>
      </c>
    </row>
    <row r="1090" ht="15.75" customHeight="1">
      <c r="A1090" s="5" t="str">
        <f t="shared" si="1"/>
        <v>AD507-1088</v>
      </c>
      <c r="C1090" s="5"/>
      <c r="F1090" s="5"/>
      <c r="G1090" s="5" t="str">
        <f t="shared" si="2"/>
        <v/>
      </c>
      <c r="H1090" s="5" t="str">
        <f t="shared" si="3"/>
        <v/>
      </c>
      <c r="I1090" s="5" t="str">
        <f t="shared" si="4"/>
        <v/>
      </c>
      <c r="J1090" s="5" t="str">
        <f t="shared" si="5"/>
        <v/>
      </c>
      <c r="K1090" s="5" t="str">
        <f>IFERROR(__xludf.DUMMYFUNCTION("IF(C1090&lt;&gt;"""",HYPERLINK(""https://wa.me/507""&amp;REGEXREPLACE(C1090,""[^0-9]"","""")&amp;""?text=""&amp;ENCODEURL(""Ya llegue. Codigo: ""&amp;A1090&amp;"". Ubicacion: ""&amp;""https://www.google.com/maps/search/?api=1&amp;query=""&amp;SUBSTITUTE(F1090,"" "","""")),""📲 Avisar al clien"&amp;"te""),"""")"),"")</f>
        <v/>
      </c>
      <c r="L1090" s="5" t="str">
        <f>IFERROR(__xludf.DUMMYFUNCTION("IF(C1090&lt;&gt;"""",""https://api.qrserver.com/v1/create-qr-code/?size=200x200&amp;data=""&amp;ENCODEURL(""https://wa.me/507""&amp;REGEXREPLACE(C1090,""[^0-9]"","""")&amp;""?text=""&amp;ENCODEURL(""Ya llegue. Codigo: ""&amp;A1090&amp;"". Ubicacion: ""&amp;""https://www.google.com/maps/search"&amp;"/?api=1&amp;query=""&amp;SUBSTITUTE(F1090,"" "",""""))),"""")"),"")</f>
        <v/>
      </c>
      <c r="M1090" s="5" t="str">
        <f t="shared" si="6"/>
        <v/>
      </c>
      <c r="N1090" s="5" t="str">
        <f>IFERROR(__xludf.DUMMYFUNCTION("IF(AND(F1090&lt;&gt;"""",REGEXMATCH(SUBSTITUTE(F1090,"" "",""""),""^-?\d+(\.\d+)?,-?\d+(\.\d+)?$""),VALUE(REGEXEXTRACT(SUBSTITUTE(F1090,"" "",""""),""^-?\d+(\.\d+)?""))&gt;=-90,VALUE(REGEXEXTRACT(SUBSTITUTE(F1090,"" "",""""),""^-?\d+(\.\d+)?""))&lt;=90,VALUE(REGEXEXT"&amp;"RACT(SUBSTITUTE(F1090,"" "",""""),""-?\d+(\.\d+)?$""))&gt;=-180,VALUE(REGEXEXTRACT(SUBSTITUTE(F1090,"" "",""""),""-?\d+(\.\d+)?$""))&lt;=180),""OK"",""REVISAR"")"),"#N/A")</f>
        <v>#N/A</v>
      </c>
    </row>
    <row r="1091" ht="15.75" customHeight="1">
      <c r="A1091" s="5" t="str">
        <f t="shared" si="1"/>
        <v>AD507-1089</v>
      </c>
      <c r="C1091" s="5"/>
      <c r="F1091" s="5"/>
      <c r="G1091" s="5" t="str">
        <f t="shared" si="2"/>
        <v/>
      </c>
      <c r="H1091" s="5" t="str">
        <f t="shared" si="3"/>
        <v/>
      </c>
      <c r="I1091" s="5" t="str">
        <f t="shared" si="4"/>
        <v/>
      </c>
      <c r="J1091" s="5" t="str">
        <f t="shared" si="5"/>
        <v/>
      </c>
      <c r="K1091" s="5" t="str">
        <f>IFERROR(__xludf.DUMMYFUNCTION("IF(C1091&lt;&gt;"""",HYPERLINK(""https://wa.me/507""&amp;REGEXREPLACE(C1091,""[^0-9]"","""")&amp;""?text=""&amp;ENCODEURL(""Ya llegue. Codigo: ""&amp;A1091&amp;"". Ubicacion: ""&amp;""https://www.google.com/maps/search/?api=1&amp;query=""&amp;SUBSTITUTE(F1091,"" "","""")),""📲 Avisar al clien"&amp;"te""),"""")"),"")</f>
        <v/>
      </c>
      <c r="L1091" s="5" t="str">
        <f>IFERROR(__xludf.DUMMYFUNCTION("IF(C1091&lt;&gt;"""",""https://api.qrserver.com/v1/create-qr-code/?size=200x200&amp;data=""&amp;ENCODEURL(""https://wa.me/507""&amp;REGEXREPLACE(C1091,""[^0-9]"","""")&amp;""?text=""&amp;ENCODEURL(""Ya llegue. Codigo: ""&amp;A1091&amp;"". Ubicacion: ""&amp;""https://www.google.com/maps/search"&amp;"/?api=1&amp;query=""&amp;SUBSTITUTE(F1091,"" "",""""))),"""")"),"")</f>
        <v/>
      </c>
      <c r="M1091" s="5" t="str">
        <f t="shared" si="6"/>
        <v/>
      </c>
      <c r="N1091" s="5" t="str">
        <f>IFERROR(__xludf.DUMMYFUNCTION("IF(AND(F1091&lt;&gt;"""",REGEXMATCH(SUBSTITUTE(F1091,"" "",""""),""^-?\d+(\.\d+)?,-?\d+(\.\d+)?$""),VALUE(REGEXEXTRACT(SUBSTITUTE(F1091,"" "",""""),""^-?\d+(\.\d+)?""))&gt;=-90,VALUE(REGEXEXTRACT(SUBSTITUTE(F1091,"" "",""""),""^-?\d+(\.\d+)?""))&lt;=90,VALUE(REGEXEXT"&amp;"RACT(SUBSTITUTE(F1091,"" "",""""),""-?\d+(\.\d+)?$""))&gt;=-180,VALUE(REGEXEXTRACT(SUBSTITUTE(F1091,"" "",""""),""-?\d+(\.\d+)?$""))&lt;=180),""OK"",""REVISAR"")"),"#N/A")</f>
        <v>#N/A</v>
      </c>
    </row>
    <row r="1092" ht="15.75" customHeight="1">
      <c r="A1092" s="5" t="str">
        <f t="shared" si="1"/>
        <v>AD507-1090</v>
      </c>
      <c r="C1092" s="5"/>
      <c r="F1092" s="5"/>
      <c r="G1092" s="5" t="str">
        <f t="shared" si="2"/>
        <v/>
      </c>
      <c r="H1092" s="5" t="str">
        <f t="shared" si="3"/>
        <v/>
      </c>
      <c r="I1092" s="5" t="str">
        <f t="shared" si="4"/>
        <v/>
      </c>
      <c r="J1092" s="5" t="str">
        <f t="shared" si="5"/>
        <v/>
      </c>
      <c r="K1092" s="5" t="str">
        <f>IFERROR(__xludf.DUMMYFUNCTION("IF(C1092&lt;&gt;"""",HYPERLINK(""https://wa.me/507""&amp;REGEXREPLACE(C1092,""[^0-9]"","""")&amp;""?text=""&amp;ENCODEURL(""Ya llegue. Codigo: ""&amp;A1092&amp;"". Ubicacion: ""&amp;""https://www.google.com/maps/search/?api=1&amp;query=""&amp;SUBSTITUTE(F1092,"" "","""")),""📲 Avisar al clien"&amp;"te""),"""")"),"")</f>
        <v/>
      </c>
      <c r="L1092" s="5" t="str">
        <f>IFERROR(__xludf.DUMMYFUNCTION("IF(C1092&lt;&gt;"""",""https://api.qrserver.com/v1/create-qr-code/?size=200x200&amp;data=""&amp;ENCODEURL(""https://wa.me/507""&amp;REGEXREPLACE(C1092,""[^0-9]"","""")&amp;""?text=""&amp;ENCODEURL(""Ya llegue. Codigo: ""&amp;A1092&amp;"". Ubicacion: ""&amp;""https://www.google.com/maps/search"&amp;"/?api=1&amp;query=""&amp;SUBSTITUTE(F1092,"" "",""""))),"""")"),"")</f>
        <v/>
      </c>
      <c r="M1092" s="5" t="str">
        <f t="shared" si="6"/>
        <v/>
      </c>
      <c r="N1092" s="5" t="str">
        <f>IFERROR(__xludf.DUMMYFUNCTION("IF(AND(F1092&lt;&gt;"""",REGEXMATCH(SUBSTITUTE(F1092,"" "",""""),""^-?\d+(\.\d+)?,-?\d+(\.\d+)?$""),VALUE(REGEXEXTRACT(SUBSTITUTE(F1092,"" "",""""),""^-?\d+(\.\d+)?""))&gt;=-90,VALUE(REGEXEXTRACT(SUBSTITUTE(F1092,"" "",""""),""^-?\d+(\.\d+)?""))&lt;=90,VALUE(REGEXEXT"&amp;"RACT(SUBSTITUTE(F1092,"" "",""""),""-?\d+(\.\d+)?$""))&gt;=-180,VALUE(REGEXEXTRACT(SUBSTITUTE(F1092,"" "",""""),""-?\d+(\.\d+)?$""))&lt;=180),""OK"",""REVISAR"")"),"#N/A")</f>
        <v>#N/A</v>
      </c>
    </row>
    <row r="1093" ht="15.75" customHeight="1">
      <c r="A1093" s="5" t="str">
        <f t="shared" si="1"/>
        <v>AD507-1091</v>
      </c>
      <c r="C1093" s="5"/>
      <c r="F1093" s="5"/>
      <c r="G1093" s="5" t="str">
        <f t="shared" si="2"/>
        <v/>
      </c>
      <c r="H1093" s="5" t="str">
        <f t="shared" si="3"/>
        <v/>
      </c>
      <c r="I1093" s="5" t="str">
        <f t="shared" si="4"/>
        <v/>
      </c>
      <c r="J1093" s="5" t="str">
        <f t="shared" si="5"/>
        <v/>
      </c>
      <c r="K1093" s="5" t="str">
        <f>IFERROR(__xludf.DUMMYFUNCTION("IF(C1093&lt;&gt;"""",HYPERLINK(""https://wa.me/507""&amp;REGEXREPLACE(C1093,""[^0-9]"","""")&amp;""?text=""&amp;ENCODEURL(""Ya llegue. Codigo: ""&amp;A1093&amp;"". Ubicacion: ""&amp;""https://www.google.com/maps/search/?api=1&amp;query=""&amp;SUBSTITUTE(F1093,"" "","""")),""📲 Avisar al clien"&amp;"te""),"""")"),"")</f>
        <v/>
      </c>
      <c r="L1093" s="5" t="str">
        <f>IFERROR(__xludf.DUMMYFUNCTION("IF(C1093&lt;&gt;"""",""https://api.qrserver.com/v1/create-qr-code/?size=200x200&amp;data=""&amp;ENCODEURL(""https://wa.me/507""&amp;REGEXREPLACE(C1093,""[^0-9]"","""")&amp;""?text=""&amp;ENCODEURL(""Ya llegue. Codigo: ""&amp;A1093&amp;"". Ubicacion: ""&amp;""https://www.google.com/maps/search"&amp;"/?api=1&amp;query=""&amp;SUBSTITUTE(F1093,"" "",""""))),"""")"),"")</f>
        <v/>
      </c>
      <c r="M1093" s="5" t="str">
        <f t="shared" si="6"/>
        <v/>
      </c>
      <c r="N1093" s="5" t="str">
        <f>IFERROR(__xludf.DUMMYFUNCTION("IF(AND(F1093&lt;&gt;"""",REGEXMATCH(SUBSTITUTE(F1093,"" "",""""),""^-?\d+(\.\d+)?,-?\d+(\.\d+)?$""),VALUE(REGEXEXTRACT(SUBSTITUTE(F1093,"" "",""""),""^-?\d+(\.\d+)?""))&gt;=-90,VALUE(REGEXEXTRACT(SUBSTITUTE(F1093,"" "",""""),""^-?\d+(\.\d+)?""))&lt;=90,VALUE(REGEXEXT"&amp;"RACT(SUBSTITUTE(F1093,"" "",""""),""-?\d+(\.\d+)?$""))&gt;=-180,VALUE(REGEXEXTRACT(SUBSTITUTE(F1093,"" "",""""),""-?\d+(\.\d+)?$""))&lt;=180),""OK"",""REVISAR"")"),"#N/A")</f>
        <v>#N/A</v>
      </c>
    </row>
    <row r="1094" ht="15.75" customHeight="1">
      <c r="A1094" s="5" t="str">
        <f t="shared" si="1"/>
        <v>AD507-1092</v>
      </c>
      <c r="C1094" s="5"/>
      <c r="F1094" s="5"/>
      <c r="G1094" s="5" t="str">
        <f t="shared" si="2"/>
        <v/>
      </c>
      <c r="H1094" s="5" t="str">
        <f t="shared" si="3"/>
        <v/>
      </c>
      <c r="I1094" s="5" t="str">
        <f t="shared" si="4"/>
        <v/>
      </c>
      <c r="J1094" s="5" t="str">
        <f t="shared" si="5"/>
        <v/>
      </c>
      <c r="K1094" s="5" t="str">
        <f>IFERROR(__xludf.DUMMYFUNCTION("IF(C1094&lt;&gt;"""",HYPERLINK(""https://wa.me/507""&amp;REGEXREPLACE(C1094,""[^0-9]"","""")&amp;""?text=""&amp;ENCODEURL(""Ya llegue. Codigo: ""&amp;A1094&amp;"". Ubicacion: ""&amp;""https://www.google.com/maps/search/?api=1&amp;query=""&amp;SUBSTITUTE(F1094,"" "","""")),""📲 Avisar al clien"&amp;"te""),"""")"),"")</f>
        <v/>
      </c>
      <c r="L1094" s="5" t="str">
        <f>IFERROR(__xludf.DUMMYFUNCTION("IF(C1094&lt;&gt;"""",""https://api.qrserver.com/v1/create-qr-code/?size=200x200&amp;data=""&amp;ENCODEURL(""https://wa.me/507""&amp;REGEXREPLACE(C1094,""[^0-9]"","""")&amp;""?text=""&amp;ENCODEURL(""Ya llegue. Codigo: ""&amp;A1094&amp;"". Ubicacion: ""&amp;""https://www.google.com/maps/search"&amp;"/?api=1&amp;query=""&amp;SUBSTITUTE(F1094,"" "",""""))),"""")"),"")</f>
        <v/>
      </c>
      <c r="M1094" s="5" t="str">
        <f t="shared" si="6"/>
        <v/>
      </c>
      <c r="N1094" s="5" t="str">
        <f>IFERROR(__xludf.DUMMYFUNCTION("IF(AND(F1094&lt;&gt;"""",REGEXMATCH(SUBSTITUTE(F1094,"" "",""""),""^-?\d+(\.\d+)?,-?\d+(\.\d+)?$""),VALUE(REGEXEXTRACT(SUBSTITUTE(F1094,"" "",""""),""^-?\d+(\.\d+)?""))&gt;=-90,VALUE(REGEXEXTRACT(SUBSTITUTE(F1094,"" "",""""),""^-?\d+(\.\d+)?""))&lt;=90,VALUE(REGEXEXT"&amp;"RACT(SUBSTITUTE(F1094,"" "",""""),""-?\d+(\.\d+)?$""))&gt;=-180,VALUE(REGEXEXTRACT(SUBSTITUTE(F1094,"" "",""""),""-?\d+(\.\d+)?$""))&lt;=180),""OK"",""REVISAR"")"),"#N/A")</f>
        <v>#N/A</v>
      </c>
    </row>
    <row r="1095" ht="15.75" customHeight="1">
      <c r="A1095" s="5" t="str">
        <f t="shared" si="1"/>
        <v>AD507-1093</v>
      </c>
      <c r="C1095" s="5"/>
      <c r="F1095" s="5"/>
      <c r="G1095" s="5" t="str">
        <f t="shared" si="2"/>
        <v/>
      </c>
      <c r="H1095" s="5" t="str">
        <f t="shared" si="3"/>
        <v/>
      </c>
      <c r="I1095" s="5" t="str">
        <f t="shared" si="4"/>
        <v/>
      </c>
      <c r="J1095" s="5" t="str">
        <f t="shared" si="5"/>
        <v/>
      </c>
      <c r="K1095" s="5" t="str">
        <f>IFERROR(__xludf.DUMMYFUNCTION("IF(C1095&lt;&gt;"""",HYPERLINK(""https://wa.me/507""&amp;REGEXREPLACE(C1095,""[^0-9]"","""")&amp;""?text=""&amp;ENCODEURL(""Ya llegue. Codigo: ""&amp;A1095&amp;"". Ubicacion: ""&amp;""https://www.google.com/maps/search/?api=1&amp;query=""&amp;SUBSTITUTE(F1095,"" "","""")),""📲 Avisar al clien"&amp;"te""),"""")"),"")</f>
        <v/>
      </c>
      <c r="L1095" s="5" t="str">
        <f>IFERROR(__xludf.DUMMYFUNCTION("IF(C1095&lt;&gt;"""",""https://api.qrserver.com/v1/create-qr-code/?size=200x200&amp;data=""&amp;ENCODEURL(""https://wa.me/507""&amp;REGEXREPLACE(C1095,""[^0-9]"","""")&amp;""?text=""&amp;ENCODEURL(""Ya llegue. Codigo: ""&amp;A1095&amp;"". Ubicacion: ""&amp;""https://www.google.com/maps/search"&amp;"/?api=1&amp;query=""&amp;SUBSTITUTE(F1095,"" "",""""))),"""")"),"")</f>
        <v/>
      </c>
      <c r="M1095" s="5" t="str">
        <f t="shared" si="6"/>
        <v/>
      </c>
      <c r="N1095" s="5" t="str">
        <f>IFERROR(__xludf.DUMMYFUNCTION("IF(AND(F1095&lt;&gt;"""",REGEXMATCH(SUBSTITUTE(F1095,"" "",""""),""^-?\d+(\.\d+)?,-?\d+(\.\d+)?$""),VALUE(REGEXEXTRACT(SUBSTITUTE(F1095,"" "",""""),""^-?\d+(\.\d+)?""))&gt;=-90,VALUE(REGEXEXTRACT(SUBSTITUTE(F1095,"" "",""""),""^-?\d+(\.\d+)?""))&lt;=90,VALUE(REGEXEXT"&amp;"RACT(SUBSTITUTE(F1095,"" "",""""),""-?\d+(\.\d+)?$""))&gt;=-180,VALUE(REGEXEXTRACT(SUBSTITUTE(F1095,"" "",""""),""-?\d+(\.\d+)?$""))&lt;=180),""OK"",""REVISAR"")"),"#N/A")</f>
        <v>#N/A</v>
      </c>
    </row>
    <row r="1096" ht="15.75" customHeight="1">
      <c r="A1096" s="5" t="str">
        <f t="shared" si="1"/>
        <v>AD507-1094</v>
      </c>
      <c r="C1096" s="5"/>
      <c r="F1096" s="5"/>
      <c r="G1096" s="5" t="str">
        <f t="shared" si="2"/>
        <v/>
      </c>
      <c r="H1096" s="5" t="str">
        <f t="shared" si="3"/>
        <v/>
      </c>
      <c r="I1096" s="5" t="str">
        <f t="shared" si="4"/>
        <v/>
      </c>
      <c r="J1096" s="5" t="str">
        <f t="shared" si="5"/>
        <v/>
      </c>
      <c r="K1096" s="5" t="str">
        <f>IFERROR(__xludf.DUMMYFUNCTION("IF(C1096&lt;&gt;"""",HYPERLINK(""https://wa.me/507""&amp;REGEXREPLACE(C1096,""[^0-9]"","""")&amp;""?text=""&amp;ENCODEURL(""Ya llegue. Codigo: ""&amp;A1096&amp;"". Ubicacion: ""&amp;""https://www.google.com/maps/search/?api=1&amp;query=""&amp;SUBSTITUTE(F1096,"" "","""")),""📲 Avisar al clien"&amp;"te""),"""")"),"")</f>
        <v/>
      </c>
      <c r="L1096" s="5" t="str">
        <f>IFERROR(__xludf.DUMMYFUNCTION("IF(C1096&lt;&gt;"""",""https://api.qrserver.com/v1/create-qr-code/?size=200x200&amp;data=""&amp;ENCODEURL(""https://wa.me/507""&amp;REGEXREPLACE(C1096,""[^0-9]"","""")&amp;""?text=""&amp;ENCODEURL(""Ya llegue. Codigo: ""&amp;A1096&amp;"". Ubicacion: ""&amp;""https://www.google.com/maps/search"&amp;"/?api=1&amp;query=""&amp;SUBSTITUTE(F1096,"" "",""""))),"""")"),"")</f>
        <v/>
      </c>
      <c r="M1096" s="5" t="str">
        <f t="shared" si="6"/>
        <v/>
      </c>
      <c r="N1096" s="5" t="str">
        <f>IFERROR(__xludf.DUMMYFUNCTION("IF(AND(F1096&lt;&gt;"""",REGEXMATCH(SUBSTITUTE(F1096,"" "",""""),""^-?\d+(\.\d+)?,-?\d+(\.\d+)?$""),VALUE(REGEXEXTRACT(SUBSTITUTE(F1096,"" "",""""),""^-?\d+(\.\d+)?""))&gt;=-90,VALUE(REGEXEXTRACT(SUBSTITUTE(F1096,"" "",""""),""^-?\d+(\.\d+)?""))&lt;=90,VALUE(REGEXEXT"&amp;"RACT(SUBSTITUTE(F1096,"" "",""""),""-?\d+(\.\d+)?$""))&gt;=-180,VALUE(REGEXEXTRACT(SUBSTITUTE(F1096,"" "",""""),""-?\d+(\.\d+)?$""))&lt;=180),""OK"",""REVISAR"")"),"#N/A")</f>
        <v>#N/A</v>
      </c>
    </row>
    <row r="1097" ht="15.75" customHeight="1">
      <c r="A1097" s="5" t="str">
        <f t="shared" si="1"/>
        <v>AD507-1095</v>
      </c>
      <c r="C1097" s="5"/>
      <c r="F1097" s="5"/>
      <c r="G1097" s="5" t="str">
        <f t="shared" si="2"/>
        <v/>
      </c>
      <c r="H1097" s="5" t="str">
        <f t="shared" si="3"/>
        <v/>
      </c>
      <c r="I1097" s="5" t="str">
        <f t="shared" si="4"/>
        <v/>
      </c>
      <c r="J1097" s="5" t="str">
        <f t="shared" si="5"/>
        <v/>
      </c>
      <c r="K1097" s="5" t="str">
        <f>IFERROR(__xludf.DUMMYFUNCTION("IF(C1097&lt;&gt;"""",HYPERLINK(""https://wa.me/507""&amp;REGEXREPLACE(C1097,""[^0-9]"","""")&amp;""?text=""&amp;ENCODEURL(""Ya llegue. Codigo: ""&amp;A1097&amp;"". Ubicacion: ""&amp;""https://www.google.com/maps/search/?api=1&amp;query=""&amp;SUBSTITUTE(F1097,"" "","""")),""📲 Avisar al clien"&amp;"te""),"""")"),"")</f>
        <v/>
      </c>
      <c r="L1097" s="5" t="str">
        <f>IFERROR(__xludf.DUMMYFUNCTION("IF(C1097&lt;&gt;"""",""https://api.qrserver.com/v1/create-qr-code/?size=200x200&amp;data=""&amp;ENCODEURL(""https://wa.me/507""&amp;REGEXREPLACE(C1097,""[^0-9]"","""")&amp;""?text=""&amp;ENCODEURL(""Ya llegue. Codigo: ""&amp;A1097&amp;"". Ubicacion: ""&amp;""https://www.google.com/maps/search"&amp;"/?api=1&amp;query=""&amp;SUBSTITUTE(F1097,"" "",""""))),"""")"),"")</f>
        <v/>
      </c>
      <c r="M1097" s="5" t="str">
        <f t="shared" si="6"/>
        <v/>
      </c>
      <c r="N1097" s="5" t="str">
        <f>IFERROR(__xludf.DUMMYFUNCTION("IF(AND(F1097&lt;&gt;"""",REGEXMATCH(SUBSTITUTE(F1097,"" "",""""),""^-?\d+(\.\d+)?,-?\d+(\.\d+)?$""),VALUE(REGEXEXTRACT(SUBSTITUTE(F1097,"" "",""""),""^-?\d+(\.\d+)?""))&gt;=-90,VALUE(REGEXEXTRACT(SUBSTITUTE(F1097,"" "",""""),""^-?\d+(\.\d+)?""))&lt;=90,VALUE(REGEXEXT"&amp;"RACT(SUBSTITUTE(F1097,"" "",""""),""-?\d+(\.\d+)?$""))&gt;=-180,VALUE(REGEXEXTRACT(SUBSTITUTE(F1097,"" "",""""),""-?\d+(\.\d+)?$""))&lt;=180),""OK"",""REVISAR"")"),"#N/A")</f>
        <v>#N/A</v>
      </c>
    </row>
    <row r="1098" ht="15.75" customHeight="1">
      <c r="A1098" s="5" t="str">
        <f t="shared" si="1"/>
        <v>AD507-1096</v>
      </c>
      <c r="C1098" s="5"/>
      <c r="F1098" s="5"/>
      <c r="G1098" s="5" t="str">
        <f t="shared" si="2"/>
        <v/>
      </c>
      <c r="H1098" s="5" t="str">
        <f t="shared" si="3"/>
        <v/>
      </c>
      <c r="I1098" s="5" t="str">
        <f t="shared" si="4"/>
        <v/>
      </c>
      <c r="J1098" s="5" t="str">
        <f t="shared" si="5"/>
        <v/>
      </c>
      <c r="K1098" s="5" t="str">
        <f>IFERROR(__xludf.DUMMYFUNCTION("IF(C1098&lt;&gt;"""",HYPERLINK(""https://wa.me/507""&amp;REGEXREPLACE(C1098,""[^0-9]"","""")&amp;""?text=""&amp;ENCODEURL(""Ya llegue. Codigo: ""&amp;A1098&amp;"". Ubicacion: ""&amp;""https://www.google.com/maps/search/?api=1&amp;query=""&amp;SUBSTITUTE(F1098,"" "","""")),""📲 Avisar al clien"&amp;"te""),"""")"),"")</f>
        <v/>
      </c>
      <c r="L1098" s="5" t="str">
        <f>IFERROR(__xludf.DUMMYFUNCTION("IF(C1098&lt;&gt;"""",""https://api.qrserver.com/v1/create-qr-code/?size=200x200&amp;data=""&amp;ENCODEURL(""https://wa.me/507""&amp;REGEXREPLACE(C1098,""[^0-9]"","""")&amp;""?text=""&amp;ENCODEURL(""Ya llegue. Codigo: ""&amp;A1098&amp;"". Ubicacion: ""&amp;""https://www.google.com/maps/search"&amp;"/?api=1&amp;query=""&amp;SUBSTITUTE(F1098,"" "",""""))),"""")"),"")</f>
        <v/>
      </c>
      <c r="M1098" s="5" t="str">
        <f t="shared" si="6"/>
        <v/>
      </c>
      <c r="N1098" s="5" t="str">
        <f>IFERROR(__xludf.DUMMYFUNCTION("IF(AND(F1098&lt;&gt;"""",REGEXMATCH(SUBSTITUTE(F1098,"" "",""""),""^-?\d+(\.\d+)?,-?\d+(\.\d+)?$""),VALUE(REGEXEXTRACT(SUBSTITUTE(F1098,"" "",""""),""^-?\d+(\.\d+)?""))&gt;=-90,VALUE(REGEXEXTRACT(SUBSTITUTE(F1098,"" "",""""),""^-?\d+(\.\d+)?""))&lt;=90,VALUE(REGEXEXT"&amp;"RACT(SUBSTITUTE(F1098,"" "",""""),""-?\d+(\.\d+)?$""))&gt;=-180,VALUE(REGEXEXTRACT(SUBSTITUTE(F1098,"" "",""""),""-?\d+(\.\d+)?$""))&lt;=180),""OK"",""REVISAR"")"),"#N/A")</f>
        <v>#N/A</v>
      </c>
    </row>
    <row r="1099" ht="15.75" customHeight="1">
      <c r="A1099" s="5" t="str">
        <f t="shared" si="1"/>
        <v>AD507-1097</v>
      </c>
      <c r="C1099" s="5"/>
      <c r="F1099" s="5"/>
      <c r="G1099" s="5" t="str">
        <f t="shared" si="2"/>
        <v/>
      </c>
      <c r="H1099" s="5" t="str">
        <f t="shared" si="3"/>
        <v/>
      </c>
      <c r="I1099" s="5" t="str">
        <f t="shared" si="4"/>
        <v/>
      </c>
      <c r="J1099" s="5" t="str">
        <f t="shared" si="5"/>
        <v/>
      </c>
      <c r="K1099" s="5" t="str">
        <f>IFERROR(__xludf.DUMMYFUNCTION("IF(C1099&lt;&gt;"""",HYPERLINK(""https://wa.me/507""&amp;REGEXREPLACE(C1099,""[^0-9]"","""")&amp;""?text=""&amp;ENCODEURL(""Ya llegue. Codigo: ""&amp;A1099&amp;"". Ubicacion: ""&amp;""https://www.google.com/maps/search/?api=1&amp;query=""&amp;SUBSTITUTE(F1099,"" "","""")),""📲 Avisar al clien"&amp;"te""),"""")"),"")</f>
        <v/>
      </c>
      <c r="L1099" s="5" t="str">
        <f>IFERROR(__xludf.DUMMYFUNCTION("IF(C1099&lt;&gt;"""",""https://api.qrserver.com/v1/create-qr-code/?size=200x200&amp;data=""&amp;ENCODEURL(""https://wa.me/507""&amp;REGEXREPLACE(C1099,""[^0-9]"","""")&amp;""?text=""&amp;ENCODEURL(""Ya llegue. Codigo: ""&amp;A1099&amp;"". Ubicacion: ""&amp;""https://www.google.com/maps/search"&amp;"/?api=1&amp;query=""&amp;SUBSTITUTE(F1099,"" "",""""))),"""")"),"")</f>
        <v/>
      </c>
      <c r="M1099" s="5" t="str">
        <f t="shared" si="6"/>
        <v/>
      </c>
      <c r="N1099" s="5" t="str">
        <f>IFERROR(__xludf.DUMMYFUNCTION("IF(AND(F1099&lt;&gt;"""",REGEXMATCH(SUBSTITUTE(F1099,"" "",""""),""^-?\d+(\.\d+)?,-?\d+(\.\d+)?$""),VALUE(REGEXEXTRACT(SUBSTITUTE(F1099,"" "",""""),""^-?\d+(\.\d+)?""))&gt;=-90,VALUE(REGEXEXTRACT(SUBSTITUTE(F1099,"" "",""""),""^-?\d+(\.\d+)?""))&lt;=90,VALUE(REGEXEXT"&amp;"RACT(SUBSTITUTE(F1099,"" "",""""),""-?\d+(\.\d+)?$""))&gt;=-180,VALUE(REGEXEXTRACT(SUBSTITUTE(F1099,"" "",""""),""-?\d+(\.\d+)?$""))&lt;=180),""OK"",""REVISAR"")"),"#N/A")</f>
        <v>#N/A</v>
      </c>
    </row>
    <row r="1100" ht="15.75" customHeight="1">
      <c r="A1100" s="5" t="str">
        <f t="shared" si="1"/>
        <v>AD507-1098</v>
      </c>
      <c r="C1100" s="5"/>
      <c r="F1100" s="5"/>
      <c r="G1100" s="5" t="str">
        <f t="shared" si="2"/>
        <v/>
      </c>
      <c r="H1100" s="5" t="str">
        <f t="shared" si="3"/>
        <v/>
      </c>
      <c r="I1100" s="5" t="str">
        <f t="shared" si="4"/>
        <v/>
      </c>
      <c r="J1100" s="5" t="str">
        <f t="shared" si="5"/>
        <v/>
      </c>
      <c r="K1100" s="5" t="str">
        <f>IFERROR(__xludf.DUMMYFUNCTION("IF(C1100&lt;&gt;"""",HYPERLINK(""https://wa.me/507""&amp;REGEXREPLACE(C1100,""[^0-9]"","""")&amp;""?text=""&amp;ENCODEURL(""Ya llegue. Codigo: ""&amp;A1100&amp;"". Ubicacion: ""&amp;""https://www.google.com/maps/search/?api=1&amp;query=""&amp;SUBSTITUTE(F1100,"" "","""")),""📲 Avisar al clien"&amp;"te""),"""")"),"")</f>
        <v/>
      </c>
      <c r="L1100" s="5" t="str">
        <f>IFERROR(__xludf.DUMMYFUNCTION("IF(C1100&lt;&gt;"""",""https://api.qrserver.com/v1/create-qr-code/?size=200x200&amp;data=""&amp;ENCODEURL(""https://wa.me/507""&amp;REGEXREPLACE(C1100,""[^0-9]"","""")&amp;""?text=""&amp;ENCODEURL(""Ya llegue. Codigo: ""&amp;A1100&amp;"". Ubicacion: ""&amp;""https://www.google.com/maps/search"&amp;"/?api=1&amp;query=""&amp;SUBSTITUTE(F1100,"" "",""""))),"""")"),"")</f>
        <v/>
      </c>
      <c r="M1100" s="5" t="str">
        <f t="shared" si="6"/>
        <v/>
      </c>
      <c r="N1100" s="5" t="str">
        <f>IFERROR(__xludf.DUMMYFUNCTION("IF(AND(F1100&lt;&gt;"""",REGEXMATCH(SUBSTITUTE(F1100,"" "",""""),""^-?\d+(\.\d+)?,-?\d+(\.\d+)?$""),VALUE(REGEXEXTRACT(SUBSTITUTE(F1100,"" "",""""),""^-?\d+(\.\d+)?""))&gt;=-90,VALUE(REGEXEXTRACT(SUBSTITUTE(F1100,"" "",""""),""^-?\d+(\.\d+)?""))&lt;=90,VALUE(REGEXEXT"&amp;"RACT(SUBSTITUTE(F1100,"" "",""""),""-?\d+(\.\d+)?$""))&gt;=-180,VALUE(REGEXEXTRACT(SUBSTITUTE(F1100,"" "",""""),""-?\d+(\.\d+)?$""))&lt;=180),""OK"",""REVISAR"")"),"#N/A")</f>
        <v>#N/A</v>
      </c>
    </row>
    <row r="1101" ht="15.75" customHeight="1">
      <c r="A1101" s="5" t="str">
        <f t="shared" si="1"/>
        <v>AD507-1099</v>
      </c>
      <c r="C1101" s="5"/>
      <c r="F1101" s="5"/>
      <c r="G1101" s="5" t="str">
        <f t="shared" si="2"/>
        <v/>
      </c>
      <c r="H1101" s="5" t="str">
        <f t="shared" si="3"/>
        <v/>
      </c>
      <c r="I1101" s="5" t="str">
        <f t="shared" si="4"/>
        <v/>
      </c>
      <c r="J1101" s="5" t="str">
        <f t="shared" si="5"/>
        <v/>
      </c>
      <c r="K1101" s="5" t="str">
        <f>IFERROR(__xludf.DUMMYFUNCTION("IF(C1101&lt;&gt;"""",HYPERLINK(""https://wa.me/507""&amp;REGEXREPLACE(C1101,""[^0-9]"","""")&amp;""?text=""&amp;ENCODEURL(""Ya llegue. Codigo: ""&amp;A1101&amp;"". Ubicacion: ""&amp;""https://www.google.com/maps/search/?api=1&amp;query=""&amp;SUBSTITUTE(F1101,"" "","""")),""📲 Avisar al clien"&amp;"te""),"""")"),"")</f>
        <v/>
      </c>
      <c r="L1101" s="5" t="str">
        <f>IFERROR(__xludf.DUMMYFUNCTION("IF(C1101&lt;&gt;"""",""https://api.qrserver.com/v1/create-qr-code/?size=200x200&amp;data=""&amp;ENCODEURL(""https://wa.me/507""&amp;REGEXREPLACE(C1101,""[^0-9]"","""")&amp;""?text=""&amp;ENCODEURL(""Ya llegue. Codigo: ""&amp;A1101&amp;"". Ubicacion: ""&amp;""https://www.google.com/maps/search"&amp;"/?api=1&amp;query=""&amp;SUBSTITUTE(F1101,"" "",""""))),"""")"),"")</f>
        <v/>
      </c>
      <c r="M1101" s="5" t="str">
        <f t="shared" si="6"/>
        <v/>
      </c>
      <c r="N1101" s="5" t="str">
        <f>IFERROR(__xludf.DUMMYFUNCTION("IF(AND(F1101&lt;&gt;"""",REGEXMATCH(SUBSTITUTE(F1101,"" "",""""),""^-?\d+(\.\d+)?,-?\d+(\.\d+)?$""),VALUE(REGEXEXTRACT(SUBSTITUTE(F1101,"" "",""""),""^-?\d+(\.\d+)?""))&gt;=-90,VALUE(REGEXEXTRACT(SUBSTITUTE(F1101,"" "",""""),""^-?\d+(\.\d+)?""))&lt;=90,VALUE(REGEXEXT"&amp;"RACT(SUBSTITUTE(F1101,"" "",""""),""-?\d+(\.\d+)?$""))&gt;=-180,VALUE(REGEXEXTRACT(SUBSTITUTE(F1101,"" "",""""),""-?\d+(\.\d+)?$""))&lt;=180),""OK"",""REVISAR"")"),"#N/A")</f>
        <v>#N/A</v>
      </c>
    </row>
    <row r="1102" ht="15.75" customHeight="1">
      <c r="A1102" s="5" t="str">
        <f t="shared" si="1"/>
        <v>AD507-1100</v>
      </c>
      <c r="C1102" s="5"/>
      <c r="F1102" s="5"/>
      <c r="G1102" s="5" t="str">
        <f t="shared" si="2"/>
        <v/>
      </c>
      <c r="H1102" s="5" t="str">
        <f t="shared" si="3"/>
        <v/>
      </c>
      <c r="I1102" s="5" t="str">
        <f t="shared" si="4"/>
        <v/>
      </c>
      <c r="J1102" s="5" t="str">
        <f t="shared" si="5"/>
        <v/>
      </c>
      <c r="K1102" s="5" t="str">
        <f>IFERROR(__xludf.DUMMYFUNCTION("IF(C1102&lt;&gt;"""",HYPERLINK(""https://wa.me/507""&amp;REGEXREPLACE(C1102,""[^0-9]"","""")&amp;""?text=""&amp;ENCODEURL(""Ya llegue. Codigo: ""&amp;A1102&amp;"". Ubicacion: ""&amp;""https://www.google.com/maps/search/?api=1&amp;query=""&amp;SUBSTITUTE(F1102,"" "","""")),""📲 Avisar al clien"&amp;"te""),"""")"),"")</f>
        <v/>
      </c>
      <c r="L1102" s="5" t="str">
        <f>IFERROR(__xludf.DUMMYFUNCTION("IF(C1102&lt;&gt;"""",""https://api.qrserver.com/v1/create-qr-code/?size=200x200&amp;data=""&amp;ENCODEURL(""https://wa.me/507""&amp;REGEXREPLACE(C1102,""[^0-9]"","""")&amp;""?text=""&amp;ENCODEURL(""Ya llegue. Codigo: ""&amp;A1102&amp;"". Ubicacion: ""&amp;""https://www.google.com/maps/search"&amp;"/?api=1&amp;query=""&amp;SUBSTITUTE(F1102,"" "",""""))),"""")"),"")</f>
        <v/>
      </c>
      <c r="M1102" s="5" t="str">
        <f t="shared" si="6"/>
        <v/>
      </c>
      <c r="N1102" s="5" t="str">
        <f>IFERROR(__xludf.DUMMYFUNCTION("IF(AND(F1102&lt;&gt;"""",REGEXMATCH(SUBSTITUTE(F1102,"" "",""""),""^-?\d+(\.\d+)?,-?\d+(\.\d+)?$""),VALUE(REGEXEXTRACT(SUBSTITUTE(F1102,"" "",""""),""^-?\d+(\.\d+)?""))&gt;=-90,VALUE(REGEXEXTRACT(SUBSTITUTE(F1102,"" "",""""),""^-?\d+(\.\d+)?""))&lt;=90,VALUE(REGEXEXT"&amp;"RACT(SUBSTITUTE(F1102,"" "",""""),""-?\d+(\.\d+)?$""))&gt;=-180,VALUE(REGEXEXTRACT(SUBSTITUTE(F1102,"" "",""""),""-?\d+(\.\d+)?$""))&lt;=180),""OK"",""REVISAR"")"),"#N/A")</f>
        <v>#N/A</v>
      </c>
    </row>
    <row r="1103" ht="15.75" customHeight="1">
      <c r="A1103" s="5" t="str">
        <f t="shared" si="1"/>
        <v>AD507-1101</v>
      </c>
      <c r="C1103" s="5"/>
      <c r="F1103" s="5"/>
      <c r="G1103" s="5" t="str">
        <f t="shared" si="2"/>
        <v/>
      </c>
      <c r="H1103" s="5" t="str">
        <f t="shared" si="3"/>
        <v/>
      </c>
      <c r="I1103" s="5" t="str">
        <f t="shared" si="4"/>
        <v/>
      </c>
      <c r="J1103" s="5" t="str">
        <f t="shared" si="5"/>
        <v/>
      </c>
      <c r="K1103" s="5" t="str">
        <f>IFERROR(__xludf.DUMMYFUNCTION("IF(C1103&lt;&gt;"""",HYPERLINK(""https://wa.me/507""&amp;REGEXREPLACE(C1103,""[^0-9]"","""")&amp;""?text=""&amp;ENCODEURL(""Ya llegue. Codigo: ""&amp;A1103&amp;"". Ubicacion: ""&amp;""https://www.google.com/maps/search/?api=1&amp;query=""&amp;SUBSTITUTE(F1103,"" "","""")),""📲 Avisar al clien"&amp;"te""),"""")"),"")</f>
        <v/>
      </c>
      <c r="L1103" s="5" t="str">
        <f>IFERROR(__xludf.DUMMYFUNCTION("IF(C1103&lt;&gt;"""",""https://api.qrserver.com/v1/create-qr-code/?size=200x200&amp;data=""&amp;ENCODEURL(""https://wa.me/507""&amp;REGEXREPLACE(C1103,""[^0-9]"","""")&amp;""?text=""&amp;ENCODEURL(""Ya llegue. Codigo: ""&amp;A1103&amp;"". Ubicacion: ""&amp;""https://www.google.com/maps/search"&amp;"/?api=1&amp;query=""&amp;SUBSTITUTE(F1103,"" "",""""))),"""")"),"")</f>
        <v/>
      </c>
      <c r="M1103" s="5" t="str">
        <f t="shared" si="6"/>
        <v/>
      </c>
      <c r="N1103" s="5" t="str">
        <f>IFERROR(__xludf.DUMMYFUNCTION("IF(AND(F1103&lt;&gt;"""",REGEXMATCH(SUBSTITUTE(F1103,"" "",""""),""^-?\d+(\.\d+)?,-?\d+(\.\d+)?$""),VALUE(REGEXEXTRACT(SUBSTITUTE(F1103,"" "",""""),""^-?\d+(\.\d+)?""))&gt;=-90,VALUE(REGEXEXTRACT(SUBSTITUTE(F1103,"" "",""""),""^-?\d+(\.\d+)?""))&lt;=90,VALUE(REGEXEXT"&amp;"RACT(SUBSTITUTE(F1103,"" "",""""),""-?\d+(\.\d+)?$""))&gt;=-180,VALUE(REGEXEXTRACT(SUBSTITUTE(F1103,"" "",""""),""-?\d+(\.\d+)?$""))&lt;=180),""OK"",""REVISAR"")"),"#N/A")</f>
        <v>#N/A</v>
      </c>
    </row>
    <row r="1104" ht="15.75" customHeight="1">
      <c r="A1104" s="5" t="str">
        <f t="shared" si="1"/>
        <v>AD507-1102</v>
      </c>
      <c r="C1104" s="5"/>
      <c r="F1104" s="5"/>
      <c r="G1104" s="5" t="str">
        <f t="shared" si="2"/>
        <v/>
      </c>
      <c r="H1104" s="5" t="str">
        <f t="shared" si="3"/>
        <v/>
      </c>
      <c r="I1104" s="5" t="str">
        <f t="shared" si="4"/>
        <v/>
      </c>
      <c r="J1104" s="5" t="str">
        <f t="shared" si="5"/>
        <v/>
      </c>
      <c r="K1104" s="5" t="str">
        <f>IFERROR(__xludf.DUMMYFUNCTION("IF(C1104&lt;&gt;"""",HYPERLINK(""https://wa.me/507""&amp;REGEXREPLACE(C1104,""[^0-9]"","""")&amp;""?text=""&amp;ENCODEURL(""Ya llegue. Codigo: ""&amp;A1104&amp;"". Ubicacion: ""&amp;""https://www.google.com/maps/search/?api=1&amp;query=""&amp;SUBSTITUTE(F1104,"" "","""")),""📲 Avisar al clien"&amp;"te""),"""")"),"")</f>
        <v/>
      </c>
      <c r="L1104" s="5" t="str">
        <f>IFERROR(__xludf.DUMMYFUNCTION("IF(C1104&lt;&gt;"""",""https://api.qrserver.com/v1/create-qr-code/?size=200x200&amp;data=""&amp;ENCODEURL(""https://wa.me/507""&amp;REGEXREPLACE(C1104,""[^0-9]"","""")&amp;""?text=""&amp;ENCODEURL(""Ya llegue. Codigo: ""&amp;A1104&amp;"". Ubicacion: ""&amp;""https://www.google.com/maps/search"&amp;"/?api=1&amp;query=""&amp;SUBSTITUTE(F1104,"" "",""""))),"""")"),"")</f>
        <v/>
      </c>
      <c r="M1104" s="5" t="str">
        <f t="shared" si="6"/>
        <v/>
      </c>
      <c r="N1104" s="5" t="str">
        <f>IFERROR(__xludf.DUMMYFUNCTION("IF(AND(F1104&lt;&gt;"""",REGEXMATCH(SUBSTITUTE(F1104,"" "",""""),""^-?\d+(\.\d+)?,-?\d+(\.\d+)?$""),VALUE(REGEXEXTRACT(SUBSTITUTE(F1104,"" "",""""),""^-?\d+(\.\d+)?""))&gt;=-90,VALUE(REGEXEXTRACT(SUBSTITUTE(F1104,"" "",""""),""^-?\d+(\.\d+)?""))&lt;=90,VALUE(REGEXEXT"&amp;"RACT(SUBSTITUTE(F1104,"" "",""""),""-?\d+(\.\d+)?$""))&gt;=-180,VALUE(REGEXEXTRACT(SUBSTITUTE(F1104,"" "",""""),""-?\d+(\.\d+)?$""))&lt;=180),""OK"",""REVISAR"")"),"#N/A")</f>
        <v>#N/A</v>
      </c>
    </row>
    <row r="1105" ht="15.75" customHeight="1">
      <c r="A1105" s="5" t="str">
        <f t="shared" si="1"/>
        <v>AD507-1103</v>
      </c>
      <c r="C1105" s="5"/>
      <c r="F1105" s="5"/>
      <c r="G1105" s="5" t="str">
        <f t="shared" si="2"/>
        <v/>
      </c>
      <c r="H1105" s="5" t="str">
        <f t="shared" si="3"/>
        <v/>
      </c>
      <c r="I1105" s="5" t="str">
        <f t="shared" si="4"/>
        <v/>
      </c>
      <c r="J1105" s="5" t="str">
        <f t="shared" si="5"/>
        <v/>
      </c>
      <c r="K1105" s="5" t="str">
        <f>IFERROR(__xludf.DUMMYFUNCTION("IF(C1105&lt;&gt;"""",HYPERLINK(""https://wa.me/507""&amp;REGEXREPLACE(C1105,""[^0-9]"","""")&amp;""?text=""&amp;ENCODEURL(""Ya llegue. Codigo: ""&amp;A1105&amp;"". Ubicacion: ""&amp;""https://www.google.com/maps/search/?api=1&amp;query=""&amp;SUBSTITUTE(F1105,"" "","""")),""📲 Avisar al clien"&amp;"te""),"""")"),"")</f>
        <v/>
      </c>
      <c r="L1105" s="5" t="str">
        <f>IFERROR(__xludf.DUMMYFUNCTION("IF(C1105&lt;&gt;"""",""https://api.qrserver.com/v1/create-qr-code/?size=200x200&amp;data=""&amp;ENCODEURL(""https://wa.me/507""&amp;REGEXREPLACE(C1105,""[^0-9]"","""")&amp;""?text=""&amp;ENCODEURL(""Ya llegue. Codigo: ""&amp;A1105&amp;"". Ubicacion: ""&amp;""https://www.google.com/maps/search"&amp;"/?api=1&amp;query=""&amp;SUBSTITUTE(F1105,"" "",""""))),"""")"),"")</f>
        <v/>
      </c>
      <c r="M1105" s="5" t="str">
        <f t="shared" si="6"/>
        <v/>
      </c>
      <c r="N1105" s="5" t="str">
        <f>IFERROR(__xludf.DUMMYFUNCTION("IF(AND(F1105&lt;&gt;"""",REGEXMATCH(SUBSTITUTE(F1105,"" "",""""),""^-?\d+(\.\d+)?,-?\d+(\.\d+)?$""),VALUE(REGEXEXTRACT(SUBSTITUTE(F1105,"" "",""""),""^-?\d+(\.\d+)?""))&gt;=-90,VALUE(REGEXEXTRACT(SUBSTITUTE(F1105,"" "",""""),""^-?\d+(\.\d+)?""))&lt;=90,VALUE(REGEXEXT"&amp;"RACT(SUBSTITUTE(F1105,"" "",""""),""-?\d+(\.\d+)?$""))&gt;=-180,VALUE(REGEXEXTRACT(SUBSTITUTE(F1105,"" "",""""),""-?\d+(\.\d+)?$""))&lt;=180),""OK"",""REVISAR"")"),"#N/A")</f>
        <v>#N/A</v>
      </c>
    </row>
    <row r="1106" ht="15.75" customHeight="1">
      <c r="A1106" s="5" t="str">
        <f t="shared" si="1"/>
        <v>AD507-1104</v>
      </c>
      <c r="C1106" s="5"/>
      <c r="F1106" s="5"/>
      <c r="G1106" s="5" t="str">
        <f t="shared" si="2"/>
        <v/>
      </c>
      <c r="H1106" s="5" t="str">
        <f t="shared" si="3"/>
        <v/>
      </c>
      <c r="I1106" s="5" t="str">
        <f t="shared" si="4"/>
        <v/>
      </c>
      <c r="J1106" s="5" t="str">
        <f t="shared" si="5"/>
        <v/>
      </c>
      <c r="K1106" s="5" t="str">
        <f>IFERROR(__xludf.DUMMYFUNCTION("IF(C1106&lt;&gt;"""",HYPERLINK(""https://wa.me/507""&amp;REGEXREPLACE(C1106,""[^0-9]"","""")&amp;""?text=""&amp;ENCODEURL(""Ya llegue. Codigo: ""&amp;A1106&amp;"". Ubicacion: ""&amp;""https://www.google.com/maps/search/?api=1&amp;query=""&amp;SUBSTITUTE(F1106,"" "","""")),""📲 Avisar al clien"&amp;"te""),"""")"),"")</f>
        <v/>
      </c>
      <c r="L1106" s="5" t="str">
        <f>IFERROR(__xludf.DUMMYFUNCTION("IF(C1106&lt;&gt;"""",""https://api.qrserver.com/v1/create-qr-code/?size=200x200&amp;data=""&amp;ENCODEURL(""https://wa.me/507""&amp;REGEXREPLACE(C1106,""[^0-9]"","""")&amp;""?text=""&amp;ENCODEURL(""Ya llegue. Codigo: ""&amp;A1106&amp;"". Ubicacion: ""&amp;""https://www.google.com/maps/search"&amp;"/?api=1&amp;query=""&amp;SUBSTITUTE(F1106,"" "",""""))),"""")"),"")</f>
        <v/>
      </c>
      <c r="M1106" s="5" t="str">
        <f t="shared" si="6"/>
        <v/>
      </c>
      <c r="N1106" s="5" t="str">
        <f>IFERROR(__xludf.DUMMYFUNCTION("IF(AND(F1106&lt;&gt;"""",REGEXMATCH(SUBSTITUTE(F1106,"" "",""""),""^-?\d+(\.\d+)?,-?\d+(\.\d+)?$""),VALUE(REGEXEXTRACT(SUBSTITUTE(F1106,"" "",""""),""^-?\d+(\.\d+)?""))&gt;=-90,VALUE(REGEXEXTRACT(SUBSTITUTE(F1106,"" "",""""),""^-?\d+(\.\d+)?""))&lt;=90,VALUE(REGEXEXT"&amp;"RACT(SUBSTITUTE(F1106,"" "",""""),""-?\d+(\.\d+)?$""))&gt;=-180,VALUE(REGEXEXTRACT(SUBSTITUTE(F1106,"" "",""""),""-?\d+(\.\d+)?$""))&lt;=180),""OK"",""REVISAR"")"),"#N/A")</f>
        <v>#N/A</v>
      </c>
    </row>
    <row r="1107" ht="15.75" customHeight="1">
      <c r="A1107" s="5" t="str">
        <f t="shared" si="1"/>
        <v>AD507-1105</v>
      </c>
      <c r="C1107" s="5"/>
      <c r="F1107" s="5"/>
      <c r="G1107" s="5" t="str">
        <f t="shared" si="2"/>
        <v/>
      </c>
      <c r="H1107" s="5" t="str">
        <f t="shared" si="3"/>
        <v/>
      </c>
      <c r="I1107" s="5" t="str">
        <f t="shared" si="4"/>
        <v/>
      </c>
      <c r="J1107" s="5" t="str">
        <f t="shared" si="5"/>
        <v/>
      </c>
      <c r="K1107" s="5" t="str">
        <f>IFERROR(__xludf.DUMMYFUNCTION("IF(C1107&lt;&gt;"""",HYPERLINK(""https://wa.me/507""&amp;REGEXREPLACE(C1107,""[^0-9]"","""")&amp;""?text=""&amp;ENCODEURL(""Ya llegue. Codigo: ""&amp;A1107&amp;"". Ubicacion: ""&amp;""https://www.google.com/maps/search/?api=1&amp;query=""&amp;SUBSTITUTE(F1107,"" "","""")),""📲 Avisar al clien"&amp;"te""),"""")"),"")</f>
        <v/>
      </c>
      <c r="L1107" s="5" t="str">
        <f>IFERROR(__xludf.DUMMYFUNCTION("IF(C1107&lt;&gt;"""",""https://api.qrserver.com/v1/create-qr-code/?size=200x200&amp;data=""&amp;ENCODEURL(""https://wa.me/507""&amp;REGEXREPLACE(C1107,""[^0-9]"","""")&amp;""?text=""&amp;ENCODEURL(""Ya llegue. Codigo: ""&amp;A1107&amp;"". Ubicacion: ""&amp;""https://www.google.com/maps/search"&amp;"/?api=1&amp;query=""&amp;SUBSTITUTE(F1107,"" "",""""))),"""")"),"")</f>
        <v/>
      </c>
      <c r="M1107" s="5" t="str">
        <f t="shared" si="6"/>
        <v/>
      </c>
      <c r="N1107" s="5" t="str">
        <f>IFERROR(__xludf.DUMMYFUNCTION("IF(AND(F1107&lt;&gt;"""",REGEXMATCH(SUBSTITUTE(F1107,"" "",""""),""^-?\d+(\.\d+)?,-?\d+(\.\d+)?$""),VALUE(REGEXEXTRACT(SUBSTITUTE(F1107,"" "",""""),""^-?\d+(\.\d+)?""))&gt;=-90,VALUE(REGEXEXTRACT(SUBSTITUTE(F1107,"" "",""""),""^-?\d+(\.\d+)?""))&lt;=90,VALUE(REGEXEXT"&amp;"RACT(SUBSTITUTE(F1107,"" "",""""),""-?\d+(\.\d+)?$""))&gt;=-180,VALUE(REGEXEXTRACT(SUBSTITUTE(F1107,"" "",""""),""-?\d+(\.\d+)?$""))&lt;=180),""OK"",""REVISAR"")"),"#N/A")</f>
        <v>#N/A</v>
      </c>
    </row>
    <row r="1108" ht="15.75" customHeight="1">
      <c r="A1108" s="5" t="str">
        <f t="shared" si="1"/>
        <v>AD507-1106</v>
      </c>
      <c r="C1108" s="5"/>
      <c r="F1108" s="5"/>
      <c r="G1108" s="5" t="str">
        <f t="shared" si="2"/>
        <v/>
      </c>
      <c r="H1108" s="5" t="str">
        <f t="shared" si="3"/>
        <v/>
      </c>
      <c r="I1108" s="5" t="str">
        <f t="shared" si="4"/>
        <v/>
      </c>
      <c r="J1108" s="5" t="str">
        <f t="shared" si="5"/>
        <v/>
      </c>
      <c r="K1108" s="5" t="str">
        <f>IFERROR(__xludf.DUMMYFUNCTION("IF(C1108&lt;&gt;"""",HYPERLINK(""https://wa.me/507""&amp;REGEXREPLACE(C1108,""[^0-9]"","""")&amp;""?text=""&amp;ENCODEURL(""Ya llegue. Codigo: ""&amp;A1108&amp;"". Ubicacion: ""&amp;""https://www.google.com/maps/search/?api=1&amp;query=""&amp;SUBSTITUTE(F1108,"" "","""")),""📲 Avisar al clien"&amp;"te""),"""")"),"")</f>
        <v/>
      </c>
      <c r="L1108" s="5" t="str">
        <f>IFERROR(__xludf.DUMMYFUNCTION("IF(C1108&lt;&gt;"""",""https://api.qrserver.com/v1/create-qr-code/?size=200x200&amp;data=""&amp;ENCODEURL(""https://wa.me/507""&amp;REGEXREPLACE(C1108,""[^0-9]"","""")&amp;""?text=""&amp;ENCODEURL(""Ya llegue. Codigo: ""&amp;A1108&amp;"". Ubicacion: ""&amp;""https://www.google.com/maps/search"&amp;"/?api=1&amp;query=""&amp;SUBSTITUTE(F1108,"" "",""""))),"""")"),"")</f>
        <v/>
      </c>
      <c r="M1108" s="5" t="str">
        <f t="shared" si="6"/>
        <v/>
      </c>
      <c r="N1108" s="5" t="str">
        <f>IFERROR(__xludf.DUMMYFUNCTION("IF(AND(F1108&lt;&gt;"""",REGEXMATCH(SUBSTITUTE(F1108,"" "",""""),""^-?\d+(\.\d+)?,-?\d+(\.\d+)?$""),VALUE(REGEXEXTRACT(SUBSTITUTE(F1108,"" "",""""),""^-?\d+(\.\d+)?""))&gt;=-90,VALUE(REGEXEXTRACT(SUBSTITUTE(F1108,"" "",""""),""^-?\d+(\.\d+)?""))&lt;=90,VALUE(REGEXEXT"&amp;"RACT(SUBSTITUTE(F1108,"" "",""""),""-?\d+(\.\d+)?$""))&gt;=-180,VALUE(REGEXEXTRACT(SUBSTITUTE(F1108,"" "",""""),""-?\d+(\.\d+)?$""))&lt;=180),""OK"",""REVISAR"")"),"#N/A")</f>
        <v>#N/A</v>
      </c>
    </row>
    <row r="1109" ht="15.75" customHeight="1">
      <c r="A1109" s="5" t="str">
        <f t="shared" si="1"/>
        <v>AD507-1107</v>
      </c>
      <c r="C1109" s="5"/>
      <c r="F1109" s="5"/>
      <c r="G1109" s="5" t="str">
        <f t="shared" si="2"/>
        <v/>
      </c>
      <c r="H1109" s="5" t="str">
        <f t="shared" si="3"/>
        <v/>
      </c>
      <c r="I1109" s="5" t="str">
        <f t="shared" si="4"/>
        <v/>
      </c>
      <c r="J1109" s="5" t="str">
        <f t="shared" si="5"/>
        <v/>
      </c>
      <c r="K1109" s="5" t="str">
        <f>IFERROR(__xludf.DUMMYFUNCTION("IF(C1109&lt;&gt;"""",HYPERLINK(""https://wa.me/507""&amp;REGEXREPLACE(C1109,""[^0-9]"","""")&amp;""?text=""&amp;ENCODEURL(""Ya llegue. Codigo: ""&amp;A1109&amp;"". Ubicacion: ""&amp;""https://www.google.com/maps/search/?api=1&amp;query=""&amp;SUBSTITUTE(F1109,"" "","""")),""📲 Avisar al clien"&amp;"te""),"""")"),"")</f>
        <v/>
      </c>
      <c r="L1109" s="5" t="str">
        <f>IFERROR(__xludf.DUMMYFUNCTION("IF(C1109&lt;&gt;"""",""https://api.qrserver.com/v1/create-qr-code/?size=200x200&amp;data=""&amp;ENCODEURL(""https://wa.me/507""&amp;REGEXREPLACE(C1109,""[^0-9]"","""")&amp;""?text=""&amp;ENCODEURL(""Ya llegue. Codigo: ""&amp;A1109&amp;"". Ubicacion: ""&amp;""https://www.google.com/maps/search"&amp;"/?api=1&amp;query=""&amp;SUBSTITUTE(F1109,"" "",""""))),"""")"),"")</f>
        <v/>
      </c>
      <c r="M1109" s="5" t="str">
        <f t="shared" si="6"/>
        <v/>
      </c>
      <c r="N1109" s="5" t="str">
        <f>IFERROR(__xludf.DUMMYFUNCTION("IF(AND(F1109&lt;&gt;"""",REGEXMATCH(SUBSTITUTE(F1109,"" "",""""),""^-?\d+(\.\d+)?,-?\d+(\.\d+)?$""),VALUE(REGEXEXTRACT(SUBSTITUTE(F1109,"" "",""""),""^-?\d+(\.\d+)?""))&gt;=-90,VALUE(REGEXEXTRACT(SUBSTITUTE(F1109,"" "",""""),""^-?\d+(\.\d+)?""))&lt;=90,VALUE(REGEXEXT"&amp;"RACT(SUBSTITUTE(F1109,"" "",""""),""-?\d+(\.\d+)?$""))&gt;=-180,VALUE(REGEXEXTRACT(SUBSTITUTE(F1109,"" "",""""),""-?\d+(\.\d+)?$""))&lt;=180),""OK"",""REVISAR"")"),"#N/A")</f>
        <v>#N/A</v>
      </c>
    </row>
    <row r="1110" ht="15.75" customHeight="1">
      <c r="A1110" s="5" t="str">
        <f t="shared" si="1"/>
        <v>AD507-1108</v>
      </c>
      <c r="C1110" s="5"/>
      <c r="F1110" s="5"/>
      <c r="G1110" s="5" t="str">
        <f t="shared" si="2"/>
        <v/>
      </c>
      <c r="H1110" s="5" t="str">
        <f t="shared" si="3"/>
        <v/>
      </c>
      <c r="I1110" s="5" t="str">
        <f t="shared" si="4"/>
        <v/>
      </c>
      <c r="J1110" s="5" t="str">
        <f t="shared" si="5"/>
        <v/>
      </c>
      <c r="K1110" s="5" t="str">
        <f>IFERROR(__xludf.DUMMYFUNCTION("IF(C1110&lt;&gt;"""",HYPERLINK(""https://wa.me/507""&amp;REGEXREPLACE(C1110,""[^0-9]"","""")&amp;""?text=""&amp;ENCODEURL(""Ya llegue. Codigo: ""&amp;A1110&amp;"". Ubicacion: ""&amp;""https://www.google.com/maps/search/?api=1&amp;query=""&amp;SUBSTITUTE(F1110,"" "","""")),""📲 Avisar al clien"&amp;"te""),"""")"),"")</f>
        <v/>
      </c>
      <c r="L1110" s="5" t="str">
        <f>IFERROR(__xludf.DUMMYFUNCTION("IF(C1110&lt;&gt;"""",""https://api.qrserver.com/v1/create-qr-code/?size=200x200&amp;data=""&amp;ENCODEURL(""https://wa.me/507""&amp;REGEXREPLACE(C1110,""[^0-9]"","""")&amp;""?text=""&amp;ENCODEURL(""Ya llegue. Codigo: ""&amp;A1110&amp;"". Ubicacion: ""&amp;""https://www.google.com/maps/search"&amp;"/?api=1&amp;query=""&amp;SUBSTITUTE(F1110,"" "",""""))),"""")"),"")</f>
        <v/>
      </c>
      <c r="M1110" s="5" t="str">
        <f t="shared" si="6"/>
        <v/>
      </c>
      <c r="N1110" s="5" t="str">
        <f>IFERROR(__xludf.DUMMYFUNCTION("IF(AND(F1110&lt;&gt;"""",REGEXMATCH(SUBSTITUTE(F1110,"" "",""""),""^-?\d+(\.\d+)?,-?\d+(\.\d+)?$""),VALUE(REGEXEXTRACT(SUBSTITUTE(F1110,"" "",""""),""^-?\d+(\.\d+)?""))&gt;=-90,VALUE(REGEXEXTRACT(SUBSTITUTE(F1110,"" "",""""),""^-?\d+(\.\d+)?""))&lt;=90,VALUE(REGEXEXT"&amp;"RACT(SUBSTITUTE(F1110,"" "",""""),""-?\d+(\.\d+)?$""))&gt;=-180,VALUE(REGEXEXTRACT(SUBSTITUTE(F1110,"" "",""""),""-?\d+(\.\d+)?$""))&lt;=180),""OK"",""REVISAR"")"),"#N/A")</f>
        <v>#N/A</v>
      </c>
    </row>
    <row r="1111" ht="15.75" customHeight="1">
      <c r="A1111" s="5" t="str">
        <f t="shared" si="1"/>
        <v>AD507-1109</v>
      </c>
      <c r="C1111" s="5"/>
      <c r="F1111" s="5"/>
      <c r="G1111" s="5" t="str">
        <f t="shared" si="2"/>
        <v/>
      </c>
      <c r="H1111" s="5" t="str">
        <f t="shared" si="3"/>
        <v/>
      </c>
      <c r="I1111" s="5" t="str">
        <f t="shared" si="4"/>
        <v/>
      </c>
      <c r="J1111" s="5" t="str">
        <f t="shared" si="5"/>
        <v/>
      </c>
      <c r="K1111" s="5" t="str">
        <f>IFERROR(__xludf.DUMMYFUNCTION("IF(C1111&lt;&gt;"""",HYPERLINK(""https://wa.me/507""&amp;REGEXREPLACE(C1111,""[^0-9]"","""")&amp;""?text=""&amp;ENCODEURL(""Ya llegue. Codigo: ""&amp;A1111&amp;"". Ubicacion: ""&amp;""https://www.google.com/maps/search/?api=1&amp;query=""&amp;SUBSTITUTE(F1111,"" "","""")),""📲 Avisar al clien"&amp;"te""),"""")"),"")</f>
        <v/>
      </c>
      <c r="L1111" s="5" t="str">
        <f>IFERROR(__xludf.DUMMYFUNCTION("IF(C1111&lt;&gt;"""",""https://api.qrserver.com/v1/create-qr-code/?size=200x200&amp;data=""&amp;ENCODEURL(""https://wa.me/507""&amp;REGEXREPLACE(C1111,""[^0-9]"","""")&amp;""?text=""&amp;ENCODEURL(""Ya llegue. Codigo: ""&amp;A1111&amp;"". Ubicacion: ""&amp;""https://www.google.com/maps/search"&amp;"/?api=1&amp;query=""&amp;SUBSTITUTE(F1111,"" "",""""))),"""")"),"")</f>
        <v/>
      </c>
      <c r="M1111" s="5" t="str">
        <f t="shared" si="6"/>
        <v/>
      </c>
      <c r="N1111" s="5" t="str">
        <f>IFERROR(__xludf.DUMMYFUNCTION("IF(AND(F1111&lt;&gt;"""",REGEXMATCH(SUBSTITUTE(F1111,"" "",""""),""^-?\d+(\.\d+)?,-?\d+(\.\d+)?$""),VALUE(REGEXEXTRACT(SUBSTITUTE(F1111,"" "",""""),""^-?\d+(\.\d+)?""))&gt;=-90,VALUE(REGEXEXTRACT(SUBSTITUTE(F1111,"" "",""""),""^-?\d+(\.\d+)?""))&lt;=90,VALUE(REGEXEXT"&amp;"RACT(SUBSTITUTE(F1111,"" "",""""),""-?\d+(\.\d+)?$""))&gt;=-180,VALUE(REGEXEXTRACT(SUBSTITUTE(F1111,"" "",""""),""-?\d+(\.\d+)?$""))&lt;=180),""OK"",""REVISAR"")"),"#N/A")</f>
        <v>#N/A</v>
      </c>
    </row>
    <row r="1112" ht="15.75" customHeight="1">
      <c r="A1112" s="5" t="str">
        <f t="shared" si="1"/>
        <v>AD507-1110</v>
      </c>
      <c r="C1112" s="5"/>
      <c r="F1112" s="5"/>
      <c r="G1112" s="5" t="str">
        <f t="shared" si="2"/>
        <v/>
      </c>
      <c r="H1112" s="5" t="str">
        <f t="shared" si="3"/>
        <v/>
      </c>
      <c r="I1112" s="5" t="str">
        <f t="shared" si="4"/>
        <v/>
      </c>
      <c r="J1112" s="5" t="str">
        <f t="shared" si="5"/>
        <v/>
      </c>
      <c r="K1112" s="5" t="str">
        <f>IFERROR(__xludf.DUMMYFUNCTION("IF(C1112&lt;&gt;"""",HYPERLINK(""https://wa.me/507""&amp;REGEXREPLACE(C1112,""[^0-9]"","""")&amp;""?text=""&amp;ENCODEURL(""Ya llegue. Codigo: ""&amp;A1112&amp;"". Ubicacion: ""&amp;""https://www.google.com/maps/search/?api=1&amp;query=""&amp;SUBSTITUTE(F1112,"" "","""")),""📲 Avisar al clien"&amp;"te""),"""")"),"")</f>
        <v/>
      </c>
      <c r="L1112" s="5" t="str">
        <f>IFERROR(__xludf.DUMMYFUNCTION("IF(C1112&lt;&gt;"""",""https://api.qrserver.com/v1/create-qr-code/?size=200x200&amp;data=""&amp;ENCODEURL(""https://wa.me/507""&amp;REGEXREPLACE(C1112,""[^0-9]"","""")&amp;""?text=""&amp;ENCODEURL(""Ya llegue. Codigo: ""&amp;A1112&amp;"". Ubicacion: ""&amp;""https://www.google.com/maps/search"&amp;"/?api=1&amp;query=""&amp;SUBSTITUTE(F1112,"" "",""""))),"""")"),"")</f>
        <v/>
      </c>
      <c r="M1112" s="5" t="str">
        <f t="shared" si="6"/>
        <v/>
      </c>
      <c r="N1112" s="5" t="str">
        <f>IFERROR(__xludf.DUMMYFUNCTION("IF(AND(F1112&lt;&gt;"""",REGEXMATCH(SUBSTITUTE(F1112,"" "",""""),""^-?\d+(\.\d+)?,-?\d+(\.\d+)?$""),VALUE(REGEXEXTRACT(SUBSTITUTE(F1112,"" "",""""),""^-?\d+(\.\d+)?""))&gt;=-90,VALUE(REGEXEXTRACT(SUBSTITUTE(F1112,"" "",""""),""^-?\d+(\.\d+)?""))&lt;=90,VALUE(REGEXEXT"&amp;"RACT(SUBSTITUTE(F1112,"" "",""""),""-?\d+(\.\d+)?$""))&gt;=-180,VALUE(REGEXEXTRACT(SUBSTITUTE(F1112,"" "",""""),""-?\d+(\.\d+)?$""))&lt;=180),""OK"",""REVISAR"")"),"#N/A")</f>
        <v>#N/A</v>
      </c>
    </row>
    <row r="1113" ht="15.75" customHeight="1">
      <c r="A1113" s="5" t="str">
        <f t="shared" si="1"/>
        <v>AD507-1111</v>
      </c>
      <c r="C1113" s="5"/>
      <c r="F1113" s="5"/>
      <c r="G1113" s="5" t="str">
        <f t="shared" si="2"/>
        <v/>
      </c>
      <c r="H1113" s="5" t="str">
        <f t="shared" si="3"/>
        <v/>
      </c>
      <c r="I1113" s="5" t="str">
        <f t="shared" si="4"/>
        <v/>
      </c>
      <c r="J1113" s="5" t="str">
        <f t="shared" si="5"/>
        <v/>
      </c>
      <c r="K1113" s="5" t="str">
        <f>IFERROR(__xludf.DUMMYFUNCTION("IF(C1113&lt;&gt;"""",HYPERLINK(""https://wa.me/507""&amp;REGEXREPLACE(C1113,""[^0-9]"","""")&amp;""?text=""&amp;ENCODEURL(""Ya llegue. Codigo: ""&amp;A1113&amp;"". Ubicacion: ""&amp;""https://www.google.com/maps/search/?api=1&amp;query=""&amp;SUBSTITUTE(F1113,"" "","""")),""📲 Avisar al clien"&amp;"te""),"""")"),"")</f>
        <v/>
      </c>
      <c r="L1113" s="5" t="str">
        <f>IFERROR(__xludf.DUMMYFUNCTION("IF(C1113&lt;&gt;"""",""https://api.qrserver.com/v1/create-qr-code/?size=200x200&amp;data=""&amp;ENCODEURL(""https://wa.me/507""&amp;REGEXREPLACE(C1113,""[^0-9]"","""")&amp;""?text=""&amp;ENCODEURL(""Ya llegue. Codigo: ""&amp;A1113&amp;"". Ubicacion: ""&amp;""https://www.google.com/maps/search"&amp;"/?api=1&amp;query=""&amp;SUBSTITUTE(F1113,"" "",""""))),"""")"),"")</f>
        <v/>
      </c>
      <c r="M1113" s="5" t="str">
        <f t="shared" si="6"/>
        <v/>
      </c>
      <c r="N1113" s="5" t="str">
        <f>IFERROR(__xludf.DUMMYFUNCTION("IF(AND(F1113&lt;&gt;"""",REGEXMATCH(SUBSTITUTE(F1113,"" "",""""),""^-?\d+(\.\d+)?,-?\d+(\.\d+)?$""),VALUE(REGEXEXTRACT(SUBSTITUTE(F1113,"" "",""""),""^-?\d+(\.\d+)?""))&gt;=-90,VALUE(REGEXEXTRACT(SUBSTITUTE(F1113,"" "",""""),""^-?\d+(\.\d+)?""))&lt;=90,VALUE(REGEXEXT"&amp;"RACT(SUBSTITUTE(F1113,"" "",""""),""-?\d+(\.\d+)?$""))&gt;=-180,VALUE(REGEXEXTRACT(SUBSTITUTE(F1113,"" "",""""),""-?\d+(\.\d+)?$""))&lt;=180),""OK"",""REVISAR"")"),"#N/A")</f>
        <v>#N/A</v>
      </c>
    </row>
    <row r="1114" ht="15.75" customHeight="1">
      <c r="A1114" s="5" t="str">
        <f t="shared" si="1"/>
        <v>AD507-1112</v>
      </c>
      <c r="C1114" s="5"/>
      <c r="F1114" s="5"/>
      <c r="G1114" s="5" t="str">
        <f t="shared" si="2"/>
        <v/>
      </c>
      <c r="H1114" s="5" t="str">
        <f t="shared" si="3"/>
        <v/>
      </c>
      <c r="I1114" s="5" t="str">
        <f t="shared" si="4"/>
        <v/>
      </c>
      <c r="J1114" s="5" t="str">
        <f t="shared" si="5"/>
        <v/>
      </c>
      <c r="K1114" s="5" t="str">
        <f>IFERROR(__xludf.DUMMYFUNCTION("IF(C1114&lt;&gt;"""",HYPERLINK(""https://wa.me/507""&amp;REGEXREPLACE(C1114,""[^0-9]"","""")&amp;""?text=""&amp;ENCODEURL(""Ya llegue. Codigo: ""&amp;A1114&amp;"". Ubicacion: ""&amp;""https://www.google.com/maps/search/?api=1&amp;query=""&amp;SUBSTITUTE(F1114,"" "","""")),""📲 Avisar al clien"&amp;"te""),"""")"),"")</f>
        <v/>
      </c>
      <c r="L1114" s="5" t="str">
        <f>IFERROR(__xludf.DUMMYFUNCTION("IF(C1114&lt;&gt;"""",""https://api.qrserver.com/v1/create-qr-code/?size=200x200&amp;data=""&amp;ENCODEURL(""https://wa.me/507""&amp;REGEXREPLACE(C1114,""[^0-9]"","""")&amp;""?text=""&amp;ENCODEURL(""Ya llegue. Codigo: ""&amp;A1114&amp;"". Ubicacion: ""&amp;""https://www.google.com/maps/search"&amp;"/?api=1&amp;query=""&amp;SUBSTITUTE(F1114,"" "",""""))),"""")"),"")</f>
        <v/>
      </c>
      <c r="M1114" s="5" t="str">
        <f t="shared" si="6"/>
        <v/>
      </c>
      <c r="N1114" s="5" t="str">
        <f>IFERROR(__xludf.DUMMYFUNCTION("IF(AND(F1114&lt;&gt;"""",REGEXMATCH(SUBSTITUTE(F1114,"" "",""""),""^-?\d+(\.\d+)?,-?\d+(\.\d+)?$""),VALUE(REGEXEXTRACT(SUBSTITUTE(F1114,"" "",""""),""^-?\d+(\.\d+)?""))&gt;=-90,VALUE(REGEXEXTRACT(SUBSTITUTE(F1114,"" "",""""),""^-?\d+(\.\d+)?""))&lt;=90,VALUE(REGEXEXT"&amp;"RACT(SUBSTITUTE(F1114,"" "",""""),""-?\d+(\.\d+)?$""))&gt;=-180,VALUE(REGEXEXTRACT(SUBSTITUTE(F1114,"" "",""""),""-?\d+(\.\d+)?$""))&lt;=180),""OK"",""REVISAR"")"),"#N/A")</f>
        <v>#N/A</v>
      </c>
    </row>
    <row r="1115" ht="15.75" customHeight="1">
      <c r="A1115" s="5" t="str">
        <f t="shared" si="1"/>
        <v>AD507-1113</v>
      </c>
      <c r="C1115" s="5"/>
      <c r="F1115" s="5"/>
      <c r="G1115" s="5" t="str">
        <f t="shared" si="2"/>
        <v/>
      </c>
      <c r="H1115" s="5" t="str">
        <f t="shared" si="3"/>
        <v/>
      </c>
      <c r="I1115" s="5" t="str">
        <f t="shared" si="4"/>
        <v/>
      </c>
      <c r="J1115" s="5" t="str">
        <f t="shared" si="5"/>
        <v/>
      </c>
      <c r="K1115" s="5" t="str">
        <f>IFERROR(__xludf.DUMMYFUNCTION("IF(C1115&lt;&gt;"""",HYPERLINK(""https://wa.me/507""&amp;REGEXREPLACE(C1115,""[^0-9]"","""")&amp;""?text=""&amp;ENCODEURL(""Ya llegue. Codigo: ""&amp;A1115&amp;"". Ubicacion: ""&amp;""https://www.google.com/maps/search/?api=1&amp;query=""&amp;SUBSTITUTE(F1115,"" "","""")),""📲 Avisar al clien"&amp;"te""),"""")"),"")</f>
        <v/>
      </c>
      <c r="L1115" s="5" t="str">
        <f>IFERROR(__xludf.DUMMYFUNCTION("IF(C1115&lt;&gt;"""",""https://api.qrserver.com/v1/create-qr-code/?size=200x200&amp;data=""&amp;ENCODEURL(""https://wa.me/507""&amp;REGEXREPLACE(C1115,""[^0-9]"","""")&amp;""?text=""&amp;ENCODEURL(""Ya llegue. Codigo: ""&amp;A1115&amp;"". Ubicacion: ""&amp;""https://www.google.com/maps/search"&amp;"/?api=1&amp;query=""&amp;SUBSTITUTE(F1115,"" "",""""))),"""")"),"")</f>
        <v/>
      </c>
      <c r="M1115" s="5" t="str">
        <f t="shared" si="6"/>
        <v/>
      </c>
      <c r="N1115" s="5" t="str">
        <f>IFERROR(__xludf.DUMMYFUNCTION("IF(AND(F1115&lt;&gt;"""",REGEXMATCH(SUBSTITUTE(F1115,"" "",""""),""^-?\d+(\.\d+)?,-?\d+(\.\d+)?$""),VALUE(REGEXEXTRACT(SUBSTITUTE(F1115,"" "",""""),""^-?\d+(\.\d+)?""))&gt;=-90,VALUE(REGEXEXTRACT(SUBSTITUTE(F1115,"" "",""""),""^-?\d+(\.\d+)?""))&lt;=90,VALUE(REGEXEXT"&amp;"RACT(SUBSTITUTE(F1115,"" "",""""),""-?\d+(\.\d+)?$""))&gt;=-180,VALUE(REGEXEXTRACT(SUBSTITUTE(F1115,"" "",""""),""-?\d+(\.\d+)?$""))&lt;=180),""OK"",""REVISAR"")"),"#N/A")</f>
        <v>#N/A</v>
      </c>
    </row>
    <row r="1116" ht="15.75" customHeight="1">
      <c r="A1116" s="5" t="str">
        <f t="shared" si="1"/>
        <v>AD507-1114</v>
      </c>
      <c r="C1116" s="5"/>
      <c r="F1116" s="5"/>
      <c r="G1116" s="5" t="str">
        <f t="shared" si="2"/>
        <v/>
      </c>
      <c r="H1116" s="5" t="str">
        <f t="shared" si="3"/>
        <v/>
      </c>
      <c r="I1116" s="5" t="str">
        <f t="shared" si="4"/>
        <v/>
      </c>
      <c r="J1116" s="5" t="str">
        <f t="shared" si="5"/>
        <v/>
      </c>
      <c r="K1116" s="5" t="str">
        <f>IFERROR(__xludf.DUMMYFUNCTION("IF(C1116&lt;&gt;"""",HYPERLINK(""https://wa.me/507""&amp;REGEXREPLACE(C1116,""[^0-9]"","""")&amp;""?text=""&amp;ENCODEURL(""Ya llegue. Codigo: ""&amp;A1116&amp;"". Ubicacion: ""&amp;""https://www.google.com/maps/search/?api=1&amp;query=""&amp;SUBSTITUTE(F1116,"" "","""")),""📲 Avisar al clien"&amp;"te""),"""")"),"")</f>
        <v/>
      </c>
      <c r="L1116" s="5" t="str">
        <f>IFERROR(__xludf.DUMMYFUNCTION("IF(C1116&lt;&gt;"""",""https://api.qrserver.com/v1/create-qr-code/?size=200x200&amp;data=""&amp;ENCODEURL(""https://wa.me/507""&amp;REGEXREPLACE(C1116,""[^0-9]"","""")&amp;""?text=""&amp;ENCODEURL(""Ya llegue. Codigo: ""&amp;A1116&amp;"". Ubicacion: ""&amp;""https://www.google.com/maps/search"&amp;"/?api=1&amp;query=""&amp;SUBSTITUTE(F1116,"" "",""""))),"""")"),"")</f>
        <v/>
      </c>
      <c r="M1116" s="5" t="str">
        <f t="shared" si="6"/>
        <v/>
      </c>
      <c r="N1116" s="5" t="str">
        <f>IFERROR(__xludf.DUMMYFUNCTION("IF(AND(F1116&lt;&gt;"""",REGEXMATCH(SUBSTITUTE(F1116,"" "",""""),""^-?\d+(\.\d+)?,-?\d+(\.\d+)?$""),VALUE(REGEXEXTRACT(SUBSTITUTE(F1116,"" "",""""),""^-?\d+(\.\d+)?""))&gt;=-90,VALUE(REGEXEXTRACT(SUBSTITUTE(F1116,"" "",""""),""^-?\d+(\.\d+)?""))&lt;=90,VALUE(REGEXEXT"&amp;"RACT(SUBSTITUTE(F1116,"" "",""""),""-?\d+(\.\d+)?$""))&gt;=-180,VALUE(REGEXEXTRACT(SUBSTITUTE(F1116,"" "",""""),""-?\d+(\.\d+)?$""))&lt;=180),""OK"",""REVISAR"")"),"#N/A")</f>
        <v>#N/A</v>
      </c>
    </row>
    <row r="1117" ht="15.75" customHeight="1">
      <c r="A1117" s="5" t="str">
        <f t="shared" si="1"/>
        <v>AD507-1115</v>
      </c>
      <c r="C1117" s="5"/>
      <c r="F1117" s="5"/>
      <c r="G1117" s="5" t="str">
        <f t="shared" si="2"/>
        <v/>
      </c>
      <c r="H1117" s="5" t="str">
        <f t="shared" si="3"/>
        <v/>
      </c>
      <c r="I1117" s="5" t="str">
        <f t="shared" si="4"/>
        <v/>
      </c>
      <c r="J1117" s="5" t="str">
        <f t="shared" si="5"/>
        <v/>
      </c>
      <c r="K1117" s="5" t="str">
        <f>IFERROR(__xludf.DUMMYFUNCTION("IF(C1117&lt;&gt;"""",HYPERLINK(""https://wa.me/507""&amp;REGEXREPLACE(C1117,""[^0-9]"","""")&amp;""?text=""&amp;ENCODEURL(""Ya llegue. Codigo: ""&amp;A1117&amp;"". Ubicacion: ""&amp;""https://www.google.com/maps/search/?api=1&amp;query=""&amp;SUBSTITUTE(F1117,"" "","""")),""📲 Avisar al clien"&amp;"te""),"""")"),"")</f>
        <v/>
      </c>
      <c r="L1117" s="5" t="str">
        <f>IFERROR(__xludf.DUMMYFUNCTION("IF(C1117&lt;&gt;"""",""https://api.qrserver.com/v1/create-qr-code/?size=200x200&amp;data=""&amp;ENCODEURL(""https://wa.me/507""&amp;REGEXREPLACE(C1117,""[^0-9]"","""")&amp;""?text=""&amp;ENCODEURL(""Ya llegue. Codigo: ""&amp;A1117&amp;"". Ubicacion: ""&amp;""https://www.google.com/maps/search"&amp;"/?api=1&amp;query=""&amp;SUBSTITUTE(F1117,"" "",""""))),"""")"),"")</f>
        <v/>
      </c>
      <c r="M1117" s="5" t="str">
        <f t="shared" si="6"/>
        <v/>
      </c>
      <c r="N1117" s="5" t="str">
        <f>IFERROR(__xludf.DUMMYFUNCTION("IF(AND(F1117&lt;&gt;"""",REGEXMATCH(SUBSTITUTE(F1117,"" "",""""),""^-?\d+(\.\d+)?,-?\d+(\.\d+)?$""),VALUE(REGEXEXTRACT(SUBSTITUTE(F1117,"" "",""""),""^-?\d+(\.\d+)?""))&gt;=-90,VALUE(REGEXEXTRACT(SUBSTITUTE(F1117,"" "",""""),""^-?\d+(\.\d+)?""))&lt;=90,VALUE(REGEXEXT"&amp;"RACT(SUBSTITUTE(F1117,"" "",""""),""-?\d+(\.\d+)?$""))&gt;=-180,VALUE(REGEXEXTRACT(SUBSTITUTE(F1117,"" "",""""),""-?\d+(\.\d+)?$""))&lt;=180),""OK"",""REVISAR"")"),"#N/A")</f>
        <v>#N/A</v>
      </c>
    </row>
    <row r="1118" ht="15.75" customHeight="1">
      <c r="A1118" s="5" t="str">
        <f t="shared" si="1"/>
        <v>AD507-1116</v>
      </c>
      <c r="C1118" s="5"/>
      <c r="F1118" s="5"/>
      <c r="G1118" s="5" t="str">
        <f t="shared" si="2"/>
        <v/>
      </c>
      <c r="H1118" s="5" t="str">
        <f t="shared" si="3"/>
        <v/>
      </c>
      <c r="I1118" s="5" t="str">
        <f t="shared" si="4"/>
        <v/>
      </c>
      <c r="J1118" s="5" t="str">
        <f t="shared" si="5"/>
        <v/>
      </c>
      <c r="K1118" s="5" t="str">
        <f>IFERROR(__xludf.DUMMYFUNCTION("IF(C1118&lt;&gt;"""",HYPERLINK(""https://wa.me/507""&amp;REGEXREPLACE(C1118,""[^0-9]"","""")&amp;""?text=""&amp;ENCODEURL(""Ya llegue. Codigo: ""&amp;A1118&amp;"". Ubicacion: ""&amp;""https://www.google.com/maps/search/?api=1&amp;query=""&amp;SUBSTITUTE(F1118,"" "","""")),""📲 Avisar al clien"&amp;"te""),"""")"),"")</f>
        <v/>
      </c>
      <c r="L1118" s="5" t="str">
        <f>IFERROR(__xludf.DUMMYFUNCTION("IF(C1118&lt;&gt;"""",""https://api.qrserver.com/v1/create-qr-code/?size=200x200&amp;data=""&amp;ENCODEURL(""https://wa.me/507""&amp;REGEXREPLACE(C1118,""[^0-9]"","""")&amp;""?text=""&amp;ENCODEURL(""Ya llegue. Codigo: ""&amp;A1118&amp;"". Ubicacion: ""&amp;""https://www.google.com/maps/search"&amp;"/?api=1&amp;query=""&amp;SUBSTITUTE(F1118,"" "",""""))),"""")"),"")</f>
        <v/>
      </c>
      <c r="M1118" s="5" t="str">
        <f t="shared" si="6"/>
        <v/>
      </c>
      <c r="N1118" s="5" t="str">
        <f>IFERROR(__xludf.DUMMYFUNCTION("IF(AND(F1118&lt;&gt;"""",REGEXMATCH(SUBSTITUTE(F1118,"" "",""""),""^-?\d+(\.\d+)?,-?\d+(\.\d+)?$""),VALUE(REGEXEXTRACT(SUBSTITUTE(F1118,"" "",""""),""^-?\d+(\.\d+)?""))&gt;=-90,VALUE(REGEXEXTRACT(SUBSTITUTE(F1118,"" "",""""),""^-?\d+(\.\d+)?""))&lt;=90,VALUE(REGEXEXT"&amp;"RACT(SUBSTITUTE(F1118,"" "",""""),""-?\d+(\.\d+)?$""))&gt;=-180,VALUE(REGEXEXTRACT(SUBSTITUTE(F1118,"" "",""""),""-?\d+(\.\d+)?$""))&lt;=180),""OK"",""REVISAR"")"),"#N/A")</f>
        <v>#N/A</v>
      </c>
    </row>
    <row r="1119" ht="15.75" customHeight="1">
      <c r="A1119" s="5" t="str">
        <f t="shared" si="1"/>
        <v>AD507-1117</v>
      </c>
      <c r="C1119" s="5"/>
      <c r="F1119" s="5"/>
      <c r="G1119" s="5" t="str">
        <f t="shared" si="2"/>
        <v/>
      </c>
      <c r="H1119" s="5" t="str">
        <f t="shared" si="3"/>
        <v/>
      </c>
      <c r="I1119" s="5" t="str">
        <f t="shared" si="4"/>
        <v/>
      </c>
      <c r="J1119" s="5" t="str">
        <f t="shared" si="5"/>
        <v/>
      </c>
      <c r="K1119" s="5" t="str">
        <f>IFERROR(__xludf.DUMMYFUNCTION("IF(C1119&lt;&gt;"""",HYPERLINK(""https://wa.me/507""&amp;REGEXREPLACE(C1119,""[^0-9]"","""")&amp;""?text=""&amp;ENCODEURL(""Ya llegue. Codigo: ""&amp;A1119&amp;"". Ubicacion: ""&amp;""https://www.google.com/maps/search/?api=1&amp;query=""&amp;SUBSTITUTE(F1119,"" "","""")),""📲 Avisar al clien"&amp;"te""),"""")"),"")</f>
        <v/>
      </c>
      <c r="L1119" s="5" t="str">
        <f>IFERROR(__xludf.DUMMYFUNCTION("IF(C1119&lt;&gt;"""",""https://api.qrserver.com/v1/create-qr-code/?size=200x200&amp;data=""&amp;ENCODEURL(""https://wa.me/507""&amp;REGEXREPLACE(C1119,""[^0-9]"","""")&amp;""?text=""&amp;ENCODEURL(""Ya llegue. Codigo: ""&amp;A1119&amp;"". Ubicacion: ""&amp;""https://www.google.com/maps/search"&amp;"/?api=1&amp;query=""&amp;SUBSTITUTE(F1119,"" "",""""))),"""")"),"")</f>
        <v/>
      </c>
      <c r="M1119" s="5" t="str">
        <f t="shared" si="6"/>
        <v/>
      </c>
      <c r="N1119" s="5" t="str">
        <f>IFERROR(__xludf.DUMMYFUNCTION("IF(AND(F1119&lt;&gt;"""",REGEXMATCH(SUBSTITUTE(F1119,"" "",""""),""^-?\d+(\.\d+)?,-?\d+(\.\d+)?$""),VALUE(REGEXEXTRACT(SUBSTITUTE(F1119,"" "",""""),""^-?\d+(\.\d+)?""))&gt;=-90,VALUE(REGEXEXTRACT(SUBSTITUTE(F1119,"" "",""""),""^-?\d+(\.\d+)?""))&lt;=90,VALUE(REGEXEXT"&amp;"RACT(SUBSTITUTE(F1119,"" "",""""),""-?\d+(\.\d+)?$""))&gt;=-180,VALUE(REGEXEXTRACT(SUBSTITUTE(F1119,"" "",""""),""-?\d+(\.\d+)?$""))&lt;=180),""OK"",""REVISAR"")"),"#N/A")</f>
        <v>#N/A</v>
      </c>
    </row>
    <row r="1120" ht="15.75" customHeight="1">
      <c r="A1120" s="5" t="str">
        <f t="shared" si="1"/>
        <v>AD507-1118</v>
      </c>
      <c r="C1120" s="5"/>
      <c r="F1120" s="5"/>
      <c r="G1120" s="5" t="str">
        <f t="shared" si="2"/>
        <v/>
      </c>
      <c r="H1120" s="5" t="str">
        <f t="shared" si="3"/>
        <v/>
      </c>
      <c r="I1120" s="5" t="str">
        <f t="shared" si="4"/>
        <v/>
      </c>
      <c r="J1120" s="5" t="str">
        <f t="shared" si="5"/>
        <v/>
      </c>
      <c r="K1120" s="5" t="str">
        <f>IFERROR(__xludf.DUMMYFUNCTION("IF(C1120&lt;&gt;"""",HYPERLINK(""https://wa.me/507""&amp;REGEXREPLACE(C1120,""[^0-9]"","""")&amp;""?text=""&amp;ENCODEURL(""Ya llegue. Codigo: ""&amp;A1120&amp;"". Ubicacion: ""&amp;""https://www.google.com/maps/search/?api=1&amp;query=""&amp;SUBSTITUTE(F1120,"" "","""")),""📲 Avisar al clien"&amp;"te""),"""")"),"")</f>
        <v/>
      </c>
      <c r="L1120" s="5" t="str">
        <f>IFERROR(__xludf.DUMMYFUNCTION("IF(C1120&lt;&gt;"""",""https://api.qrserver.com/v1/create-qr-code/?size=200x200&amp;data=""&amp;ENCODEURL(""https://wa.me/507""&amp;REGEXREPLACE(C1120,""[^0-9]"","""")&amp;""?text=""&amp;ENCODEURL(""Ya llegue. Codigo: ""&amp;A1120&amp;"". Ubicacion: ""&amp;""https://www.google.com/maps/search"&amp;"/?api=1&amp;query=""&amp;SUBSTITUTE(F1120,"" "",""""))),"""")"),"")</f>
        <v/>
      </c>
      <c r="M1120" s="5" t="str">
        <f t="shared" si="6"/>
        <v/>
      </c>
      <c r="N1120" s="5" t="str">
        <f>IFERROR(__xludf.DUMMYFUNCTION("IF(AND(F1120&lt;&gt;"""",REGEXMATCH(SUBSTITUTE(F1120,"" "",""""),""^-?\d+(\.\d+)?,-?\d+(\.\d+)?$""),VALUE(REGEXEXTRACT(SUBSTITUTE(F1120,"" "",""""),""^-?\d+(\.\d+)?""))&gt;=-90,VALUE(REGEXEXTRACT(SUBSTITUTE(F1120,"" "",""""),""^-?\d+(\.\d+)?""))&lt;=90,VALUE(REGEXEXT"&amp;"RACT(SUBSTITUTE(F1120,"" "",""""),""-?\d+(\.\d+)?$""))&gt;=-180,VALUE(REGEXEXTRACT(SUBSTITUTE(F1120,"" "",""""),""-?\d+(\.\d+)?$""))&lt;=180),""OK"",""REVISAR"")"),"#N/A")</f>
        <v>#N/A</v>
      </c>
    </row>
    <row r="1121" ht="15.75" customHeight="1">
      <c r="A1121" s="5" t="str">
        <f t="shared" si="1"/>
        <v>AD507-1119</v>
      </c>
      <c r="C1121" s="5"/>
      <c r="F1121" s="5"/>
      <c r="G1121" s="5" t="str">
        <f t="shared" si="2"/>
        <v/>
      </c>
      <c r="H1121" s="5" t="str">
        <f t="shared" si="3"/>
        <v/>
      </c>
      <c r="I1121" s="5" t="str">
        <f t="shared" si="4"/>
        <v/>
      </c>
      <c r="J1121" s="5" t="str">
        <f t="shared" si="5"/>
        <v/>
      </c>
      <c r="K1121" s="5" t="str">
        <f>IFERROR(__xludf.DUMMYFUNCTION("IF(C1121&lt;&gt;"""",HYPERLINK(""https://wa.me/507""&amp;REGEXREPLACE(C1121,""[^0-9]"","""")&amp;""?text=""&amp;ENCODEURL(""Ya llegue. Codigo: ""&amp;A1121&amp;"". Ubicacion: ""&amp;""https://www.google.com/maps/search/?api=1&amp;query=""&amp;SUBSTITUTE(F1121,"" "","""")),""📲 Avisar al clien"&amp;"te""),"""")"),"")</f>
        <v/>
      </c>
      <c r="L1121" s="5" t="str">
        <f>IFERROR(__xludf.DUMMYFUNCTION("IF(C1121&lt;&gt;"""",""https://api.qrserver.com/v1/create-qr-code/?size=200x200&amp;data=""&amp;ENCODEURL(""https://wa.me/507""&amp;REGEXREPLACE(C1121,""[^0-9]"","""")&amp;""?text=""&amp;ENCODEURL(""Ya llegue. Codigo: ""&amp;A1121&amp;"". Ubicacion: ""&amp;""https://www.google.com/maps/search"&amp;"/?api=1&amp;query=""&amp;SUBSTITUTE(F1121,"" "",""""))),"""")"),"")</f>
        <v/>
      </c>
      <c r="M1121" s="5" t="str">
        <f t="shared" si="6"/>
        <v/>
      </c>
      <c r="N1121" s="5" t="str">
        <f>IFERROR(__xludf.DUMMYFUNCTION("IF(AND(F1121&lt;&gt;"""",REGEXMATCH(SUBSTITUTE(F1121,"" "",""""),""^-?\d+(\.\d+)?,-?\d+(\.\d+)?$""),VALUE(REGEXEXTRACT(SUBSTITUTE(F1121,"" "",""""),""^-?\d+(\.\d+)?""))&gt;=-90,VALUE(REGEXEXTRACT(SUBSTITUTE(F1121,"" "",""""),""^-?\d+(\.\d+)?""))&lt;=90,VALUE(REGEXEXT"&amp;"RACT(SUBSTITUTE(F1121,"" "",""""),""-?\d+(\.\d+)?$""))&gt;=-180,VALUE(REGEXEXTRACT(SUBSTITUTE(F1121,"" "",""""),""-?\d+(\.\d+)?$""))&lt;=180),""OK"",""REVISAR"")"),"#N/A")</f>
        <v>#N/A</v>
      </c>
    </row>
    <row r="1122" ht="15.75" customHeight="1">
      <c r="A1122" s="5" t="str">
        <f t="shared" si="1"/>
        <v>AD507-1120</v>
      </c>
      <c r="C1122" s="5"/>
      <c r="F1122" s="5"/>
      <c r="G1122" s="5" t="str">
        <f t="shared" si="2"/>
        <v/>
      </c>
      <c r="H1122" s="5" t="str">
        <f t="shared" si="3"/>
        <v/>
      </c>
      <c r="I1122" s="5" t="str">
        <f t="shared" si="4"/>
        <v/>
      </c>
      <c r="J1122" s="5" t="str">
        <f t="shared" si="5"/>
        <v/>
      </c>
      <c r="K1122" s="5" t="str">
        <f>IFERROR(__xludf.DUMMYFUNCTION("IF(C1122&lt;&gt;"""",HYPERLINK(""https://wa.me/507""&amp;REGEXREPLACE(C1122,""[^0-9]"","""")&amp;""?text=""&amp;ENCODEURL(""Ya llegue. Codigo: ""&amp;A1122&amp;"". Ubicacion: ""&amp;""https://www.google.com/maps/search/?api=1&amp;query=""&amp;SUBSTITUTE(F1122,"" "","""")),""📲 Avisar al clien"&amp;"te""),"""")"),"")</f>
        <v/>
      </c>
      <c r="L1122" s="5" t="str">
        <f>IFERROR(__xludf.DUMMYFUNCTION("IF(C1122&lt;&gt;"""",""https://api.qrserver.com/v1/create-qr-code/?size=200x200&amp;data=""&amp;ENCODEURL(""https://wa.me/507""&amp;REGEXREPLACE(C1122,""[^0-9]"","""")&amp;""?text=""&amp;ENCODEURL(""Ya llegue. Codigo: ""&amp;A1122&amp;"". Ubicacion: ""&amp;""https://www.google.com/maps/search"&amp;"/?api=1&amp;query=""&amp;SUBSTITUTE(F1122,"" "",""""))),"""")"),"")</f>
        <v/>
      </c>
      <c r="M1122" s="5" t="str">
        <f t="shared" si="6"/>
        <v/>
      </c>
      <c r="N1122" s="5" t="str">
        <f>IFERROR(__xludf.DUMMYFUNCTION("IF(AND(F1122&lt;&gt;"""",REGEXMATCH(SUBSTITUTE(F1122,"" "",""""),""^-?\d+(\.\d+)?,-?\d+(\.\d+)?$""),VALUE(REGEXEXTRACT(SUBSTITUTE(F1122,"" "",""""),""^-?\d+(\.\d+)?""))&gt;=-90,VALUE(REGEXEXTRACT(SUBSTITUTE(F1122,"" "",""""),""^-?\d+(\.\d+)?""))&lt;=90,VALUE(REGEXEXT"&amp;"RACT(SUBSTITUTE(F1122,"" "",""""),""-?\d+(\.\d+)?$""))&gt;=-180,VALUE(REGEXEXTRACT(SUBSTITUTE(F1122,"" "",""""),""-?\d+(\.\d+)?$""))&lt;=180),""OK"",""REVISAR"")"),"#N/A")</f>
        <v>#N/A</v>
      </c>
    </row>
    <row r="1123" ht="15.75" customHeight="1">
      <c r="A1123" s="5" t="str">
        <f t="shared" si="1"/>
        <v>AD507-1121</v>
      </c>
      <c r="C1123" s="5"/>
      <c r="F1123" s="5"/>
      <c r="G1123" s="5" t="str">
        <f t="shared" si="2"/>
        <v/>
      </c>
      <c r="H1123" s="5" t="str">
        <f t="shared" si="3"/>
        <v/>
      </c>
      <c r="I1123" s="5" t="str">
        <f t="shared" si="4"/>
        <v/>
      </c>
      <c r="J1123" s="5" t="str">
        <f t="shared" si="5"/>
        <v/>
      </c>
      <c r="K1123" s="5" t="str">
        <f>IFERROR(__xludf.DUMMYFUNCTION("IF(C1123&lt;&gt;"""",HYPERLINK(""https://wa.me/507""&amp;REGEXREPLACE(C1123,""[^0-9]"","""")&amp;""?text=""&amp;ENCODEURL(""Ya llegue. Codigo: ""&amp;A1123&amp;"". Ubicacion: ""&amp;""https://www.google.com/maps/search/?api=1&amp;query=""&amp;SUBSTITUTE(F1123,"" "","""")),""📲 Avisar al clien"&amp;"te""),"""")"),"")</f>
        <v/>
      </c>
      <c r="L1123" s="5" t="str">
        <f>IFERROR(__xludf.DUMMYFUNCTION("IF(C1123&lt;&gt;"""",""https://api.qrserver.com/v1/create-qr-code/?size=200x200&amp;data=""&amp;ENCODEURL(""https://wa.me/507""&amp;REGEXREPLACE(C1123,""[^0-9]"","""")&amp;""?text=""&amp;ENCODEURL(""Ya llegue. Codigo: ""&amp;A1123&amp;"". Ubicacion: ""&amp;""https://www.google.com/maps/search"&amp;"/?api=1&amp;query=""&amp;SUBSTITUTE(F1123,"" "",""""))),"""")"),"")</f>
        <v/>
      </c>
      <c r="M1123" s="5" t="str">
        <f t="shared" si="6"/>
        <v/>
      </c>
      <c r="N1123" s="5" t="str">
        <f>IFERROR(__xludf.DUMMYFUNCTION("IF(AND(F1123&lt;&gt;"""",REGEXMATCH(SUBSTITUTE(F1123,"" "",""""),""^-?\d+(\.\d+)?,-?\d+(\.\d+)?$""),VALUE(REGEXEXTRACT(SUBSTITUTE(F1123,"" "",""""),""^-?\d+(\.\d+)?""))&gt;=-90,VALUE(REGEXEXTRACT(SUBSTITUTE(F1123,"" "",""""),""^-?\d+(\.\d+)?""))&lt;=90,VALUE(REGEXEXT"&amp;"RACT(SUBSTITUTE(F1123,"" "",""""),""-?\d+(\.\d+)?$""))&gt;=-180,VALUE(REGEXEXTRACT(SUBSTITUTE(F1123,"" "",""""),""-?\d+(\.\d+)?$""))&lt;=180),""OK"",""REVISAR"")"),"#N/A")</f>
        <v>#N/A</v>
      </c>
    </row>
    <row r="1124" ht="15.75" customHeight="1">
      <c r="A1124" s="5" t="str">
        <f t="shared" si="1"/>
        <v>AD507-1122</v>
      </c>
      <c r="C1124" s="5"/>
      <c r="F1124" s="5"/>
      <c r="G1124" s="5" t="str">
        <f t="shared" si="2"/>
        <v/>
      </c>
      <c r="H1124" s="5" t="str">
        <f t="shared" si="3"/>
        <v/>
      </c>
      <c r="I1124" s="5" t="str">
        <f t="shared" si="4"/>
        <v/>
      </c>
      <c r="J1124" s="5" t="str">
        <f t="shared" si="5"/>
        <v/>
      </c>
      <c r="K1124" s="5" t="str">
        <f>IFERROR(__xludf.DUMMYFUNCTION("IF(C1124&lt;&gt;"""",HYPERLINK(""https://wa.me/507""&amp;REGEXREPLACE(C1124,""[^0-9]"","""")&amp;""?text=""&amp;ENCODEURL(""Ya llegue. Codigo: ""&amp;A1124&amp;"". Ubicacion: ""&amp;""https://www.google.com/maps/search/?api=1&amp;query=""&amp;SUBSTITUTE(F1124,"" "","""")),""📲 Avisar al clien"&amp;"te""),"""")"),"")</f>
        <v/>
      </c>
      <c r="L1124" s="5" t="str">
        <f>IFERROR(__xludf.DUMMYFUNCTION("IF(C1124&lt;&gt;"""",""https://api.qrserver.com/v1/create-qr-code/?size=200x200&amp;data=""&amp;ENCODEURL(""https://wa.me/507""&amp;REGEXREPLACE(C1124,""[^0-9]"","""")&amp;""?text=""&amp;ENCODEURL(""Ya llegue. Codigo: ""&amp;A1124&amp;"". Ubicacion: ""&amp;""https://www.google.com/maps/search"&amp;"/?api=1&amp;query=""&amp;SUBSTITUTE(F1124,"" "",""""))),"""")"),"")</f>
        <v/>
      </c>
      <c r="M1124" s="5" t="str">
        <f t="shared" si="6"/>
        <v/>
      </c>
      <c r="N1124" s="5" t="str">
        <f>IFERROR(__xludf.DUMMYFUNCTION("IF(AND(F1124&lt;&gt;"""",REGEXMATCH(SUBSTITUTE(F1124,"" "",""""),""^-?\d+(\.\d+)?,-?\d+(\.\d+)?$""),VALUE(REGEXEXTRACT(SUBSTITUTE(F1124,"" "",""""),""^-?\d+(\.\d+)?""))&gt;=-90,VALUE(REGEXEXTRACT(SUBSTITUTE(F1124,"" "",""""),""^-?\d+(\.\d+)?""))&lt;=90,VALUE(REGEXEXT"&amp;"RACT(SUBSTITUTE(F1124,"" "",""""),""-?\d+(\.\d+)?$""))&gt;=-180,VALUE(REGEXEXTRACT(SUBSTITUTE(F1124,"" "",""""),""-?\d+(\.\d+)?$""))&lt;=180),""OK"",""REVISAR"")"),"#N/A")</f>
        <v>#N/A</v>
      </c>
    </row>
    <row r="1125" ht="15.75" customHeight="1">
      <c r="A1125" s="5" t="str">
        <f t="shared" si="1"/>
        <v>AD507-1123</v>
      </c>
      <c r="C1125" s="5"/>
      <c r="F1125" s="5"/>
      <c r="G1125" s="5" t="str">
        <f t="shared" si="2"/>
        <v/>
      </c>
      <c r="H1125" s="5" t="str">
        <f t="shared" si="3"/>
        <v/>
      </c>
      <c r="I1125" s="5" t="str">
        <f t="shared" si="4"/>
        <v/>
      </c>
      <c r="J1125" s="5" t="str">
        <f t="shared" si="5"/>
        <v/>
      </c>
      <c r="K1125" s="5" t="str">
        <f>IFERROR(__xludf.DUMMYFUNCTION("IF(C1125&lt;&gt;"""",HYPERLINK(""https://wa.me/507""&amp;REGEXREPLACE(C1125,""[^0-9]"","""")&amp;""?text=""&amp;ENCODEURL(""Ya llegue. Codigo: ""&amp;A1125&amp;"". Ubicacion: ""&amp;""https://www.google.com/maps/search/?api=1&amp;query=""&amp;SUBSTITUTE(F1125,"" "","""")),""📲 Avisar al clien"&amp;"te""),"""")"),"")</f>
        <v/>
      </c>
      <c r="L1125" s="5" t="str">
        <f>IFERROR(__xludf.DUMMYFUNCTION("IF(C1125&lt;&gt;"""",""https://api.qrserver.com/v1/create-qr-code/?size=200x200&amp;data=""&amp;ENCODEURL(""https://wa.me/507""&amp;REGEXREPLACE(C1125,""[^0-9]"","""")&amp;""?text=""&amp;ENCODEURL(""Ya llegue. Codigo: ""&amp;A1125&amp;"". Ubicacion: ""&amp;""https://www.google.com/maps/search"&amp;"/?api=1&amp;query=""&amp;SUBSTITUTE(F1125,"" "",""""))),"""")"),"")</f>
        <v/>
      </c>
      <c r="M1125" s="5" t="str">
        <f t="shared" si="6"/>
        <v/>
      </c>
      <c r="N1125" s="5" t="str">
        <f>IFERROR(__xludf.DUMMYFUNCTION("IF(AND(F1125&lt;&gt;"""",REGEXMATCH(SUBSTITUTE(F1125,"" "",""""),""^-?\d+(\.\d+)?,-?\d+(\.\d+)?$""),VALUE(REGEXEXTRACT(SUBSTITUTE(F1125,"" "",""""),""^-?\d+(\.\d+)?""))&gt;=-90,VALUE(REGEXEXTRACT(SUBSTITUTE(F1125,"" "",""""),""^-?\d+(\.\d+)?""))&lt;=90,VALUE(REGEXEXT"&amp;"RACT(SUBSTITUTE(F1125,"" "",""""),""-?\d+(\.\d+)?$""))&gt;=-180,VALUE(REGEXEXTRACT(SUBSTITUTE(F1125,"" "",""""),""-?\d+(\.\d+)?$""))&lt;=180),""OK"",""REVISAR"")"),"#N/A")</f>
        <v>#N/A</v>
      </c>
    </row>
    <row r="1126" ht="15.75" customHeight="1">
      <c r="A1126" s="5" t="str">
        <f t="shared" si="1"/>
        <v>AD507-1124</v>
      </c>
      <c r="C1126" s="5"/>
      <c r="F1126" s="5"/>
      <c r="G1126" s="5" t="str">
        <f t="shared" si="2"/>
        <v/>
      </c>
      <c r="H1126" s="5" t="str">
        <f t="shared" si="3"/>
        <v/>
      </c>
      <c r="I1126" s="5" t="str">
        <f t="shared" si="4"/>
        <v/>
      </c>
      <c r="J1126" s="5" t="str">
        <f t="shared" si="5"/>
        <v/>
      </c>
      <c r="K1126" s="5" t="str">
        <f>IFERROR(__xludf.DUMMYFUNCTION("IF(C1126&lt;&gt;"""",HYPERLINK(""https://wa.me/507""&amp;REGEXREPLACE(C1126,""[^0-9]"","""")&amp;""?text=""&amp;ENCODEURL(""Ya llegue. Codigo: ""&amp;A1126&amp;"". Ubicacion: ""&amp;""https://www.google.com/maps/search/?api=1&amp;query=""&amp;SUBSTITUTE(F1126,"" "","""")),""📲 Avisar al clien"&amp;"te""),"""")"),"")</f>
        <v/>
      </c>
      <c r="L1126" s="5" t="str">
        <f>IFERROR(__xludf.DUMMYFUNCTION("IF(C1126&lt;&gt;"""",""https://api.qrserver.com/v1/create-qr-code/?size=200x200&amp;data=""&amp;ENCODEURL(""https://wa.me/507""&amp;REGEXREPLACE(C1126,""[^0-9]"","""")&amp;""?text=""&amp;ENCODEURL(""Ya llegue. Codigo: ""&amp;A1126&amp;"". Ubicacion: ""&amp;""https://www.google.com/maps/search"&amp;"/?api=1&amp;query=""&amp;SUBSTITUTE(F1126,"" "",""""))),"""")"),"")</f>
        <v/>
      </c>
      <c r="M1126" s="5" t="str">
        <f t="shared" si="6"/>
        <v/>
      </c>
      <c r="N1126" s="5" t="str">
        <f>IFERROR(__xludf.DUMMYFUNCTION("IF(AND(F1126&lt;&gt;"""",REGEXMATCH(SUBSTITUTE(F1126,"" "",""""),""^-?\d+(\.\d+)?,-?\d+(\.\d+)?$""),VALUE(REGEXEXTRACT(SUBSTITUTE(F1126,"" "",""""),""^-?\d+(\.\d+)?""))&gt;=-90,VALUE(REGEXEXTRACT(SUBSTITUTE(F1126,"" "",""""),""^-?\d+(\.\d+)?""))&lt;=90,VALUE(REGEXEXT"&amp;"RACT(SUBSTITUTE(F1126,"" "",""""),""-?\d+(\.\d+)?$""))&gt;=-180,VALUE(REGEXEXTRACT(SUBSTITUTE(F1126,"" "",""""),""-?\d+(\.\d+)?$""))&lt;=180),""OK"",""REVISAR"")"),"#N/A")</f>
        <v>#N/A</v>
      </c>
    </row>
    <row r="1127" ht="15.75" customHeight="1">
      <c r="A1127" s="5" t="str">
        <f t="shared" si="1"/>
        <v>AD507-1125</v>
      </c>
      <c r="C1127" s="5"/>
      <c r="F1127" s="5"/>
      <c r="G1127" s="5" t="str">
        <f t="shared" si="2"/>
        <v/>
      </c>
      <c r="H1127" s="5" t="str">
        <f t="shared" si="3"/>
        <v/>
      </c>
      <c r="I1127" s="5" t="str">
        <f t="shared" si="4"/>
        <v/>
      </c>
      <c r="J1127" s="5" t="str">
        <f t="shared" si="5"/>
        <v/>
      </c>
      <c r="K1127" s="5" t="str">
        <f>IFERROR(__xludf.DUMMYFUNCTION("IF(C1127&lt;&gt;"""",HYPERLINK(""https://wa.me/507""&amp;REGEXREPLACE(C1127,""[^0-9]"","""")&amp;""?text=""&amp;ENCODEURL(""Ya llegue. Codigo: ""&amp;A1127&amp;"". Ubicacion: ""&amp;""https://www.google.com/maps/search/?api=1&amp;query=""&amp;SUBSTITUTE(F1127,"" "","""")),""📲 Avisar al clien"&amp;"te""),"""")"),"")</f>
        <v/>
      </c>
      <c r="L1127" s="5" t="str">
        <f>IFERROR(__xludf.DUMMYFUNCTION("IF(C1127&lt;&gt;"""",""https://api.qrserver.com/v1/create-qr-code/?size=200x200&amp;data=""&amp;ENCODEURL(""https://wa.me/507""&amp;REGEXREPLACE(C1127,""[^0-9]"","""")&amp;""?text=""&amp;ENCODEURL(""Ya llegue. Codigo: ""&amp;A1127&amp;"". Ubicacion: ""&amp;""https://www.google.com/maps/search"&amp;"/?api=1&amp;query=""&amp;SUBSTITUTE(F1127,"" "",""""))),"""")"),"")</f>
        <v/>
      </c>
      <c r="M1127" s="5" t="str">
        <f t="shared" si="6"/>
        <v/>
      </c>
      <c r="N1127" s="5" t="str">
        <f>IFERROR(__xludf.DUMMYFUNCTION("IF(AND(F1127&lt;&gt;"""",REGEXMATCH(SUBSTITUTE(F1127,"" "",""""),""^-?\d+(\.\d+)?,-?\d+(\.\d+)?$""),VALUE(REGEXEXTRACT(SUBSTITUTE(F1127,"" "",""""),""^-?\d+(\.\d+)?""))&gt;=-90,VALUE(REGEXEXTRACT(SUBSTITUTE(F1127,"" "",""""),""^-?\d+(\.\d+)?""))&lt;=90,VALUE(REGEXEXT"&amp;"RACT(SUBSTITUTE(F1127,"" "",""""),""-?\d+(\.\d+)?$""))&gt;=-180,VALUE(REGEXEXTRACT(SUBSTITUTE(F1127,"" "",""""),""-?\d+(\.\d+)?$""))&lt;=180),""OK"",""REVISAR"")"),"#N/A")</f>
        <v>#N/A</v>
      </c>
    </row>
    <row r="1128" ht="15.75" customHeight="1">
      <c r="A1128" s="5" t="str">
        <f t="shared" si="1"/>
        <v>AD507-1126</v>
      </c>
      <c r="C1128" s="5"/>
      <c r="F1128" s="5"/>
      <c r="G1128" s="5" t="str">
        <f t="shared" si="2"/>
        <v/>
      </c>
      <c r="H1128" s="5" t="str">
        <f t="shared" si="3"/>
        <v/>
      </c>
      <c r="I1128" s="5" t="str">
        <f t="shared" si="4"/>
        <v/>
      </c>
      <c r="J1128" s="5" t="str">
        <f t="shared" si="5"/>
        <v/>
      </c>
      <c r="K1128" s="5" t="str">
        <f>IFERROR(__xludf.DUMMYFUNCTION("IF(C1128&lt;&gt;"""",HYPERLINK(""https://wa.me/507""&amp;REGEXREPLACE(C1128,""[^0-9]"","""")&amp;""?text=""&amp;ENCODEURL(""Ya llegue. Codigo: ""&amp;A1128&amp;"". Ubicacion: ""&amp;""https://www.google.com/maps/search/?api=1&amp;query=""&amp;SUBSTITUTE(F1128,"" "","""")),""📲 Avisar al clien"&amp;"te""),"""")"),"")</f>
        <v/>
      </c>
      <c r="L1128" s="5" t="str">
        <f>IFERROR(__xludf.DUMMYFUNCTION("IF(C1128&lt;&gt;"""",""https://api.qrserver.com/v1/create-qr-code/?size=200x200&amp;data=""&amp;ENCODEURL(""https://wa.me/507""&amp;REGEXREPLACE(C1128,""[^0-9]"","""")&amp;""?text=""&amp;ENCODEURL(""Ya llegue. Codigo: ""&amp;A1128&amp;"". Ubicacion: ""&amp;""https://www.google.com/maps/search"&amp;"/?api=1&amp;query=""&amp;SUBSTITUTE(F1128,"" "",""""))),"""")"),"")</f>
        <v/>
      </c>
      <c r="M1128" s="5" t="str">
        <f t="shared" si="6"/>
        <v/>
      </c>
      <c r="N1128" s="5" t="str">
        <f>IFERROR(__xludf.DUMMYFUNCTION("IF(AND(F1128&lt;&gt;"""",REGEXMATCH(SUBSTITUTE(F1128,"" "",""""),""^-?\d+(\.\d+)?,-?\d+(\.\d+)?$""),VALUE(REGEXEXTRACT(SUBSTITUTE(F1128,"" "",""""),""^-?\d+(\.\d+)?""))&gt;=-90,VALUE(REGEXEXTRACT(SUBSTITUTE(F1128,"" "",""""),""^-?\d+(\.\d+)?""))&lt;=90,VALUE(REGEXEXT"&amp;"RACT(SUBSTITUTE(F1128,"" "",""""),""-?\d+(\.\d+)?$""))&gt;=-180,VALUE(REGEXEXTRACT(SUBSTITUTE(F1128,"" "",""""),""-?\d+(\.\d+)?$""))&lt;=180),""OK"",""REVISAR"")"),"#N/A")</f>
        <v>#N/A</v>
      </c>
    </row>
    <row r="1129" ht="15.75" customHeight="1">
      <c r="A1129" s="5" t="str">
        <f t="shared" si="1"/>
        <v>AD507-1127</v>
      </c>
      <c r="C1129" s="5"/>
      <c r="F1129" s="5"/>
      <c r="G1129" s="5" t="str">
        <f t="shared" si="2"/>
        <v/>
      </c>
      <c r="H1129" s="5" t="str">
        <f t="shared" si="3"/>
        <v/>
      </c>
      <c r="I1129" s="5" t="str">
        <f t="shared" si="4"/>
        <v/>
      </c>
      <c r="J1129" s="5" t="str">
        <f t="shared" si="5"/>
        <v/>
      </c>
      <c r="K1129" s="5" t="str">
        <f>IFERROR(__xludf.DUMMYFUNCTION("IF(C1129&lt;&gt;"""",HYPERLINK(""https://wa.me/507""&amp;REGEXREPLACE(C1129,""[^0-9]"","""")&amp;""?text=""&amp;ENCODEURL(""Ya llegue. Codigo: ""&amp;A1129&amp;"". Ubicacion: ""&amp;""https://www.google.com/maps/search/?api=1&amp;query=""&amp;SUBSTITUTE(F1129,"" "","""")),""📲 Avisar al clien"&amp;"te""),"""")"),"")</f>
        <v/>
      </c>
      <c r="L1129" s="5" t="str">
        <f>IFERROR(__xludf.DUMMYFUNCTION("IF(C1129&lt;&gt;"""",""https://api.qrserver.com/v1/create-qr-code/?size=200x200&amp;data=""&amp;ENCODEURL(""https://wa.me/507""&amp;REGEXREPLACE(C1129,""[^0-9]"","""")&amp;""?text=""&amp;ENCODEURL(""Ya llegue. Codigo: ""&amp;A1129&amp;"". Ubicacion: ""&amp;""https://www.google.com/maps/search"&amp;"/?api=1&amp;query=""&amp;SUBSTITUTE(F1129,"" "",""""))),"""")"),"")</f>
        <v/>
      </c>
      <c r="M1129" s="5" t="str">
        <f t="shared" si="6"/>
        <v/>
      </c>
      <c r="N1129" s="5" t="str">
        <f>IFERROR(__xludf.DUMMYFUNCTION("IF(AND(F1129&lt;&gt;"""",REGEXMATCH(SUBSTITUTE(F1129,"" "",""""),""^-?\d+(\.\d+)?,-?\d+(\.\d+)?$""),VALUE(REGEXEXTRACT(SUBSTITUTE(F1129,"" "",""""),""^-?\d+(\.\d+)?""))&gt;=-90,VALUE(REGEXEXTRACT(SUBSTITUTE(F1129,"" "",""""),""^-?\d+(\.\d+)?""))&lt;=90,VALUE(REGEXEXT"&amp;"RACT(SUBSTITUTE(F1129,"" "",""""),""-?\d+(\.\d+)?$""))&gt;=-180,VALUE(REGEXEXTRACT(SUBSTITUTE(F1129,"" "",""""),""-?\d+(\.\d+)?$""))&lt;=180),""OK"",""REVISAR"")"),"#N/A")</f>
        <v>#N/A</v>
      </c>
    </row>
    <row r="1130" ht="15.75" customHeight="1">
      <c r="A1130" s="5" t="str">
        <f t="shared" si="1"/>
        <v>AD507-1128</v>
      </c>
      <c r="C1130" s="5"/>
      <c r="F1130" s="5"/>
      <c r="G1130" s="5" t="str">
        <f t="shared" si="2"/>
        <v/>
      </c>
      <c r="H1130" s="5" t="str">
        <f t="shared" si="3"/>
        <v/>
      </c>
      <c r="I1130" s="5" t="str">
        <f t="shared" si="4"/>
        <v/>
      </c>
      <c r="J1130" s="5" t="str">
        <f t="shared" si="5"/>
        <v/>
      </c>
      <c r="K1130" s="5" t="str">
        <f>IFERROR(__xludf.DUMMYFUNCTION("IF(C1130&lt;&gt;"""",HYPERLINK(""https://wa.me/507""&amp;REGEXREPLACE(C1130,""[^0-9]"","""")&amp;""?text=""&amp;ENCODEURL(""Ya llegue. Codigo: ""&amp;A1130&amp;"". Ubicacion: ""&amp;""https://www.google.com/maps/search/?api=1&amp;query=""&amp;SUBSTITUTE(F1130,"" "","""")),""📲 Avisar al clien"&amp;"te""),"""")"),"")</f>
        <v/>
      </c>
      <c r="L1130" s="5" t="str">
        <f>IFERROR(__xludf.DUMMYFUNCTION("IF(C1130&lt;&gt;"""",""https://api.qrserver.com/v1/create-qr-code/?size=200x200&amp;data=""&amp;ENCODEURL(""https://wa.me/507""&amp;REGEXREPLACE(C1130,""[^0-9]"","""")&amp;""?text=""&amp;ENCODEURL(""Ya llegue. Codigo: ""&amp;A1130&amp;"". Ubicacion: ""&amp;""https://www.google.com/maps/search"&amp;"/?api=1&amp;query=""&amp;SUBSTITUTE(F1130,"" "",""""))),"""")"),"")</f>
        <v/>
      </c>
      <c r="M1130" s="5" t="str">
        <f t="shared" si="6"/>
        <v/>
      </c>
      <c r="N1130" s="5" t="str">
        <f>IFERROR(__xludf.DUMMYFUNCTION("IF(AND(F1130&lt;&gt;"""",REGEXMATCH(SUBSTITUTE(F1130,"" "",""""),""^-?\d+(\.\d+)?,-?\d+(\.\d+)?$""),VALUE(REGEXEXTRACT(SUBSTITUTE(F1130,"" "",""""),""^-?\d+(\.\d+)?""))&gt;=-90,VALUE(REGEXEXTRACT(SUBSTITUTE(F1130,"" "",""""),""^-?\d+(\.\d+)?""))&lt;=90,VALUE(REGEXEXT"&amp;"RACT(SUBSTITUTE(F1130,"" "",""""),""-?\d+(\.\d+)?$""))&gt;=-180,VALUE(REGEXEXTRACT(SUBSTITUTE(F1130,"" "",""""),""-?\d+(\.\d+)?$""))&lt;=180),""OK"",""REVISAR"")"),"#N/A")</f>
        <v>#N/A</v>
      </c>
    </row>
    <row r="1131" ht="15.75" customHeight="1">
      <c r="A1131" s="5" t="str">
        <f t="shared" si="1"/>
        <v>AD507-1129</v>
      </c>
      <c r="C1131" s="5"/>
      <c r="F1131" s="5"/>
      <c r="G1131" s="5" t="str">
        <f t="shared" si="2"/>
        <v/>
      </c>
      <c r="H1131" s="5" t="str">
        <f t="shared" si="3"/>
        <v/>
      </c>
      <c r="I1131" s="5" t="str">
        <f t="shared" si="4"/>
        <v/>
      </c>
      <c r="J1131" s="5" t="str">
        <f t="shared" si="5"/>
        <v/>
      </c>
      <c r="K1131" s="5" t="str">
        <f>IFERROR(__xludf.DUMMYFUNCTION("IF(C1131&lt;&gt;"""",HYPERLINK(""https://wa.me/507""&amp;REGEXREPLACE(C1131,""[^0-9]"","""")&amp;""?text=""&amp;ENCODEURL(""Ya llegue. Codigo: ""&amp;A1131&amp;"". Ubicacion: ""&amp;""https://www.google.com/maps/search/?api=1&amp;query=""&amp;SUBSTITUTE(F1131,"" "","""")),""📲 Avisar al clien"&amp;"te""),"""")"),"")</f>
        <v/>
      </c>
      <c r="L1131" s="5" t="str">
        <f>IFERROR(__xludf.DUMMYFUNCTION("IF(C1131&lt;&gt;"""",""https://api.qrserver.com/v1/create-qr-code/?size=200x200&amp;data=""&amp;ENCODEURL(""https://wa.me/507""&amp;REGEXREPLACE(C1131,""[^0-9]"","""")&amp;""?text=""&amp;ENCODEURL(""Ya llegue. Codigo: ""&amp;A1131&amp;"". Ubicacion: ""&amp;""https://www.google.com/maps/search"&amp;"/?api=1&amp;query=""&amp;SUBSTITUTE(F1131,"" "",""""))),"""")"),"")</f>
        <v/>
      </c>
      <c r="M1131" s="5" t="str">
        <f t="shared" si="6"/>
        <v/>
      </c>
      <c r="N1131" s="5" t="str">
        <f>IFERROR(__xludf.DUMMYFUNCTION("IF(AND(F1131&lt;&gt;"""",REGEXMATCH(SUBSTITUTE(F1131,"" "",""""),""^-?\d+(\.\d+)?,-?\d+(\.\d+)?$""),VALUE(REGEXEXTRACT(SUBSTITUTE(F1131,"" "",""""),""^-?\d+(\.\d+)?""))&gt;=-90,VALUE(REGEXEXTRACT(SUBSTITUTE(F1131,"" "",""""),""^-?\d+(\.\d+)?""))&lt;=90,VALUE(REGEXEXT"&amp;"RACT(SUBSTITUTE(F1131,"" "",""""),""-?\d+(\.\d+)?$""))&gt;=-180,VALUE(REGEXEXTRACT(SUBSTITUTE(F1131,"" "",""""),""-?\d+(\.\d+)?$""))&lt;=180),""OK"",""REVISAR"")"),"#N/A")</f>
        <v>#N/A</v>
      </c>
    </row>
    <row r="1132" ht="15.75" customHeight="1">
      <c r="A1132" s="5" t="str">
        <f t="shared" si="1"/>
        <v>AD507-1130</v>
      </c>
      <c r="C1132" s="5"/>
      <c r="F1132" s="5"/>
      <c r="G1132" s="5" t="str">
        <f t="shared" si="2"/>
        <v/>
      </c>
      <c r="H1132" s="5" t="str">
        <f t="shared" si="3"/>
        <v/>
      </c>
      <c r="I1132" s="5" t="str">
        <f t="shared" si="4"/>
        <v/>
      </c>
      <c r="J1132" s="5" t="str">
        <f t="shared" si="5"/>
        <v/>
      </c>
      <c r="K1132" s="5" t="str">
        <f>IFERROR(__xludf.DUMMYFUNCTION("IF(C1132&lt;&gt;"""",HYPERLINK(""https://wa.me/507""&amp;REGEXREPLACE(C1132,""[^0-9]"","""")&amp;""?text=""&amp;ENCODEURL(""Ya llegue. Codigo: ""&amp;A1132&amp;"". Ubicacion: ""&amp;""https://www.google.com/maps/search/?api=1&amp;query=""&amp;SUBSTITUTE(F1132,"" "","""")),""📲 Avisar al clien"&amp;"te""),"""")"),"")</f>
        <v/>
      </c>
      <c r="L1132" s="5" t="str">
        <f>IFERROR(__xludf.DUMMYFUNCTION("IF(C1132&lt;&gt;"""",""https://api.qrserver.com/v1/create-qr-code/?size=200x200&amp;data=""&amp;ENCODEURL(""https://wa.me/507""&amp;REGEXREPLACE(C1132,""[^0-9]"","""")&amp;""?text=""&amp;ENCODEURL(""Ya llegue. Codigo: ""&amp;A1132&amp;"". Ubicacion: ""&amp;""https://www.google.com/maps/search"&amp;"/?api=1&amp;query=""&amp;SUBSTITUTE(F1132,"" "",""""))),"""")"),"")</f>
        <v/>
      </c>
      <c r="M1132" s="5" t="str">
        <f t="shared" si="6"/>
        <v/>
      </c>
      <c r="N1132" s="5" t="str">
        <f>IFERROR(__xludf.DUMMYFUNCTION("IF(AND(F1132&lt;&gt;"""",REGEXMATCH(SUBSTITUTE(F1132,"" "",""""),""^-?\d+(\.\d+)?,-?\d+(\.\d+)?$""),VALUE(REGEXEXTRACT(SUBSTITUTE(F1132,"" "",""""),""^-?\d+(\.\d+)?""))&gt;=-90,VALUE(REGEXEXTRACT(SUBSTITUTE(F1132,"" "",""""),""^-?\d+(\.\d+)?""))&lt;=90,VALUE(REGEXEXT"&amp;"RACT(SUBSTITUTE(F1132,"" "",""""),""-?\d+(\.\d+)?$""))&gt;=-180,VALUE(REGEXEXTRACT(SUBSTITUTE(F1132,"" "",""""),""-?\d+(\.\d+)?$""))&lt;=180),""OK"",""REVISAR"")"),"#N/A")</f>
        <v>#N/A</v>
      </c>
    </row>
    <row r="1133" ht="15.75" customHeight="1">
      <c r="A1133" s="5" t="str">
        <f t="shared" si="1"/>
        <v>AD507-1131</v>
      </c>
      <c r="C1133" s="5"/>
      <c r="F1133" s="5"/>
      <c r="G1133" s="5" t="str">
        <f t="shared" si="2"/>
        <v/>
      </c>
      <c r="H1133" s="5" t="str">
        <f t="shared" si="3"/>
        <v/>
      </c>
      <c r="I1133" s="5" t="str">
        <f t="shared" si="4"/>
        <v/>
      </c>
      <c r="J1133" s="5" t="str">
        <f t="shared" si="5"/>
        <v/>
      </c>
      <c r="K1133" s="5" t="str">
        <f>IFERROR(__xludf.DUMMYFUNCTION("IF(C1133&lt;&gt;"""",HYPERLINK(""https://wa.me/507""&amp;REGEXREPLACE(C1133,""[^0-9]"","""")&amp;""?text=""&amp;ENCODEURL(""Ya llegue. Codigo: ""&amp;A1133&amp;"". Ubicacion: ""&amp;""https://www.google.com/maps/search/?api=1&amp;query=""&amp;SUBSTITUTE(F1133,"" "","""")),""📲 Avisar al clien"&amp;"te""),"""")"),"")</f>
        <v/>
      </c>
      <c r="L1133" s="5" t="str">
        <f>IFERROR(__xludf.DUMMYFUNCTION("IF(C1133&lt;&gt;"""",""https://api.qrserver.com/v1/create-qr-code/?size=200x200&amp;data=""&amp;ENCODEURL(""https://wa.me/507""&amp;REGEXREPLACE(C1133,""[^0-9]"","""")&amp;""?text=""&amp;ENCODEURL(""Ya llegue. Codigo: ""&amp;A1133&amp;"". Ubicacion: ""&amp;""https://www.google.com/maps/search"&amp;"/?api=1&amp;query=""&amp;SUBSTITUTE(F1133,"" "",""""))),"""")"),"")</f>
        <v/>
      </c>
      <c r="M1133" s="5" t="str">
        <f t="shared" si="6"/>
        <v/>
      </c>
      <c r="N1133" s="5" t="str">
        <f>IFERROR(__xludf.DUMMYFUNCTION("IF(AND(F1133&lt;&gt;"""",REGEXMATCH(SUBSTITUTE(F1133,"" "",""""),""^-?\d+(\.\d+)?,-?\d+(\.\d+)?$""),VALUE(REGEXEXTRACT(SUBSTITUTE(F1133,"" "",""""),""^-?\d+(\.\d+)?""))&gt;=-90,VALUE(REGEXEXTRACT(SUBSTITUTE(F1133,"" "",""""),""^-?\d+(\.\d+)?""))&lt;=90,VALUE(REGEXEXT"&amp;"RACT(SUBSTITUTE(F1133,"" "",""""),""-?\d+(\.\d+)?$""))&gt;=-180,VALUE(REGEXEXTRACT(SUBSTITUTE(F1133,"" "",""""),""-?\d+(\.\d+)?$""))&lt;=180),""OK"",""REVISAR"")"),"#N/A")</f>
        <v>#N/A</v>
      </c>
    </row>
    <row r="1134" ht="15.75" customHeight="1">
      <c r="A1134" s="5" t="str">
        <f t="shared" si="1"/>
        <v>AD507-1132</v>
      </c>
      <c r="C1134" s="5"/>
      <c r="F1134" s="5"/>
      <c r="G1134" s="5" t="str">
        <f t="shared" si="2"/>
        <v/>
      </c>
      <c r="H1134" s="5" t="str">
        <f t="shared" si="3"/>
        <v/>
      </c>
      <c r="I1134" s="5" t="str">
        <f t="shared" si="4"/>
        <v/>
      </c>
      <c r="J1134" s="5" t="str">
        <f t="shared" si="5"/>
        <v/>
      </c>
      <c r="K1134" s="5" t="str">
        <f>IFERROR(__xludf.DUMMYFUNCTION("IF(C1134&lt;&gt;"""",HYPERLINK(""https://wa.me/507""&amp;REGEXREPLACE(C1134,""[^0-9]"","""")&amp;""?text=""&amp;ENCODEURL(""Ya llegue. Codigo: ""&amp;A1134&amp;"". Ubicacion: ""&amp;""https://www.google.com/maps/search/?api=1&amp;query=""&amp;SUBSTITUTE(F1134,"" "","""")),""📲 Avisar al clien"&amp;"te""),"""")"),"")</f>
        <v/>
      </c>
      <c r="L1134" s="5" t="str">
        <f>IFERROR(__xludf.DUMMYFUNCTION("IF(C1134&lt;&gt;"""",""https://api.qrserver.com/v1/create-qr-code/?size=200x200&amp;data=""&amp;ENCODEURL(""https://wa.me/507""&amp;REGEXREPLACE(C1134,""[^0-9]"","""")&amp;""?text=""&amp;ENCODEURL(""Ya llegue. Codigo: ""&amp;A1134&amp;"". Ubicacion: ""&amp;""https://www.google.com/maps/search"&amp;"/?api=1&amp;query=""&amp;SUBSTITUTE(F1134,"" "",""""))),"""")"),"")</f>
        <v/>
      </c>
      <c r="M1134" s="5" t="str">
        <f t="shared" si="6"/>
        <v/>
      </c>
      <c r="N1134" s="5" t="str">
        <f>IFERROR(__xludf.DUMMYFUNCTION("IF(AND(F1134&lt;&gt;"""",REGEXMATCH(SUBSTITUTE(F1134,"" "",""""),""^-?\d+(\.\d+)?,-?\d+(\.\d+)?$""),VALUE(REGEXEXTRACT(SUBSTITUTE(F1134,"" "",""""),""^-?\d+(\.\d+)?""))&gt;=-90,VALUE(REGEXEXTRACT(SUBSTITUTE(F1134,"" "",""""),""^-?\d+(\.\d+)?""))&lt;=90,VALUE(REGEXEXT"&amp;"RACT(SUBSTITUTE(F1134,"" "",""""),""-?\d+(\.\d+)?$""))&gt;=-180,VALUE(REGEXEXTRACT(SUBSTITUTE(F1134,"" "",""""),""-?\d+(\.\d+)?$""))&lt;=180),""OK"",""REVISAR"")"),"#N/A")</f>
        <v>#N/A</v>
      </c>
    </row>
    <row r="1135" ht="15.75" customHeight="1">
      <c r="A1135" s="5" t="str">
        <f t="shared" si="1"/>
        <v>AD507-1133</v>
      </c>
      <c r="C1135" s="5"/>
      <c r="F1135" s="5"/>
      <c r="G1135" s="5" t="str">
        <f t="shared" si="2"/>
        <v/>
      </c>
      <c r="H1135" s="5" t="str">
        <f t="shared" si="3"/>
        <v/>
      </c>
      <c r="I1135" s="5" t="str">
        <f t="shared" si="4"/>
        <v/>
      </c>
      <c r="J1135" s="5" t="str">
        <f t="shared" si="5"/>
        <v/>
      </c>
      <c r="K1135" s="5" t="str">
        <f>IFERROR(__xludf.DUMMYFUNCTION("IF(C1135&lt;&gt;"""",HYPERLINK(""https://wa.me/507""&amp;REGEXREPLACE(C1135,""[^0-9]"","""")&amp;""?text=""&amp;ENCODEURL(""Ya llegue. Codigo: ""&amp;A1135&amp;"". Ubicacion: ""&amp;""https://www.google.com/maps/search/?api=1&amp;query=""&amp;SUBSTITUTE(F1135,"" "","""")),""📲 Avisar al clien"&amp;"te""),"""")"),"")</f>
        <v/>
      </c>
      <c r="L1135" s="5" t="str">
        <f>IFERROR(__xludf.DUMMYFUNCTION("IF(C1135&lt;&gt;"""",""https://api.qrserver.com/v1/create-qr-code/?size=200x200&amp;data=""&amp;ENCODEURL(""https://wa.me/507""&amp;REGEXREPLACE(C1135,""[^0-9]"","""")&amp;""?text=""&amp;ENCODEURL(""Ya llegue. Codigo: ""&amp;A1135&amp;"". Ubicacion: ""&amp;""https://www.google.com/maps/search"&amp;"/?api=1&amp;query=""&amp;SUBSTITUTE(F1135,"" "",""""))),"""")"),"")</f>
        <v/>
      </c>
      <c r="M1135" s="5" t="str">
        <f t="shared" si="6"/>
        <v/>
      </c>
      <c r="N1135" s="5" t="str">
        <f>IFERROR(__xludf.DUMMYFUNCTION("IF(AND(F1135&lt;&gt;"""",REGEXMATCH(SUBSTITUTE(F1135,"" "",""""),""^-?\d+(\.\d+)?,-?\d+(\.\d+)?$""),VALUE(REGEXEXTRACT(SUBSTITUTE(F1135,"" "",""""),""^-?\d+(\.\d+)?""))&gt;=-90,VALUE(REGEXEXTRACT(SUBSTITUTE(F1135,"" "",""""),""^-?\d+(\.\d+)?""))&lt;=90,VALUE(REGEXEXT"&amp;"RACT(SUBSTITUTE(F1135,"" "",""""),""-?\d+(\.\d+)?$""))&gt;=-180,VALUE(REGEXEXTRACT(SUBSTITUTE(F1135,"" "",""""),""-?\d+(\.\d+)?$""))&lt;=180),""OK"",""REVISAR"")"),"#N/A")</f>
        <v>#N/A</v>
      </c>
    </row>
    <row r="1136" ht="15.75" customHeight="1">
      <c r="A1136" s="5" t="str">
        <f t="shared" si="1"/>
        <v>AD507-1134</v>
      </c>
      <c r="C1136" s="5"/>
      <c r="F1136" s="5"/>
      <c r="G1136" s="5" t="str">
        <f t="shared" si="2"/>
        <v/>
      </c>
      <c r="H1136" s="5" t="str">
        <f t="shared" si="3"/>
        <v/>
      </c>
      <c r="I1136" s="5" t="str">
        <f t="shared" si="4"/>
        <v/>
      </c>
      <c r="J1136" s="5" t="str">
        <f t="shared" si="5"/>
        <v/>
      </c>
      <c r="K1136" s="5" t="str">
        <f>IFERROR(__xludf.DUMMYFUNCTION("IF(C1136&lt;&gt;"""",HYPERLINK(""https://wa.me/507""&amp;REGEXREPLACE(C1136,""[^0-9]"","""")&amp;""?text=""&amp;ENCODEURL(""Ya llegue. Codigo: ""&amp;A1136&amp;"". Ubicacion: ""&amp;""https://www.google.com/maps/search/?api=1&amp;query=""&amp;SUBSTITUTE(F1136,"" "","""")),""📲 Avisar al clien"&amp;"te""),"""")"),"")</f>
        <v/>
      </c>
      <c r="L1136" s="5" t="str">
        <f>IFERROR(__xludf.DUMMYFUNCTION("IF(C1136&lt;&gt;"""",""https://api.qrserver.com/v1/create-qr-code/?size=200x200&amp;data=""&amp;ENCODEURL(""https://wa.me/507""&amp;REGEXREPLACE(C1136,""[^0-9]"","""")&amp;""?text=""&amp;ENCODEURL(""Ya llegue. Codigo: ""&amp;A1136&amp;"". Ubicacion: ""&amp;""https://www.google.com/maps/search"&amp;"/?api=1&amp;query=""&amp;SUBSTITUTE(F1136,"" "",""""))),"""")"),"")</f>
        <v/>
      </c>
      <c r="M1136" s="5" t="str">
        <f t="shared" si="6"/>
        <v/>
      </c>
      <c r="N1136" s="5" t="str">
        <f>IFERROR(__xludf.DUMMYFUNCTION("IF(AND(F1136&lt;&gt;"""",REGEXMATCH(SUBSTITUTE(F1136,"" "",""""),""^-?\d+(\.\d+)?,-?\d+(\.\d+)?$""),VALUE(REGEXEXTRACT(SUBSTITUTE(F1136,"" "",""""),""^-?\d+(\.\d+)?""))&gt;=-90,VALUE(REGEXEXTRACT(SUBSTITUTE(F1136,"" "",""""),""^-?\d+(\.\d+)?""))&lt;=90,VALUE(REGEXEXT"&amp;"RACT(SUBSTITUTE(F1136,"" "",""""),""-?\d+(\.\d+)?$""))&gt;=-180,VALUE(REGEXEXTRACT(SUBSTITUTE(F1136,"" "",""""),""-?\d+(\.\d+)?$""))&lt;=180),""OK"",""REVISAR"")"),"#N/A")</f>
        <v>#N/A</v>
      </c>
    </row>
    <row r="1137" ht="15.75" customHeight="1">
      <c r="A1137" s="5" t="str">
        <f t="shared" si="1"/>
        <v>AD507-1135</v>
      </c>
      <c r="C1137" s="5"/>
      <c r="F1137" s="5"/>
      <c r="G1137" s="5" t="str">
        <f t="shared" si="2"/>
        <v/>
      </c>
      <c r="H1137" s="5" t="str">
        <f t="shared" si="3"/>
        <v/>
      </c>
      <c r="I1137" s="5" t="str">
        <f t="shared" si="4"/>
        <v/>
      </c>
      <c r="J1137" s="5" t="str">
        <f t="shared" si="5"/>
        <v/>
      </c>
      <c r="K1137" s="5" t="str">
        <f>IFERROR(__xludf.DUMMYFUNCTION("IF(C1137&lt;&gt;"""",HYPERLINK(""https://wa.me/507""&amp;REGEXREPLACE(C1137,""[^0-9]"","""")&amp;""?text=""&amp;ENCODEURL(""Ya llegue. Codigo: ""&amp;A1137&amp;"". Ubicacion: ""&amp;""https://www.google.com/maps/search/?api=1&amp;query=""&amp;SUBSTITUTE(F1137,"" "","""")),""📲 Avisar al clien"&amp;"te""),"""")"),"")</f>
        <v/>
      </c>
      <c r="L1137" s="5" t="str">
        <f>IFERROR(__xludf.DUMMYFUNCTION("IF(C1137&lt;&gt;"""",""https://api.qrserver.com/v1/create-qr-code/?size=200x200&amp;data=""&amp;ENCODEURL(""https://wa.me/507""&amp;REGEXREPLACE(C1137,""[^0-9]"","""")&amp;""?text=""&amp;ENCODEURL(""Ya llegue. Codigo: ""&amp;A1137&amp;"". Ubicacion: ""&amp;""https://www.google.com/maps/search"&amp;"/?api=1&amp;query=""&amp;SUBSTITUTE(F1137,"" "",""""))),"""")"),"")</f>
        <v/>
      </c>
      <c r="M1137" s="5" t="str">
        <f t="shared" si="6"/>
        <v/>
      </c>
      <c r="N1137" s="5" t="str">
        <f>IFERROR(__xludf.DUMMYFUNCTION("IF(AND(F1137&lt;&gt;"""",REGEXMATCH(SUBSTITUTE(F1137,"" "",""""),""^-?\d+(\.\d+)?,-?\d+(\.\d+)?$""),VALUE(REGEXEXTRACT(SUBSTITUTE(F1137,"" "",""""),""^-?\d+(\.\d+)?""))&gt;=-90,VALUE(REGEXEXTRACT(SUBSTITUTE(F1137,"" "",""""),""^-?\d+(\.\d+)?""))&lt;=90,VALUE(REGEXEXT"&amp;"RACT(SUBSTITUTE(F1137,"" "",""""),""-?\d+(\.\d+)?$""))&gt;=-180,VALUE(REGEXEXTRACT(SUBSTITUTE(F1137,"" "",""""),""-?\d+(\.\d+)?$""))&lt;=180),""OK"",""REVISAR"")"),"#N/A")</f>
        <v>#N/A</v>
      </c>
    </row>
    <row r="1138" ht="15.75" customHeight="1">
      <c r="A1138" s="5" t="str">
        <f t="shared" si="1"/>
        <v>AD507-1136</v>
      </c>
      <c r="C1138" s="5"/>
      <c r="F1138" s="5"/>
      <c r="G1138" s="5" t="str">
        <f t="shared" si="2"/>
        <v/>
      </c>
      <c r="H1138" s="5" t="str">
        <f t="shared" si="3"/>
        <v/>
      </c>
      <c r="I1138" s="5" t="str">
        <f t="shared" si="4"/>
        <v/>
      </c>
      <c r="J1138" s="5" t="str">
        <f t="shared" si="5"/>
        <v/>
      </c>
      <c r="K1138" s="5" t="str">
        <f>IFERROR(__xludf.DUMMYFUNCTION("IF(C1138&lt;&gt;"""",HYPERLINK(""https://wa.me/507""&amp;REGEXREPLACE(C1138,""[^0-9]"","""")&amp;""?text=""&amp;ENCODEURL(""Ya llegue. Codigo: ""&amp;A1138&amp;"". Ubicacion: ""&amp;""https://www.google.com/maps/search/?api=1&amp;query=""&amp;SUBSTITUTE(F1138,"" "","""")),""📲 Avisar al clien"&amp;"te""),"""")"),"")</f>
        <v/>
      </c>
      <c r="L1138" s="5" t="str">
        <f>IFERROR(__xludf.DUMMYFUNCTION("IF(C1138&lt;&gt;"""",""https://api.qrserver.com/v1/create-qr-code/?size=200x200&amp;data=""&amp;ENCODEURL(""https://wa.me/507""&amp;REGEXREPLACE(C1138,""[^0-9]"","""")&amp;""?text=""&amp;ENCODEURL(""Ya llegue. Codigo: ""&amp;A1138&amp;"". Ubicacion: ""&amp;""https://www.google.com/maps/search"&amp;"/?api=1&amp;query=""&amp;SUBSTITUTE(F1138,"" "",""""))),"""")"),"")</f>
        <v/>
      </c>
      <c r="M1138" s="5" t="str">
        <f t="shared" si="6"/>
        <v/>
      </c>
      <c r="N1138" s="5" t="str">
        <f>IFERROR(__xludf.DUMMYFUNCTION("IF(AND(F1138&lt;&gt;"""",REGEXMATCH(SUBSTITUTE(F1138,"" "",""""),""^-?\d+(\.\d+)?,-?\d+(\.\d+)?$""),VALUE(REGEXEXTRACT(SUBSTITUTE(F1138,"" "",""""),""^-?\d+(\.\d+)?""))&gt;=-90,VALUE(REGEXEXTRACT(SUBSTITUTE(F1138,"" "",""""),""^-?\d+(\.\d+)?""))&lt;=90,VALUE(REGEXEXT"&amp;"RACT(SUBSTITUTE(F1138,"" "",""""),""-?\d+(\.\d+)?$""))&gt;=-180,VALUE(REGEXEXTRACT(SUBSTITUTE(F1138,"" "",""""),""-?\d+(\.\d+)?$""))&lt;=180),""OK"",""REVISAR"")"),"#N/A")</f>
        <v>#N/A</v>
      </c>
    </row>
    <row r="1139" ht="15.75" customHeight="1">
      <c r="A1139" s="5" t="str">
        <f t="shared" si="1"/>
        <v>AD507-1137</v>
      </c>
      <c r="C1139" s="5"/>
      <c r="F1139" s="5"/>
      <c r="G1139" s="5" t="str">
        <f t="shared" si="2"/>
        <v/>
      </c>
      <c r="H1139" s="5" t="str">
        <f t="shared" si="3"/>
        <v/>
      </c>
      <c r="I1139" s="5" t="str">
        <f t="shared" si="4"/>
        <v/>
      </c>
      <c r="J1139" s="5" t="str">
        <f t="shared" si="5"/>
        <v/>
      </c>
      <c r="K1139" s="5" t="str">
        <f>IFERROR(__xludf.DUMMYFUNCTION("IF(C1139&lt;&gt;"""",HYPERLINK(""https://wa.me/507""&amp;REGEXREPLACE(C1139,""[^0-9]"","""")&amp;""?text=""&amp;ENCODEURL(""Ya llegue. Codigo: ""&amp;A1139&amp;"". Ubicacion: ""&amp;""https://www.google.com/maps/search/?api=1&amp;query=""&amp;SUBSTITUTE(F1139,"" "","""")),""📲 Avisar al clien"&amp;"te""),"""")"),"")</f>
        <v/>
      </c>
      <c r="L1139" s="5" t="str">
        <f>IFERROR(__xludf.DUMMYFUNCTION("IF(C1139&lt;&gt;"""",""https://api.qrserver.com/v1/create-qr-code/?size=200x200&amp;data=""&amp;ENCODEURL(""https://wa.me/507""&amp;REGEXREPLACE(C1139,""[^0-9]"","""")&amp;""?text=""&amp;ENCODEURL(""Ya llegue. Codigo: ""&amp;A1139&amp;"". Ubicacion: ""&amp;""https://www.google.com/maps/search"&amp;"/?api=1&amp;query=""&amp;SUBSTITUTE(F1139,"" "",""""))),"""")"),"")</f>
        <v/>
      </c>
      <c r="M1139" s="5" t="str">
        <f t="shared" si="6"/>
        <v/>
      </c>
      <c r="N1139" s="5" t="str">
        <f>IFERROR(__xludf.DUMMYFUNCTION("IF(AND(F1139&lt;&gt;"""",REGEXMATCH(SUBSTITUTE(F1139,"" "",""""),""^-?\d+(\.\d+)?,-?\d+(\.\d+)?$""),VALUE(REGEXEXTRACT(SUBSTITUTE(F1139,"" "",""""),""^-?\d+(\.\d+)?""))&gt;=-90,VALUE(REGEXEXTRACT(SUBSTITUTE(F1139,"" "",""""),""^-?\d+(\.\d+)?""))&lt;=90,VALUE(REGEXEXT"&amp;"RACT(SUBSTITUTE(F1139,"" "",""""),""-?\d+(\.\d+)?$""))&gt;=-180,VALUE(REGEXEXTRACT(SUBSTITUTE(F1139,"" "",""""),""-?\d+(\.\d+)?$""))&lt;=180),""OK"",""REVISAR"")"),"#N/A")</f>
        <v>#N/A</v>
      </c>
    </row>
    <row r="1140" ht="15.75" customHeight="1">
      <c r="A1140" s="5" t="str">
        <f t="shared" si="1"/>
        <v>AD507-1138</v>
      </c>
      <c r="C1140" s="5"/>
      <c r="F1140" s="5"/>
      <c r="G1140" s="5" t="str">
        <f t="shared" si="2"/>
        <v/>
      </c>
      <c r="H1140" s="5" t="str">
        <f t="shared" si="3"/>
        <v/>
      </c>
      <c r="I1140" s="5" t="str">
        <f t="shared" si="4"/>
        <v/>
      </c>
      <c r="J1140" s="5" t="str">
        <f t="shared" si="5"/>
        <v/>
      </c>
      <c r="K1140" s="5" t="str">
        <f>IFERROR(__xludf.DUMMYFUNCTION("IF(C1140&lt;&gt;"""",HYPERLINK(""https://wa.me/507""&amp;REGEXREPLACE(C1140,""[^0-9]"","""")&amp;""?text=""&amp;ENCODEURL(""Ya llegue. Codigo: ""&amp;A1140&amp;"". Ubicacion: ""&amp;""https://www.google.com/maps/search/?api=1&amp;query=""&amp;SUBSTITUTE(F1140,"" "","""")),""📲 Avisar al clien"&amp;"te""),"""")"),"")</f>
        <v/>
      </c>
      <c r="L1140" s="5" t="str">
        <f>IFERROR(__xludf.DUMMYFUNCTION("IF(C1140&lt;&gt;"""",""https://api.qrserver.com/v1/create-qr-code/?size=200x200&amp;data=""&amp;ENCODEURL(""https://wa.me/507""&amp;REGEXREPLACE(C1140,""[^0-9]"","""")&amp;""?text=""&amp;ENCODEURL(""Ya llegue. Codigo: ""&amp;A1140&amp;"". Ubicacion: ""&amp;""https://www.google.com/maps/search"&amp;"/?api=1&amp;query=""&amp;SUBSTITUTE(F1140,"" "",""""))),"""")"),"")</f>
        <v/>
      </c>
      <c r="M1140" s="5" t="str">
        <f t="shared" si="6"/>
        <v/>
      </c>
      <c r="N1140" s="5" t="str">
        <f>IFERROR(__xludf.DUMMYFUNCTION("IF(AND(F1140&lt;&gt;"""",REGEXMATCH(SUBSTITUTE(F1140,"" "",""""),""^-?\d+(\.\d+)?,-?\d+(\.\d+)?$""),VALUE(REGEXEXTRACT(SUBSTITUTE(F1140,"" "",""""),""^-?\d+(\.\d+)?""))&gt;=-90,VALUE(REGEXEXTRACT(SUBSTITUTE(F1140,"" "",""""),""^-?\d+(\.\d+)?""))&lt;=90,VALUE(REGEXEXT"&amp;"RACT(SUBSTITUTE(F1140,"" "",""""),""-?\d+(\.\d+)?$""))&gt;=-180,VALUE(REGEXEXTRACT(SUBSTITUTE(F1140,"" "",""""),""-?\d+(\.\d+)?$""))&lt;=180),""OK"",""REVISAR"")"),"#N/A")</f>
        <v>#N/A</v>
      </c>
    </row>
    <row r="1141" ht="15.75" customHeight="1">
      <c r="A1141" s="5" t="str">
        <f t="shared" si="1"/>
        <v>AD507-1139</v>
      </c>
      <c r="C1141" s="5"/>
      <c r="F1141" s="5"/>
      <c r="G1141" s="5" t="str">
        <f t="shared" si="2"/>
        <v/>
      </c>
      <c r="H1141" s="5" t="str">
        <f t="shared" si="3"/>
        <v/>
      </c>
      <c r="I1141" s="5" t="str">
        <f t="shared" si="4"/>
        <v/>
      </c>
      <c r="J1141" s="5" t="str">
        <f t="shared" si="5"/>
        <v/>
      </c>
      <c r="K1141" s="5" t="str">
        <f>IFERROR(__xludf.DUMMYFUNCTION("IF(C1141&lt;&gt;"""",HYPERLINK(""https://wa.me/507""&amp;REGEXREPLACE(C1141,""[^0-9]"","""")&amp;""?text=""&amp;ENCODEURL(""Ya llegue. Codigo: ""&amp;A1141&amp;"". Ubicacion: ""&amp;""https://www.google.com/maps/search/?api=1&amp;query=""&amp;SUBSTITUTE(F1141,"" "","""")),""📲 Avisar al clien"&amp;"te""),"""")"),"")</f>
        <v/>
      </c>
      <c r="L1141" s="5" t="str">
        <f>IFERROR(__xludf.DUMMYFUNCTION("IF(C1141&lt;&gt;"""",""https://api.qrserver.com/v1/create-qr-code/?size=200x200&amp;data=""&amp;ENCODEURL(""https://wa.me/507""&amp;REGEXREPLACE(C1141,""[^0-9]"","""")&amp;""?text=""&amp;ENCODEURL(""Ya llegue. Codigo: ""&amp;A1141&amp;"". Ubicacion: ""&amp;""https://www.google.com/maps/search"&amp;"/?api=1&amp;query=""&amp;SUBSTITUTE(F1141,"" "",""""))),"""")"),"")</f>
        <v/>
      </c>
      <c r="M1141" s="5" t="str">
        <f t="shared" si="6"/>
        <v/>
      </c>
      <c r="N1141" s="5" t="str">
        <f>IFERROR(__xludf.DUMMYFUNCTION("IF(AND(F1141&lt;&gt;"""",REGEXMATCH(SUBSTITUTE(F1141,"" "",""""),""^-?\d+(\.\d+)?,-?\d+(\.\d+)?$""),VALUE(REGEXEXTRACT(SUBSTITUTE(F1141,"" "",""""),""^-?\d+(\.\d+)?""))&gt;=-90,VALUE(REGEXEXTRACT(SUBSTITUTE(F1141,"" "",""""),""^-?\d+(\.\d+)?""))&lt;=90,VALUE(REGEXEXT"&amp;"RACT(SUBSTITUTE(F1141,"" "",""""),""-?\d+(\.\d+)?$""))&gt;=-180,VALUE(REGEXEXTRACT(SUBSTITUTE(F1141,"" "",""""),""-?\d+(\.\d+)?$""))&lt;=180),""OK"",""REVISAR"")"),"#N/A")</f>
        <v>#N/A</v>
      </c>
    </row>
    <row r="1142" ht="15.75" customHeight="1">
      <c r="A1142" s="5" t="str">
        <f t="shared" si="1"/>
        <v>AD507-1140</v>
      </c>
      <c r="C1142" s="5"/>
      <c r="F1142" s="5"/>
      <c r="G1142" s="5" t="str">
        <f t="shared" si="2"/>
        <v/>
      </c>
      <c r="H1142" s="5" t="str">
        <f t="shared" si="3"/>
        <v/>
      </c>
      <c r="I1142" s="5" t="str">
        <f t="shared" si="4"/>
        <v/>
      </c>
      <c r="J1142" s="5" t="str">
        <f t="shared" si="5"/>
        <v/>
      </c>
      <c r="K1142" s="5" t="str">
        <f>IFERROR(__xludf.DUMMYFUNCTION("IF(C1142&lt;&gt;"""",HYPERLINK(""https://wa.me/507""&amp;REGEXREPLACE(C1142,""[^0-9]"","""")&amp;""?text=""&amp;ENCODEURL(""Ya llegue. Codigo: ""&amp;A1142&amp;"". Ubicacion: ""&amp;""https://www.google.com/maps/search/?api=1&amp;query=""&amp;SUBSTITUTE(F1142,"" "","""")),""📲 Avisar al clien"&amp;"te""),"""")"),"")</f>
        <v/>
      </c>
      <c r="L1142" s="5" t="str">
        <f>IFERROR(__xludf.DUMMYFUNCTION("IF(C1142&lt;&gt;"""",""https://api.qrserver.com/v1/create-qr-code/?size=200x200&amp;data=""&amp;ENCODEURL(""https://wa.me/507""&amp;REGEXREPLACE(C1142,""[^0-9]"","""")&amp;""?text=""&amp;ENCODEURL(""Ya llegue. Codigo: ""&amp;A1142&amp;"". Ubicacion: ""&amp;""https://www.google.com/maps/search"&amp;"/?api=1&amp;query=""&amp;SUBSTITUTE(F1142,"" "",""""))),"""")"),"")</f>
        <v/>
      </c>
      <c r="M1142" s="5" t="str">
        <f t="shared" si="6"/>
        <v/>
      </c>
      <c r="N1142" s="5" t="str">
        <f>IFERROR(__xludf.DUMMYFUNCTION("IF(AND(F1142&lt;&gt;"""",REGEXMATCH(SUBSTITUTE(F1142,"" "",""""),""^-?\d+(\.\d+)?,-?\d+(\.\d+)?$""),VALUE(REGEXEXTRACT(SUBSTITUTE(F1142,"" "",""""),""^-?\d+(\.\d+)?""))&gt;=-90,VALUE(REGEXEXTRACT(SUBSTITUTE(F1142,"" "",""""),""^-?\d+(\.\d+)?""))&lt;=90,VALUE(REGEXEXT"&amp;"RACT(SUBSTITUTE(F1142,"" "",""""),""-?\d+(\.\d+)?$""))&gt;=-180,VALUE(REGEXEXTRACT(SUBSTITUTE(F1142,"" "",""""),""-?\d+(\.\d+)?$""))&lt;=180),""OK"",""REVISAR"")"),"#N/A")</f>
        <v>#N/A</v>
      </c>
    </row>
    <row r="1143" ht="15.75" customHeight="1">
      <c r="A1143" s="5" t="str">
        <f t="shared" si="1"/>
        <v>AD507-1141</v>
      </c>
      <c r="C1143" s="5"/>
      <c r="F1143" s="5"/>
      <c r="G1143" s="5" t="str">
        <f t="shared" si="2"/>
        <v/>
      </c>
      <c r="H1143" s="5" t="str">
        <f t="shared" si="3"/>
        <v/>
      </c>
      <c r="I1143" s="5" t="str">
        <f t="shared" si="4"/>
        <v/>
      </c>
      <c r="J1143" s="5" t="str">
        <f t="shared" si="5"/>
        <v/>
      </c>
      <c r="K1143" s="5" t="str">
        <f>IFERROR(__xludf.DUMMYFUNCTION("IF(C1143&lt;&gt;"""",HYPERLINK(""https://wa.me/507""&amp;REGEXREPLACE(C1143,""[^0-9]"","""")&amp;""?text=""&amp;ENCODEURL(""Ya llegue. Codigo: ""&amp;A1143&amp;"". Ubicacion: ""&amp;""https://www.google.com/maps/search/?api=1&amp;query=""&amp;SUBSTITUTE(F1143,"" "","""")),""📲 Avisar al clien"&amp;"te""),"""")"),"")</f>
        <v/>
      </c>
      <c r="L1143" s="5" t="str">
        <f>IFERROR(__xludf.DUMMYFUNCTION("IF(C1143&lt;&gt;"""",""https://api.qrserver.com/v1/create-qr-code/?size=200x200&amp;data=""&amp;ENCODEURL(""https://wa.me/507""&amp;REGEXREPLACE(C1143,""[^0-9]"","""")&amp;""?text=""&amp;ENCODEURL(""Ya llegue. Codigo: ""&amp;A1143&amp;"". Ubicacion: ""&amp;""https://www.google.com/maps/search"&amp;"/?api=1&amp;query=""&amp;SUBSTITUTE(F1143,"" "",""""))),"""")"),"")</f>
        <v/>
      </c>
      <c r="M1143" s="5" t="str">
        <f t="shared" si="6"/>
        <v/>
      </c>
      <c r="N1143" s="5" t="str">
        <f>IFERROR(__xludf.DUMMYFUNCTION("IF(AND(F1143&lt;&gt;"""",REGEXMATCH(SUBSTITUTE(F1143,"" "",""""),""^-?\d+(\.\d+)?,-?\d+(\.\d+)?$""),VALUE(REGEXEXTRACT(SUBSTITUTE(F1143,"" "",""""),""^-?\d+(\.\d+)?""))&gt;=-90,VALUE(REGEXEXTRACT(SUBSTITUTE(F1143,"" "",""""),""^-?\d+(\.\d+)?""))&lt;=90,VALUE(REGEXEXT"&amp;"RACT(SUBSTITUTE(F1143,"" "",""""),""-?\d+(\.\d+)?$""))&gt;=-180,VALUE(REGEXEXTRACT(SUBSTITUTE(F1143,"" "",""""),""-?\d+(\.\d+)?$""))&lt;=180),""OK"",""REVISAR"")"),"#N/A")</f>
        <v>#N/A</v>
      </c>
    </row>
    <row r="1144" ht="15.75" customHeight="1">
      <c r="A1144" s="5" t="str">
        <f t="shared" si="1"/>
        <v>AD507-1142</v>
      </c>
      <c r="C1144" s="5"/>
      <c r="F1144" s="5"/>
      <c r="G1144" s="5" t="str">
        <f t="shared" si="2"/>
        <v/>
      </c>
      <c r="H1144" s="5" t="str">
        <f t="shared" si="3"/>
        <v/>
      </c>
      <c r="I1144" s="5" t="str">
        <f t="shared" si="4"/>
        <v/>
      </c>
      <c r="J1144" s="5" t="str">
        <f t="shared" si="5"/>
        <v/>
      </c>
      <c r="K1144" s="5" t="str">
        <f>IFERROR(__xludf.DUMMYFUNCTION("IF(C1144&lt;&gt;"""",HYPERLINK(""https://wa.me/507""&amp;REGEXREPLACE(C1144,""[^0-9]"","""")&amp;""?text=""&amp;ENCODEURL(""Ya llegue. Codigo: ""&amp;A1144&amp;"". Ubicacion: ""&amp;""https://www.google.com/maps/search/?api=1&amp;query=""&amp;SUBSTITUTE(F1144,"" "","""")),""📲 Avisar al clien"&amp;"te""),"""")"),"")</f>
        <v/>
      </c>
      <c r="L1144" s="5" t="str">
        <f>IFERROR(__xludf.DUMMYFUNCTION("IF(C1144&lt;&gt;"""",""https://api.qrserver.com/v1/create-qr-code/?size=200x200&amp;data=""&amp;ENCODEURL(""https://wa.me/507""&amp;REGEXREPLACE(C1144,""[^0-9]"","""")&amp;""?text=""&amp;ENCODEURL(""Ya llegue. Codigo: ""&amp;A1144&amp;"". Ubicacion: ""&amp;""https://www.google.com/maps/search"&amp;"/?api=1&amp;query=""&amp;SUBSTITUTE(F1144,"" "",""""))),"""")"),"")</f>
        <v/>
      </c>
      <c r="M1144" s="5" t="str">
        <f t="shared" si="6"/>
        <v/>
      </c>
      <c r="N1144" s="5" t="str">
        <f>IFERROR(__xludf.DUMMYFUNCTION("IF(AND(F1144&lt;&gt;"""",REGEXMATCH(SUBSTITUTE(F1144,"" "",""""),""^-?\d+(\.\d+)?,-?\d+(\.\d+)?$""),VALUE(REGEXEXTRACT(SUBSTITUTE(F1144,"" "",""""),""^-?\d+(\.\d+)?""))&gt;=-90,VALUE(REGEXEXTRACT(SUBSTITUTE(F1144,"" "",""""),""^-?\d+(\.\d+)?""))&lt;=90,VALUE(REGEXEXT"&amp;"RACT(SUBSTITUTE(F1144,"" "",""""),""-?\d+(\.\d+)?$""))&gt;=-180,VALUE(REGEXEXTRACT(SUBSTITUTE(F1144,"" "",""""),""-?\d+(\.\d+)?$""))&lt;=180),""OK"",""REVISAR"")"),"#N/A")</f>
        <v>#N/A</v>
      </c>
    </row>
    <row r="1145" ht="15.75" customHeight="1">
      <c r="A1145" s="5" t="str">
        <f t="shared" si="1"/>
        <v>AD507-1143</v>
      </c>
      <c r="C1145" s="5"/>
      <c r="F1145" s="5"/>
      <c r="G1145" s="5" t="str">
        <f t="shared" si="2"/>
        <v/>
      </c>
      <c r="H1145" s="5" t="str">
        <f t="shared" si="3"/>
        <v/>
      </c>
      <c r="I1145" s="5" t="str">
        <f t="shared" si="4"/>
        <v/>
      </c>
      <c r="J1145" s="5" t="str">
        <f t="shared" si="5"/>
        <v/>
      </c>
      <c r="K1145" s="5" t="str">
        <f>IFERROR(__xludf.DUMMYFUNCTION("IF(C1145&lt;&gt;"""",HYPERLINK(""https://wa.me/507""&amp;REGEXREPLACE(C1145,""[^0-9]"","""")&amp;""?text=""&amp;ENCODEURL(""Ya llegue. Codigo: ""&amp;A1145&amp;"". Ubicacion: ""&amp;""https://www.google.com/maps/search/?api=1&amp;query=""&amp;SUBSTITUTE(F1145,"" "","""")),""📲 Avisar al clien"&amp;"te""),"""")"),"")</f>
        <v/>
      </c>
      <c r="L1145" s="5" t="str">
        <f>IFERROR(__xludf.DUMMYFUNCTION("IF(C1145&lt;&gt;"""",""https://api.qrserver.com/v1/create-qr-code/?size=200x200&amp;data=""&amp;ENCODEURL(""https://wa.me/507""&amp;REGEXREPLACE(C1145,""[^0-9]"","""")&amp;""?text=""&amp;ENCODEURL(""Ya llegue. Codigo: ""&amp;A1145&amp;"". Ubicacion: ""&amp;""https://www.google.com/maps/search"&amp;"/?api=1&amp;query=""&amp;SUBSTITUTE(F1145,"" "",""""))),"""")"),"")</f>
        <v/>
      </c>
      <c r="M1145" s="5" t="str">
        <f t="shared" si="6"/>
        <v/>
      </c>
      <c r="N1145" s="5" t="str">
        <f>IFERROR(__xludf.DUMMYFUNCTION("IF(AND(F1145&lt;&gt;"""",REGEXMATCH(SUBSTITUTE(F1145,"" "",""""),""^-?\d+(\.\d+)?,-?\d+(\.\d+)?$""),VALUE(REGEXEXTRACT(SUBSTITUTE(F1145,"" "",""""),""^-?\d+(\.\d+)?""))&gt;=-90,VALUE(REGEXEXTRACT(SUBSTITUTE(F1145,"" "",""""),""^-?\d+(\.\d+)?""))&lt;=90,VALUE(REGEXEXT"&amp;"RACT(SUBSTITUTE(F1145,"" "",""""),""-?\d+(\.\d+)?$""))&gt;=-180,VALUE(REGEXEXTRACT(SUBSTITUTE(F1145,"" "",""""),""-?\d+(\.\d+)?$""))&lt;=180),""OK"",""REVISAR"")"),"#N/A")</f>
        <v>#N/A</v>
      </c>
    </row>
    <row r="1146" ht="15.75" customHeight="1">
      <c r="A1146" s="5" t="str">
        <f t="shared" si="1"/>
        <v>AD507-1144</v>
      </c>
      <c r="C1146" s="5"/>
      <c r="F1146" s="5"/>
      <c r="G1146" s="5" t="str">
        <f t="shared" si="2"/>
        <v/>
      </c>
      <c r="H1146" s="5" t="str">
        <f t="shared" si="3"/>
        <v/>
      </c>
      <c r="I1146" s="5" t="str">
        <f t="shared" si="4"/>
        <v/>
      </c>
      <c r="J1146" s="5" t="str">
        <f t="shared" si="5"/>
        <v/>
      </c>
      <c r="K1146" s="5" t="str">
        <f>IFERROR(__xludf.DUMMYFUNCTION("IF(C1146&lt;&gt;"""",HYPERLINK(""https://wa.me/507""&amp;REGEXREPLACE(C1146,""[^0-9]"","""")&amp;""?text=""&amp;ENCODEURL(""Ya llegue. Codigo: ""&amp;A1146&amp;"". Ubicacion: ""&amp;""https://www.google.com/maps/search/?api=1&amp;query=""&amp;SUBSTITUTE(F1146,"" "","""")),""📲 Avisar al clien"&amp;"te""),"""")"),"")</f>
        <v/>
      </c>
      <c r="L1146" s="5" t="str">
        <f>IFERROR(__xludf.DUMMYFUNCTION("IF(C1146&lt;&gt;"""",""https://api.qrserver.com/v1/create-qr-code/?size=200x200&amp;data=""&amp;ENCODEURL(""https://wa.me/507""&amp;REGEXREPLACE(C1146,""[^0-9]"","""")&amp;""?text=""&amp;ENCODEURL(""Ya llegue. Codigo: ""&amp;A1146&amp;"". Ubicacion: ""&amp;""https://www.google.com/maps/search"&amp;"/?api=1&amp;query=""&amp;SUBSTITUTE(F1146,"" "",""""))),"""")"),"")</f>
        <v/>
      </c>
      <c r="M1146" s="5" t="str">
        <f t="shared" si="6"/>
        <v/>
      </c>
      <c r="N1146" s="5" t="str">
        <f>IFERROR(__xludf.DUMMYFUNCTION("IF(AND(F1146&lt;&gt;"""",REGEXMATCH(SUBSTITUTE(F1146,"" "",""""),""^-?\d+(\.\d+)?,-?\d+(\.\d+)?$""),VALUE(REGEXEXTRACT(SUBSTITUTE(F1146,"" "",""""),""^-?\d+(\.\d+)?""))&gt;=-90,VALUE(REGEXEXTRACT(SUBSTITUTE(F1146,"" "",""""),""^-?\d+(\.\d+)?""))&lt;=90,VALUE(REGEXEXT"&amp;"RACT(SUBSTITUTE(F1146,"" "",""""),""-?\d+(\.\d+)?$""))&gt;=-180,VALUE(REGEXEXTRACT(SUBSTITUTE(F1146,"" "",""""),""-?\d+(\.\d+)?$""))&lt;=180),""OK"",""REVISAR"")"),"#N/A")</f>
        <v>#N/A</v>
      </c>
    </row>
    <row r="1147" ht="15.75" customHeight="1">
      <c r="A1147" s="5" t="str">
        <f t="shared" si="1"/>
        <v>AD507-1145</v>
      </c>
      <c r="C1147" s="5"/>
      <c r="F1147" s="5"/>
      <c r="G1147" s="5" t="str">
        <f t="shared" si="2"/>
        <v/>
      </c>
      <c r="H1147" s="5" t="str">
        <f t="shared" si="3"/>
        <v/>
      </c>
      <c r="I1147" s="5" t="str">
        <f t="shared" si="4"/>
        <v/>
      </c>
      <c r="J1147" s="5" t="str">
        <f t="shared" si="5"/>
        <v/>
      </c>
      <c r="K1147" s="5" t="str">
        <f>IFERROR(__xludf.DUMMYFUNCTION("IF(C1147&lt;&gt;"""",HYPERLINK(""https://wa.me/507""&amp;REGEXREPLACE(C1147,""[^0-9]"","""")&amp;""?text=""&amp;ENCODEURL(""Ya llegue. Codigo: ""&amp;A1147&amp;"". Ubicacion: ""&amp;""https://www.google.com/maps/search/?api=1&amp;query=""&amp;SUBSTITUTE(F1147,"" "","""")),""📲 Avisar al clien"&amp;"te""),"""")"),"")</f>
        <v/>
      </c>
      <c r="L1147" s="5" t="str">
        <f>IFERROR(__xludf.DUMMYFUNCTION("IF(C1147&lt;&gt;"""",""https://api.qrserver.com/v1/create-qr-code/?size=200x200&amp;data=""&amp;ENCODEURL(""https://wa.me/507""&amp;REGEXREPLACE(C1147,""[^0-9]"","""")&amp;""?text=""&amp;ENCODEURL(""Ya llegue. Codigo: ""&amp;A1147&amp;"". Ubicacion: ""&amp;""https://www.google.com/maps/search"&amp;"/?api=1&amp;query=""&amp;SUBSTITUTE(F1147,"" "",""""))),"""")"),"")</f>
        <v/>
      </c>
      <c r="M1147" s="5" t="str">
        <f t="shared" si="6"/>
        <v/>
      </c>
      <c r="N1147" s="5" t="str">
        <f>IFERROR(__xludf.DUMMYFUNCTION("IF(AND(F1147&lt;&gt;"""",REGEXMATCH(SUBSTITUTE(F1147,"" "",""""),""^-?\d+(\.\d+)?,-?\d+(\.\d+)?$""),VALUE(REGEXEXTRACT(SUBSTITUTE(F1147,"" "",""""),""^-?\d+(\.\d+)?""))&gt;=-90,VALUE(REGEXEXTRACT(SUBSTITUTE(F1147,"" "",""""),""^-?\d+(\.\d+)?""))&lt;=90,VALUE(REGEXEXT"&amp;"RACT(SUBSTITUTE(F1147,"" "",""""),""-?\d+(\.\d+)?$""))&gt;=-180,VALUE(REGEXEXTRACT(SUBSTITUTE(F1147,"" "",""""),""-?\d+(\.\d+)?$""))&lt;=180),""OK"",""REVISAR"")"),"#N/A")</f>
        <v>#N/A</v>
      </c>
    </row>
    <row r="1148" ht="15.75" customHeight="1">
      <c r="A1148" s="5" t="str">
        <f t="shared" si="1"/>
        <v>AD507-1146</v>
      </c>
      <c r="C1148" s="5"/>
      <c r="F1148" s="5"/>
      <c r="G1148" s="5" t="str">
        <f t="shared" si="2"/>
        <v/>
      </c>
      <c r="H1148" s="5" t="str">
        <f t="shared" si="3"/>
        <v/>
      </c>
      <c r="I1148" s="5" t="str">
        <f t="shared" si="4"/>
        <v/>
      </c>
      <c r="J1148" s="5" t="str">
        <f t="shared" si="5"/>
        <v/>
      </c>
      <c r="K1148" s="5" t="str">
        <f>IFERROR(__xludf.DUMMYFUNCTION("IF(C1148&lt;&gt;"""",HYPERLINK(""https://wa.me/507""&amp;REGEXREPLACE(C1148,""[^0-9]"","""")&amp;""?text=""&amp;ENCODEURL(""Ya llegue. Codigo: ""&amp;A1148&amp;"". Ubicacion: ""&amp;""https://www.google.com/maps/search/?api=1&amp;query=""&amp;SUBSTITUTE(F1148,"" "","""")),""📲 Avisar al clien"&amp;"te""),"""")"),"")</f>
        <v/>
      </c>
      <c r="L1148" s="5" t="str">
        <f>IFERROR(__xludf.DUMMYFUNCTION("IF(C1148&lt;&gt;"""",""https://api.qrserver.com/v1/create-qr-code/?size=200x200&amp;data=""&amp;ENCODEURL(""https://wa.me/507""&amp;REGEXREPLACE(C1148,""[^0-9]"","""")&amp;""?text=""&amp;ENCODEURL(""Ya llegue. Codigo: ""&amp;A1148&amp;"". Ubicacion: ""&amp;""https://www.google.com/maps/search"&amp;"/?api=1&amp;query=""&amp;SUBSTITUTE(F1148,"" "",""""))),"""")"),"")</f>
        <v/>
      </c>
      <c r="M1148" s="5" t="str">
        <f t="shared" si="6"/>
        <v/>
      </c>
      <c r="N1148" s="5" t="str">
        <f>IFERROR(__xludf.DUMMYFUNCTION("IF(AND(F1148&lt;&gt;"""",REGEXMATCH(SUBSTITUTE(F1148,"" "",""""),""^-?\d+(\.\d+)?,-?\d+(\.\d+)?$""),VALUE(REGEXEXTRACT(SUBSTITUTE(F1148,"" "",""""),""^-?\d+(\.\d+)?""))&gt;=-90,VALUE(REGEXEXTRACT(SUBSTITUTE(F1148,"" "",""""),""^-?\d+(\.\d+)?""))&lt;=90,VALUE(REGEXEXT"&amp;"RACT(SUBSTITUTE(F1148,"" "",""""),""-?\d+(\.\d+)?$""))&gt;=-180,VALUE(REGEXEXTRACT(SUBSTITUTE(F1148,"" "",""""),""-?\d+(\.\d+)?$""))&lt;=180),""OK"",""REVISAR"")"),"#N/A")</f>
        <v>#N/A</v>
      </c>
    </row>
    <row r="1149" ht="15.75" customHeight="1">
      <c r="A1149" s="5" t="str">
        <f t="shared" si="1"/>
        <v>AD507-1147</v>
      </c>
      <c r="C1149" s="5"/>
      <c r="F1149" s="5"/>
      <c r="G1149" s="5" t="str">
        <f t="shared" si="2"/>
        <v/>
      </c>
      <c r="H1149" s="5" t="str">
        <f t="shared" si="3"/>
        <v/>
      </c>
      <c r="I1149" s="5" t="str">
        <f t="shared" si="4"/>
        <v/>
      </c>
      <c r="J1149" s="5" t="str">
        <f t="shared" si="5"/>
        <v/>
      </c>
      <c r="K1149" s="5" t="str">
        <f>IFERROR(__xludf.DUMMYFUNCTION("IF(C1149&lt;&gt;"""",HYPERLINK(""https://wa.me/507""&amp;REGEXREPLACE(C1149,""[^0-9]"","""")&amp;""?text=""&amp;ENCODEURL(""Ya llegue. Codigo: ""&amp;A1149&amp;"". Ubicacion: ""&amp;""https://www.google.com/maps/search/?api=1&amp;query=""&amp;SUBSTITUTE(F1149,"" "","""")),""📲 Avisar al clien"&amp;"te""),"""")"),"")</f>
        <v/>
      </c>
      <c r="L1149" s="5" t="str">
        <f>IFERROR(__xludf.DUMMYFUNCTION("IF(C1149&lt;&gt;"""",""https://api.qrserver.com/v1/create-qr-code/?size=200x200&amp;data=""&amp;ENCODEURL(""https://wa.me/507""&amp;REGEXREPLACE(C1149,""[^0-9]"","""")&amp;""?text=""&amp;ENCODEURL(""Ya llegue. Codigo: ""&amp;A1149&amp;"". Ubicacion: ""&amp;""https://www.google.com/maps/search"&amp;"/?api=1&amp;query=""&amp;SUBSTITUTE(F1149,"" "",""""))),"""")"),"")</f>
        <v/>
      </c>
      <c r="M1149" s="5" t="str">
        <f t="shared" si="6"/>
        <v/>
      </c>
      <c r="N1149" s="5" t="str">
        <f>IFERROR(__xludf.DUMMYFUNCTION("IF(AND(F1149&lt;&gt;"""",REGEXMATCH(SUBSTITUTE(F1149,"" "",""""),""^-?\d+(\.\d+)?,-?\d+(\.\d+)?$""),VALUE(REGEXEXTRACT(SUBSTITUTE(F1149,"" "",""""),""^-?\d+(\.\d+)?""))&gt;=-90,VALUE(REGEXEXTRACT(SUBSTITUTE(F1149,"" "",""""),""^-?\d+(\.\d+)?""))&lt;=90,VALUE(REGEXEXT"&amp;"RACT(SUBSTITUTE(F1149,"" "",""""),""-?\d+(\.\d+)?$""))&gt;=-180,VALUE(REGEXEXTRACT(SUBSTITUTE(F1149,"" "",""""),""-?\d+(\.\d+)?$""))&lt;=180),""OK"",""REVISAR"")"),"#N/A")</f>
        <v>#N/A</v>
      </c>
    </row>
    <row r="1150" ht="15.75" customHeight="1">
      <c r="A1150" s="5" t="str">
        <f t="shared" si="1"/>
        <v>AD507-1148</v>
      </c>
      <c r="C1150" s="5"/>
      <c r="F1150" s="5"/>
      <c r="G1150" s="5" t="str">
        <f t="shared" si="2"/>
        <v/>
      </c>
      <c r="H1150" s="5" t="str">
        <f t="shared" si="3"/>
        <v/>
      </c>
      <c r="I1150" s="5" t="str">
        <f t="shared" si="4"/>
        <v/>
      </c>
      <c r="J1150" s="5" t="str">
        <f t="shared" si="5"/>
        <v/>
      </c>
      <c r="K1150" s="5" t="str">
        <f>IFERROR(__xludf.DUMMYFUNCTION("IF(C1150&lt;&gt;"""",HYPERLINK(""https://wa.me/507""&amp;REGEXREPLACE(C1150,""[^0-9]"","""")&amp;""?text=""&amp;ENCODEURL(""Ya llegue. Codigo: ""&amp;A1150&amp;"". Ubicacion: ""&amp;""https://www.google.com/maps/search/?api=1&amp;query=""&amp;SUBSTITUTE(F1150,"" "","""")),""📲 Avisar al clien"&amp;"te""),"""")"),"")</f>
        <v/>
      </c>
      <c r="L1150" s="5" t="str">
        <f>IFERROR(__xludf.DUMMYFUNCTION("IF(C1150&lt;&gt;"""",""https://api.qrserver.com/v1/create-qr-code/?size=200x200&amp;data=""&amp;ENCODEURL(""https://wa.me/507""&amp;REGEXREPLACE(C1150,""[^0-9]"","""")&amp;""?text=""&amp;ENCODEURL(""Ya llegue. Codigo: ""&amp;A1150&amp;"". Ubicacion: ""&amp;""https://www.google.com/maps/search"&amp;"/?api=1&amp;query=""&amp;SUBSTITUTE(F1150,"" "",""""))),"""")"),"")</f>
        <v/>
      </c>
      <c r="M1150" s="5" t="str">
        <f t="shared" si="6"/>
        <v/>
      </c>
      <c r="N1150" s="5" t="str">
        <f>IFERROR(__xludf.DUMMYFUNCTION("IF(AND(F1150&lt;&gt;"""",REGEXMATCH(SUBSTITUTE(F1150,"" "",""""),""^-?\d+(\.\d+)?,-?\d+(\.\d+)?$""),VALUE(REGEXEXTRACT(SUBSTITUTE(F1150,"" "",""""),""^-?\d+(\.\d+)?""))&gt;=-90,VALUE(REGEXEXTRACT(SUBSTITUTE(F1150,"" "",""""),""^-?\d+(\.\d+)?""))&lt;=90,VALUE(REGEXEXT"&amp;"RACT(SUBSTITUTE(F1150,"" "",""""),""-?\d+(\.\d+)?$""))&gt;=-180,VALUE(REGEXEXTRACT(SUBSTITUTE(F1150,"" "",""""),""-?\d+(\.\d+)?$""))&lt;=180),""OK"",""REVISAR"")"),"#N/A")</f>
        <v>#N/A</v>
      </c>
    </row>
    <row r="1151" ht="15.75" customHeight="1">
      <c r="A1151" s="5" t="str">
        <f t="shared" si="1"/>
        <v>AD507-1149</v>
      </c>
      <c r="C1151" s="5"/>
      <c r="F1151" s="5"/>
      <c r="G1151" s="5" t="str">
        <f t="shared" si="2"/>
        <v/>
      </c>
      <c r="H1151" s="5" t="str">
        <f t="shared" si="3"/>
        <v/>
      </c>
      <c r="I1151" s="5" t="str">
        <f t="shared" si="4"/>
        <v/>
      </c>
      <c r="J1151" s="5" t="str">
        <f t="shared" si="5"/>
        <v/>
      </c>
      <c r="K1151" s="5" t="str">
        <f>IFERROR(__xludf.DUMMYFUNCTION("IF(C1151&lt;&gt;"""",HYPERLINK(""https://wa.me/507""&amp;REGEXREPLACE(C1151,""[^0-9]"","""")&amp;""?text=""&amp;ENCODEURL(""Ya llegue. Codigo: ""&amp;A1151&amp;"". Ubicacion: ""&amp;""https://www.google.com/maps/search/?api=1&amp;query=""&amp;SUBSTITUTE(F1151,"" "","""")),""📲 Avisar al clien"&amp;"te""),"""")"),"")</f>
        <v/>
      </c>
      <c r="L1151" s="5" t="str">
        <f>IFERROR(__xludf.DUMMYFUNCTION("IF(C1151&lt;&gt;"""",""https://api.qrserver.com/v1/create-qr-code/?size=200x200&amp;data=""&amp;ENCODEURL(""https://wa.me/507""&amp;REGEXREPLACE(C1151,""[^0-9]"","""")&amp;""?text=""&amp;ENCODEURL(""Ya llegue. Codigo: ""&amp;A1151&amp;"". Ubicacion: ""&amp;""https://www.google.com/maps/search"&amp;"/?api=1&amp;query=""&amp;SUBSTITUTE(F1151,"" "",""""))),"""")"),"")</f>
        <v/>
      </c>
      <c r="M1151" s="5" t="str">
        <f t="shared" si="6"/>
        <v/>
      </c>
      <c r="N1151" s="5" t="str">
        <f>IFERROR(__xludf.DUMMYFUNCTION("IF(AND(F1151&lt;&gt;"""",REGEXMATCH(SUBSTITUTE(F1151,"" "",""""),""^-?\d+(\.\d+)?,-?\d+(\.\d+)?$""),VALUE(REGEXEXTRACT(SUBSTITUTE(F1151,"" "",""""),""^-?\d+(\.\d+)?""))&gt;=-90,VALUE(REGEXEXTRACT(SUBSTITUTE(F1151,"" "",""""),""^-?\d+(\.\d+)?""))&lt;=90,VALUE(REGEXEXT"&amp;"RACT(SUBSTITUTE(F1151,"" "",""""),""-?\d+(\.\d+)?$""))&gt;=-180,VALUE(REGEXEXTRACT(SUBSTITUTE(F1151,"" "",""""),""-?\d+(\.\d+)?$""))&lt;=180),""OK"",""REVISAR"")"),"#N/A")</f>
        <v>#N/A</v>
      </c>
    </row>
    <row r="1152" ht="15.75" customHeight="1">
      <c r="A1152" s="5" t="str">
        <f t="shared" si="1"/>
        <v>AD507-1150</v>
      </c>
      <c r="C1152" s="5"/>
      <c r="F1152" s="5"/>
      <c r="G1152" s="5" t="str">
        <f t="shared" si="2"/>
        <v/>
      </c>
      <c r="H1152" s="5" t="str">
        <f t="shared" si="3"/>
        <v/>
      </c>
      <c r="I1152" s="5" t="str">
        <f t="shared" si="4"/>
        <v/>
      </c>
      <c r="J1152" s="5" t="str">
        <f t="shared" si="5"/>
        <v/>
      </c>
      <c r="K1152" s="5" t="str">
        <f>IFERROR(__xludf.DUMMYFUNCTION("IF(C1152&lt;&gt;"""",HYPERLINK(""https://wa.me/507""&amp;REGEXREPLACE(C1152,""[^0-9]"","""")&amp;""?text=""&amp;ENCODEURL(""Ya llegue. Codigo: ""&amp;A1152&amp;"". Ubicacion: ""&amp;""https://www.google.com/maps/search/?api=1&amp;query=""&amp;SUBSTITUTE(F1152,"" "","""")),""📲 Avisar al clien"&amp;"te""),"""")"),"")</f>
        <v/>
      </c>
      <c r="L1152" s="5" t="str">
        <f>IFERROR(__xludf.DUMMYFUNCTION("IF(C1152&lt;&gt;"""",""https://api.qrserver.com/v1/create-qr-code/?size=200x200&amp;data=""&amp;ENCODEURL(""https://wa.me/507""&amp;REGEXREPLACE(C1152,""[^0-9]"","""")&amp;""?text=""&amp;ENCODEURL(""Ya llegue. Codigo: ""&amp;A1152&amp;"". Ubicacion: ""&amp;""https://www.google.com/maps/search"&amp;"/?api=1&amp;query=""&amp;SUBSTITUTE(F1152,"" "",""""))),"""")"),"")</f>
        <v/>
      </c>
      <c r="M1152" s="5" t="str">
        <f t="shared" si="6"/>
        <v/>
      </c>
      <c r="N1152" s="5" t="str">
        <f>IFERROR(__xludf.DUMMYFUNCTION("IF(AND(F1152&lt;&gt;"""",REGEXMATCH(SUBSTITUTE(F1152,"" "",""""),""^-?\d+(\.\d+)?,-?\d+(\.\d+)?$""),VALUE(REGEXEXTRACT(SUBSTITUTE(F1152,"" "",""""),""^-?\d+(\.\d+)?""))&gt;=-90,VALUE(REGEXEXTRACT(SUBSTITUTE(F1152,"" "",""""),""^-?\d+(\.\d+)?""))&lt;=90,VALUE(REGEXEXT"&amp;"RACT(SUBSTITUTE(F1152,"" "",""""),""-?\d+(\.\d+)?$""))&gt;=-180,VALUE(REGEXEXTRACT(SUBSTITUTE(F1152,"" "",""""),""-?\d+(\.\d+)?$""))&lt;=180),""OK"",""REVISAR"")"),"#N/A")</f>
        <v>#N/A</v>
      </c>
    </row>
    <row r="1153" ht="15.75" customHeight="1">
      <c r="A1153" s="5" t="str">
        <f t="shared" si="1"/>
        <v>AD507-1151</v>
      </c>
      <c r="C1153" s="5"/>
      <c r="F1153" s="5"/>
      <c r="G1153" s="5" t="str">
        <f t="shared" si="2"/>
        <v/>
      </c>
      <c r="H1153" s="5" t="str">
        <f t="shared" si="3"/>
        <v/>
      </c>
      <c r="I1153" s="5" t="str">
        <f t="shared" si="4"/>
        <v/>
      </c>
      <c r="J1153" s="5" t="str">
        <f t="shared" si="5"/>
        <v/>
      </c>
      <c r="K1153" s="5" t="str">
        <f>IFERROR(__xludf.DUMMYFUNCTION("IF(C1153&lt;&gt;"""",HYPERLINK(""https://wa.me/507""&amp;REGEXREPLACE(C1153,""[^0-9]"","""")&amp;""?text=""&amp;ENCODEURL(""Ya llegue. Codigo: ""&amp;A1153&amp;"". Ubicacion: ""&amp;""https://www.google.com/maps/search/?api=1&amp;query=""&amp;SUBSTITUTE(F1153,"" "","""")),""📲 Avisar al clien"&amp;"te""),"""")"),"")</f>
        <v/>
      </c>
      <c r="L1153" s="5" t="str">
        <f>IFERROR(__xludf.DUMMYFUNCTION("IF(C1153&lt;&gt;"""",""https://api.qrserver.com/v1/create-qr-code/?size=200x200&amp;data=""&amp;ENCODEURL(""https://wa.me/507""&amp;REGEXREPLACE(C1153,""[^0-9]"","""")&amp;""?text=""&amp;ENCODEURL(""Ya llegue. Codigo: ""&amp;A1153&amp;"". Ubicacion: ""&amp;""https://www.google.com/maps/search"&amp;"/?api=1&amp;query=""&amp;SUBSTITUTE(F1153,"" "",""""))),"""")"),"")</f>
        <v/>
      </c>
      <c r="M1153" s="5" t="str">
        <f t="shared" si="6"/>
        <v/>
      </c>
      <c r="N1153" s="5" t="str">
        <f>IFERROR(__xludf.DUMMYFUNCTION("IF(AND(F1153&lt;&gt;"""",REGEXMATCH(SUBSTITUTE(F1153,"" "",""""),""^-?\d+(\.\d+)?,-?\d+(\.\d+)?$""),VALUE(REGEXEXTRACT(SUBSTITUTE(F1153,"" "",""""),""^-?\d+(\.\d+)?""))&gt;=-90,VALUE(REGEXEXTRACT(SUBSTITUTE(F1153,"" "",""""),""^-?\d+(\.\d+)?""))&lt;=90,VALUE(REGEXEXT"&amp;"RACT(SUBSTITUTE(F1153,"" "",""""),""-?\d+(\.\d+)?$""))&gt;=-180,VALUE(REGEXEXTRACT(SUBSTITUTE(F1153,"" "",""""),""-?\d+(\.\d+)?$""))&lt;=180),""OK"",""REVISAR"")"),"#N/A")</f>
        <v>#N/A</v>
      </c>
    </row>
    <row r="1154" ht="15.75" customHeight="1">
      <c r="A1154" s="5" t="str">
        <f t="shared" si="1"/>
        <v>AD507-1152</v>
      </c>
      <c r="C1154" s="5"/>
      <c r="F1154" s="5"/>
      <c r="G1154" s="5" t="str">
        <f t="shared" si="2"/>
        <v/>
      </c>
      <c r="H1154" s="5" t="str">
        <f t="shared" si="3"/>
        <v/>
      </c>
      <c r="I1154" s="5" t="str">
        <f t="shared" si="4"/>
        <v/>
      </c>
      <c r="J1154" s="5" t="str">
        <f t="shared" si="5"/>
        <v/>
      </c>
      <c r="K1154" s="5" t="str">
        <f>IFERROR(__xludf.DUMMYFUNCTION("IF(C1154&lt;&gt;"""",HYPERLINK(""https://wa.me/507""&amp;REGEXREPLACE(C1154,""[^0-9]"","""")&amp;""?text=""&amp;ENCODEURL(""Ya llegue. Codigo: ""&amp;A1154&amp;"". Ubicacion: ""&amp;""https://www.google.com/maps/search/?api=1&amp;query=""&amp;SUBSTITUTE(F1154,"" "","""")),""📲 Avisar al clien"&amp;"te""),"""")"),"")</f>
        <v/>
      </c>
      <c r="L1154" s="5" t="str">
        <f>IFERROR(__xludf.DUMMYFUNCTION("IF(C1154&lt;&gt;"""",""https://api.qrserver.com/v1/create-qr-code/?size=200x200&amp;data=""&amp;ENCODEURL(""https://wa.me/507""&amp;REGEXREPLACE(C1154,""[^0-9]"","""")&amp;""?text=""&amp;ENCODEURL(""Ya llegue. Codigo: ""&amp;A1154&amp;"". Ubicacion: ""&amp;""https://www.google.com/maps/search"&amp;"/?api=1&amp;query=""&amp;SUBSTITUTE(F1154,"" "",""""))),"""")"),"")</f>
        <v/>
      </c>
      <c r="M1154" s="5" t="str">
        <f t="shared" si="6"/>
        <v/>
      </c>
      <c r="N1154" s="5" t="str">
        <f>IFERROR(__xludf.DUMMYFUNCTION("IF(AND(F1154&lt;&gt;"""",REGEXMATCH(SUBSTITUTE(F1154,"" "",""""),""^-?\d+(\.\d+)?,-?\d+(\.\d+)?$""),VALUE(REGEXEXTRACT(SUBSTITUTE(F1154,"" "",""""),""^-?\d+(\.\d+)?""))&gt;=-90,VALUE(REGEXEXTRACT(SUBSTITUTE(F1154,"" "",""""),""^-?\d+(\.\d+)?""))&lt;=90,VALUE(REGEXEXT"&amp;"RACT(SUBSTITUTE(F1154,"" "",""""),""-?\d+(\.\d+)?$""))&gt;=-180,VALUE(REGEXEXTRACT(SUBSTITUTE(F1154,"" "",""""),""-?\d+(\.\d+)?$""))&lt;=180),""OK"",""REVISAR"")"),"#N/A")</f>
        <v>#N/A</v>
      </c>
    </row>
    <row r="1155" ht="15.75" customHeight="1">
      <c r="A1155" s="5" t="str">
        <f t="shared" si="1"/>
        <v>AD507-1153</v>
      </c>
      <c r="C1155" s="5"/>
      <c r="F1155" s="5"/>
      <c r="G1155" s="5" t="str">
        <f t="shared" si="2"/>
        <v/>
      </c>
      <c r="H1155" s="5" t="str">
        <f t="shared" si="3"/>
        <v/>
      </c>
      <c r="I1155" s="5" t="str">
        <f t="shared" si="4"/>
        <v/>
      </c>
      <c r="J1155" s="5" t="str">
        <f t="shared" si="5"/>
        <v/>
      </c>
      <c r="K1155" s="5" t="str">
        <f>IFERROR(__xludf.DUMMYFUNCTION("IF(C1155&lt;&gt;"""",HYPERLINK(""https://wa.me/507""&amp;REGEXREPLACE(C1155,""[^0-9]"","""")&amp;""?text=""&amp;ENCODEURL(""Ya llegue. Codigo: ""&amp;A1155&amp;"". Ubicacion: ""&amp;""https://www.google.com/maps/search/?api=1&amp;query=""&amp;SUBSTITUTE(F1155,"" "","""")),""📲 Avisar al clien"&amp;"te""),"""")"),"")</f>
        <v/>
      </c>
      <c r="L1155" s="5" t="str">
        <f>IFERROR(__xludf.DUMMYFUNCTION("IF(C1155&lt;&gt;"""",""https://api.qrserver.com/v1/create-qr-code/?size=200x200&amp;data=""&amp;ENCODEURL(""https://wa.me/507""&amp;REGEXREPLACE(C1155,""[^0-9]"","""")&amp;""?text=""&amp;ENCODEURL(""Ya llegue. Codigo: ""&amp;A1155&amp;"". Ubicacion: ""&amp;""https://www.google.com/maps/search"&amp;"/?api=1&amp;query=""&amp;SUBSTITUTE(F1155,"" "",""""))),"""")"),"")</f>
        <v/>
      </c>
      <c r="M1155" s="5" t="str">
        <f t="shared" si="6"/>
        <v/>
      </c>
      <c r="N1155" s="5" t="str">
        <f>IFERROR(__xludf.DUMMYFUNCTION("IF(AND(F1155&lt;&gt;"""",REGEXMATCH(SUBSTITUTE(F1155,"" "",""""),""^-?\d+(\.\d+)?,-?\d+(\.\d+)?$""),VALUE(REGEXEXTRACT(SUBSTITUTE(F1155,"" "",""""),""^-?\d+(\.\d+)?""))&gt;=-90,VALUE(REGEXEXTRACT(SUBSTITUTE(F1155,"" "",""""),""^-?\d+(\.\d+)?""))&lt;=90,VALUE(REGEXEXT"&amp;"RACT(SUBSTITUTE(F1155,"" "",""""),""-?\d+(\.\d+)?$""))&gt;=-180,VALUE(REGEXEXTRACT(SUBSTITUTE(F1155,"" "",""""),""-?\d+(\.\d+)?$""))&lt;=180),""OK"",""REVISAR"")"),"#N/A")</f>
        <v>#N/A</v>
      </c>
    </row>
    <row r="1156" ht="15.75" customHeight="1">
      <c r="A1156" s="5" t="str">
        <f t="shared" si="1"/>
        <v>AD507-1154</v>
      </c>
      <c r="C1156" s="5"/>
      <c r="F1156" s="5"/>
      <c r="G1156" s="5" t="str">
        <f t="shared" si="2"/>
        <v/>
      </c>
      <c r="H1156" s="5" t="str">
        <f t="shared" si="3"/>
        <v/>
      </c>
      <c r="I1156" s="5" t="str">
        <f t="shared" si="4"/>
        <v/>
      </c>
      <c r="J1156" s="5" t="str">
        <f t="shared" si="5"/>
        <v/>
      </c>
      <c r="K1156" s="5" t="str">
        <f>IFERROR(__xludf.DUMMYFUNCTION("IF(C1156&lt;&gt;"""",HYPERLINK(""https://wa.me/507""&amp;REGEXREPLACE(C1156,""[^0-9]"","""")&amp;""?text=""&amp;ENCODEURL(""Ya llegue. Codigo: ""&amp;A1156&amp;"". Ubicacion: ""&amp;""https://www.google.com/maps/search/?api=1&amp;query=""&amp;SUBSTITUTE(F1156,"" "","""")),""📲 Avisar al clien"&amp;"te""),"""")"),"")</f>
        <v/>
      </c>
      <c r="L1156" s="5" t="str">
        <f>IFERROR(__xludf.DUMMYFUNCTION("IF(C1156&lt;&gt;"""",""https://api.qrserver.com/v1/create-qr-code/?size=200x200&amp;data=""&amp;ENCODEURL(""https://wa.me/507""&amp;REGEXREPLACE(C1156,""[^0-9]"","""")&amp;""?text=""&amp;ENCODEURL(""Ya llegue. Codigo: ""&amp;A1156&amp;"". Ubicacion: ""&amp;""https://www.google.com/maps/search"&amp;"/?api=1&amp;query=""&amp;SUBSTITUTE(F1156,"" "",""""))),"""")"),"")</f>
        <v/>
      </c>
      <c r="M1156" s="5" t="str">
        <f t="shared" si="6"/>
        <v/>
      </c>
      <c r="N1156" s="5" t="str">
        <f>IFERROR(__xludf.DUMMYFUNCTION("IF(AND(F1156&lt;&gt;"""",REGEXMATCH(SUBSTITUTE(F1156,"" "",""""),""^-?\d+(\.\d+)?,-?\d+(\.\d+)?$""),VALUE(REGEXEXTRACT(SUBSTITUTE(F1156,"" "",""""),""^-?\d+(\.\d+)?""))&gt;=-90,VALUE(REGEXEXTRACT(SUBSTITUTE(F1156,"" "",""""),""^-?\d+(\.\d+)?""))&lt;=90,VALUE(REGEXEXT"&amp;"RACT(SUBSTITUTE(F1156,"" "",""""),""-?\d+(\.\d+)?$""))&gt;=-180,VALUE(REGEXEXTRACT(SUBSTITUTE(F1156,"" "",""""),""-?\d+(\.\d+)?$""))&lt;=180),""OK"",""REVISAR"")"),"#N/A")</f>
        <v>#N/A</v>
      </c>
    </row>
    <row r="1157" ht="15.75" customHeight="1">
      <c r="A1157" s="5" t="str">
        <f t="shared" si="1"/>
        <v>AD507-1155</v>
      </c>
      <c r="C1157" s="5"/>
      <c r="F1157" s="5"/>
      <c r="G1157" s="5" t="str">
        <f t="shared" si="2"/>
        <v/>
      </c>
      <c r="H1157" s="5" t="str">
        <f t="shared" si="3"/>
        <v/>
      </c>
      <c r="I1157" s="5" t="str">
        <f t="shared" si="4"/>
        <v/>
      </c>
      <c r="J1157" s="5" t="str">
        <f t="shared" si="5"/>
        <v/>
      </c>
      <c r="K1157" s="5" t="str">
        <f>IFERROR(__xludf.DUMMYFUNCTION("IF(C1157&lt;&gt;"""",HYPERLINK(""https://wa.me/507""&amp;REGEXREPLACE(C1157,""[^0-9]"","""")&amp;""?text=""&amp;ENCODEURL(""Ya llegue. Codigo: ""&amp;A1157&amp;"". Ubicacion: ""&amp;""https://www.google.com/maps/search/?api=1&amp;query=""&amp;SUBSTITUTE(F1157,"" "","""")),""📲 Avisar al clien"&amp;"te""),"""")"),"")</f>
        <v/>
      </c>
      <c r="L1157" s="5" t="str">
        <f>IFERROR(__xludf.DUMMYFUNCTION("IF(C1157&lt;&gt;"""",""https://api.qrserver.com/v1/create-qr-code/?size=200x200&amp;data=""&amp;ENCODEURL(""https://wa.me/507""&amp;REGEXREPLACE(C1157,""[^0-9]"","""")&amp;""?text=""&amp;ENCODEURL(""Ya llegue. Codigo: ""&amp;A1157&amp;"". Ubicacion: ""&amp;""https://www.google.com/maps/search"&amp;"/?api=1&amp;query=""&amp;SUBSTITUTE(F1157,"" "",""""))),"""")"),"")</f>
        <v/>
      </c>
      <c r="M1157" s="5" t="str">
        <f t="shared" si="6"/>
        <v/>
      </c>
      <c r="N1157" s="5" t="str">
        <f>IFERROR(__xludf.DUMMYFUNCTION("IF(AND(F1157&lt;&gt;"""",REGEXMATCH(SUBSTITUTE(F1157,"" "",""""),""^-?\d+(\.\d+)?,-?\d+(\.\d+)?$""),VALUE(REGEXEXTRACT(SUBSTITUTE(F1157,"" "",""""),""^-?\d+(\.\d+)?""))&gt;=-90,VALUE(REGEXEXTRACT(SUBSTITUTE(F1157,"" "",""""),""^-?\d+(\.\d+)?""))&lt;=90,VALUE(REGEXEXT"&amp;"RACT(SUBSTITUTE(F1157,"" "",""""),""-?\d+(\.\d+)?$""))&gt;=-180,VALUE(REGEXEXTRACT(SUBSTITUTE(F1157,"" "",""""),""-?\d+(\.\d+)?$""))&lt;=180),""OK"",""REVISAR"")"),"#N/A")</f>
        <v>#N/A</v>
      </c>
    </row>
    <row r="1158" ht="15.75" customHeight="1">
      <c r="A1158" s="5" t="str">
        <f t="shared" si="1"/>
        <v>AD507-1156</v>
      </c>
      <c r="C1158" s="5"/>
      <c r="F1158" s="5"/>
      <c r="G1158" s="5" t="str">
        <f t="shared" si="2"/>
        <v/>
      </c>
      <c r="H1158" s="5" t="str">
        <f t="shared" si="3"/>
        <v/>
      </c>
      <c r="I1158" s="5" t="str">
        <f t="shared" si="4"/>
        <v/>
      </c>
      <c r="J1158" s="5" t="str">
        <f t="shared" si="5"/>
        <v/>
      </c>
      <c r="K1158" s="5" t="str">
        <f>IFERROR(__xludf.DUMMYFUNCTION("IF(C1158&lt;&gt;"""",HYPERLINK(""https://wa.me/507""&amp;REGEXREPLACE(C1158,""[^0-9]"","""")&amp;""?text=""&amp;ENCODEURL(""Ya llegue. Codigo: ""&amp;A1158&amp;"". Ubicacion: ""&amp;""https://www.google.com/maps/search/?api=1&amp;query=""&amp;SUBSTITUTE(F1158,"" "","""")),""📲 Avisar al clien"&amp;"te""),"""")"),"")</f>
        <v/>
      </c>
      <c r="L1158" s="5" t="str">
        <f>IFERROR(__xludf.DUMMYFUNCTION("IF(C1158&lt;&gt;"""",""https://api.qrserver.com/v1/create-qr-code/?size=200x200&amp;data=""&amp;ENCODEURL(""https://wa.me/507""&amp;REGEXREPLACE(C1158,""[^0-9]"","""")&amp;""?text=""&amp;ENCODEURL(""Ya llegue. Codigo: ""&amp;A1158&amp;"". Ubicacion: ""&amp;""https://www.google.com/maps/search"&amp;"/?api=1&amp;query=""&amp;SUBSTITUTE(F1158,"" "",""""))),"""")"),"")</f>
        <v/>
      </c>
      <c r="M1158" s="5" t="str">
        <f t="shared" si="6"/>
        <v/>
      </c>
      <c r="N1158" s="5" t="str">
        <f>IFERROR(__xludf.DUMMYFUNCTION("IF(AND(F1158&lt;&gt;"""",REGEXMATCH(SUBSTITUTE(F1158,"" "",""""),""^-?\d+(\.\d+)?,-?\d+(\.\d+)?$""),VALUE(REGEXEXTRACT(SUBSTITUTE(F1158,"" "",""""),""^-?\d+(\.\d+)?""))&gt;=-90,VALUE(REGEXEXTRACT(SUBSTITUTE(F1158,"" "",""""),""^-?\d+(\.\d+)?""))&lt;=90,VALUE(REGEXEXT"&amp;"RACT(SUBSTITUTE(F1158,"" "",""""),""-?\d+(\.\d+)?$""))&gt;=-180,VALUE(REGEXEXTRACT(SUBSTITUTE(F1158,"" "",""""),""-?\d+(\.\d+)?$""))&lt;=180),""OK"",""REVISAR"")"),"#N/A")</f>
        <v>#N/A</v>
      </c>
    </row>
    <row r="1159" ht="15.75" customHeight="1">
      <c r="A1159" s="5" t="str">
        <f t="shared" si="1"/>
        <v>AD507-1157</v>
      </c>
      <c r="C1159" s="5"/>
      <c r="F1159" s="5"/>
      <c r="G1159" s="5" t="str">
        <f t="shared" si="2"/>
        <v/>
      </c>
      <c r="H1159" s="5" t="str">
        <f t="shared" si="3"/>
        <v/>
      </c>
      <c r="I1159" s="5" t="str">
        <f t="shared" si="4"/>
        <v/>
      </c>
      <c r="J1159" s="5" t="str">
        <f t="shared" si="5"/>
        <v/>
      </c>
      <c r="K1159" s="5" t="str">
        <f>IFERROR(__xludf.DUMMYFUNCTION("IF(C1159&lt;&gt;"""",HYPERLINK(""https://wa.me/507""&amp;REGEXREPLACE(C1159,""[^0-9]"","""")&amp;""?text=""&amp;ENCODEURL(""Ya llegue. Codigo: ""&amp;A1159&amp;"". Ubicacion: ""&amp;""https://www.google.com/maps/search/?api=1&amp;query=""&amp;SUBSTITUTE(F1159,"" "","""")),""📲 Avisar al clien"&amp;"te""),"""")"),"")</f>
        <v/>
      </c>
      <c r="L1159" s="5" t="str">
        <f>IFERROR(__xludf.DUMMYFUNCTION("IF(C1159&lt;&gt;"""",""https://api.qrserver.com/v1/create-qr-code/?size=200x200&amp;data=""&amp;ENCODEURL(""https://wa.me/507""&amp;REGEXREPLACE(C1159,""[^0-9]"","""")&amp;""?text=""&amp;ENCODEURL(""Ya llegue. Codigo: ""&amp;A1159&amp;"". Ubicacion: ""&amp;""https://www.google.com/maps/search"&amp;"/?api=1&amp;query=""&amp;SUBSTITUTE(F1159,"" "",""""))),"""")"),"")</f>
        <v/>
      </c>
      <c r="M1159" s="5" t="str">
        <f t="shared" si="6"/>
        <v/>
      </c>
      <c r="N1159" s="5" t="str">
        <f>IFERROR(__xludf.DUMMYFUNCTION("IF(AND(F1159&lt;&gt;"""",REGEXMATCH(SUBSTITUTE(F1159,"" "",""""),""^-?\d+(\.\d+)?,-?\d+(\.\d+)?$""),VALUE(REGEXEXTRACT(SUBSTITUTE(F1159,"" "",""""),""^-?\d+(\.\d+)?""))&gt;=-90,VALUE(REGEXEXTRACT(SUBSTITUTE(F1159,"" "",""""),""^-?\d+(\.\d+)?""))&lt;=90,VALUE(REGEXEXT"&amp;"RACT(SUBSTITUTE(F1159,"" "",""""),""-?\d+(\.\d+)?$""))&gt;=-180,VALUE(REGEXEXTRACT(SUBSTITUTE(F1159,"" "",""""),""-?\d+(\.\d+)?$""))&lt;=180),""OK"",""REVISAR"")"),"#N/A")</f>
        <v>#N/A</v>
      </c>
    </row>
    <row r="1160" ht="15.75" customHeight="1">
      <c r="A1160" s="5" t="str">
        <f t="shared" si="1"/>
        <v>AD507-1158</v>
      </c>
      <c r="C1160" s="5"/>
      <c r="F1160" s="5"/>
      <c r="G1160" s="5" t="str">
        <f t="shared" si="2"/>
        <v/>
      </c>
      <c r="H1160" s="5" t="str">
        <f t="shared" si="3"/>
        <v/>
      </c>
      <c r="I1160" s="5" t="str">
        <f t="shared" si="4"/>
        <v/>
      </c>
      <c r="J1160" s="5" t="str">
        <f t="shared" si="5"/>
        <v/>
      </c>
      <c r="K1160" s="5" t="str">
        <f>IFERROR(__xludf.DUMMYFUNCTION("IF(C1160&lt;&gt;"""",HYPERLINK(""https://wa.me/507""&amp;REGEXREPLACE(C1160,""[^0-9]"","""")&amp;""?text=""&amp;ENCODEURL(""Ya llegue. Codigo: ""&amp;A1160&amp;"". Ubicacion: ""&amp;""https://www.google.com/maps/search/?api=1&amp;query=""&amp;SUBSTITUTE(F1160,"" "","""")),""📲 Avisar al clien"&amp;"te""),"""")"),"")</f>
        <v/>
      </c>
      <c r="L1160" s="5" t="str">
        <f>IFERROR(__xludf.DUMMYFUNCTION("IF(C1160&lt;&gt;"""",""https://api.qrserver.com/v1/create-qr-code/?size=200x200&amp;data=""&amp;ENCODEURL(""https://wa.me/507""&amp;REGEXREPLACE(C1160,""[^0-9]"","""")&amp;""?text=""&amp;ENCODEURL(""Ya llegue. Codigo: ""&amp;A1160&amp;"". Ubicacion: ""&amp;""https://www.google.com/maps/search"&amp;"/?api=1&amp;query=""&amp;SUBSTITUTE(F1160,"" "",""""))),"""")"),"")</f>
        <v/>
      </c>
      <c r="M1160" s="5" t="str">
        <f t="shared" si="6"/>
        <v/>
      </c>
      <c r="N1160" s="5" t="str">
        <f>IFERROR(__xludf.DUMMYFUNCTION("IF(AND(F1160&lt;&gt;"""",REGEXMATCH(SUBSTITUTE(F1160,"" "",""""),""^-?\d+(\.\d+)?,-?\d+(\.\d+)?$""),VALUE(REGEXEXTRACT(SUBSTITUTE(F1160,"" "",""""),""^-?\d+(\.\d+)?""))&gt;=-90,VALUE(REGEXEXTRACT(SUBSTITUTE(F1160,"" "",""""),""^-?\d+(\.\d+)?""))&lt;=90,VALUE(REGEXEXT"&amp;"RACT(SUBSTITUTE(F1160,"" "",""""),""-?\d+(\.\d+)?$""))&gt;=-180,VALUE(REGEXEXTRACT(SUBSTITUTE(F1160,"" "",""""),""-?\d+(\.\d+)?$""))&lt;=180),""OK"",""REVISAR"")"),"#N/A")</f>
        <v>#N/A</v>
      </c>
    </row>
    <row r="1161" ht="15.75" customHeight="1">
      <c r="A1161" s="5" t="str">
        <f t="shared" si="1"/>
        <v>AD507-1159</v>
      </c>
      <c r="C1161" s="5"/>
      <c r="F1161" s="5"/>
      <c r="G1161" s="5" t="str">
        <f t="shared" si="2"/>
        <v/>
      </c>
      <c r="H1161" s="5" t="str">
        <f t="shared" si="3"/>
        <v/>
      </c>
      <c r="I1161" s="5" t="str">
        <f t="shared" si="4"/>
        <v/>
      </c>
      <c r="J1161" s="5" t="str">
        <f t="shared" si="5"/>
        <v/>
      </c>
      <c r="K1161" s="5" t="str">
        <f>IFERROR(__xludf.DUMMYFUNCTION("IF(C1161&lt;&gt;"""",HYPERLINK(""https://wa.me/507""&amp;REGEXREPLACE(C1161,""[^0-9]"","""")&amp;""?text=""&amp;ENCODEURL(""Ya llegue. Codigo: ""&amp;A1161&amp;"". Ubicacion: ""&amp;""https://www.google.com/maps/search/?api=1&amp;query=""&amp;SUBSTITUTE(F1161,"" "","""")),""📲 Avisar al clien"&amp;"te""),"""")"),"")</f>
        <v/>
      </c>
      <c r="L1161" s="5" t="str">
        <f>IFERROR(__xludf.DUMMYFUNCTION("IF(C1161&lt;&gt;"""",""https://api.qrserver.com/v1/create-qr-code/?size=200x200&amp;data=""&amp;ENCODEURL(""https://wa.me/507""&amp;REGEXREPLACE(C1161,""[^0-9]"","""")&amp;""?text=""&amp;ENCODEURL(""Ya llegue. Codigo: ""&amp;A1161&amp;"". Ubicacion: ""&amp;""https://www.google.com/maps/search"&amp;"/?api=1&amp;query=""&amp;SUBSTITUTE(F1161,"" "",""""))),"""")"),"")</f>
        <v/>
      </c>
      <c r="M1161" s="5" t="str">
        <f t="shared" si="6"/>
        <v/>
      </c>
      <c r="N1161" s="5" t="str">
        <f>IFERROR(__xludf.DUMMYFUNCTION("IF(AND(F1161&lt;&gt;"""",REGEXMATCH(SUBSTITUTE(F1161,"" "",""""),""^-?\d+(\.\d+)?,-?\d+(\.\d+)?$""),VALUE(REGEXEXTRACT(SUBSTITUTE(F1161,"" "",""""),""^-?\d+(\.\d+)?""))&gt;=-90,VALUE(REGEXEXTRACT(SUBSTITUTE(F1161,"" "",""""),""^-?\d+(\.\d+)?""))&lt;=90,VALUE(REGEXEXT"&amp;"RACT(SUBSTITUTE(F1161,"" "",""""),""-?\d+(\.\d+)?$""))&gt;=-180,VALUE(REGEXEXTRACT(SUBSTITUTE(F1161,"" "",""""),""-?\d+(\.\d+)?$""))&lt;=180),""OK"",""REVISAR"")"),"#N/A")</f>
        <v>#N/A</v>
      </c>
    </row>
    <row r="1162" ht="15.75" customHeight="1">
      <c r="A1162" s="5" t="str">
        <f t="shared" si="1"/>
        <v>AD507-1160</v>
      </c>
      <c r="C1162" s="5"/>
      <c r="F1162" s="5"/>
      <c r="G1162" s="5" t="str">
        <f t="shared" si="2"/>
        <v/>
      </c>
      <c r="H1162" s="5" t="str">
        <f t="shared" si="3"/>
        <v/>
      </c>
      <c r="I1162" s="5" t="str">
        <f t="shared" si="4"/>
        <v/>
      </c>
      <c r="J1162" s="5" t="str">
        <f t="shared" si="5"/>
        <v/>
      </c>
      <c r="K1162" s="5" t="str">
        <f>IFERROR(__xludf.DUMMYFUNCTION("IF(C1162&lt;&gt;"""",HYPERLINK(""https://wa.me/507""&amp;REGEXREPLACE(C1162,""[^0-9]"","""")&amp;""?text=""&amp;ENCODEURL(""Ya llegue. Codigo: ""&amp;A1162&amp;"". Ubicacion: ""&amp;""https://www.google.com/maps/search/?api=1&amp;query=""&amp;SUBSTITUTE(F1162,"" "","""")),""📲 Avisar al clien"&amp;"te""),"""")"),"")</f>
        <v/>
      </c>
      <c r="L1162" s="5" t="str">
        <f>IFERROR(__xludf.DUMMYFUNCTION("IF(C1162&lt;&gt;"""",""https://api.qrserver.com/v1/create-qr-code/?size=200x200&amp;data=""&amp;ENCODEURL(""https://wa.me/507""&amp;REGEXREPLACE(C1162,""[^0-9]"","""")&amp;""?text=""&amp;ENCODEURL(""Ya llegue. Codigo: ""&amp;A1162&amp;"". Ubicacion: ""&amp;""https://www.google.com/maps/search"&amp;"/?api=1&amp;query=""&amp;SUBSTITUTE(F1162,"" "",""""))),"""")"),"")</f>
        <v/>
      </c>
      <c r="M1162" s="5" t="str">
        <f t="shared" si="6"/>
        <v/>
      </c>
      <c r="N1162" s="5" t="str">
        <f>IFERROR(__xludf.DUMMYFUNCTION("IF(AND(F1162&lt;&gt;"""",REGEXMATCH(SUBSTITUTE(F1162,"" "",""""),""^-?\d+(\.\d+)?,-?\d+(\.\d+)?$""),VALUE(REGEXEXTRACT(SUBSTITUTE(F1162,"" "",""""),""^-?\d+(\.\d+)?""))&gt;=-90,VALUE(REGEXEXTRACT(SUBSTITUTE(F1162,"" "",""""),""^-?\d+(\.\d+)?""))&lt;=90,VALUE(REGEXEXT"&amp;"RACT(SUBSTITUTE(F1162,"" "",""""),""-?\d+(\.\d+)?$""))&gt;=-180,VALUE(REGEXEXTRACT(SUBSTITUTE(F1162,"" "",""""),""-?\d+(\.\d+)?$""))&lt;=180),""OK"",""REVISAR"")"),"#N/A")</f>
        <v>#N/A</v>
      </c>
    </row>
    <row r="1163" ht="15.75" customHeight="1">
      <c r="A1163" s="5" t="str">
        <f t="shared" si="1"/>
        <v>AD507-1161</v>
      </c>
      <c r="C1163" s="5"/>
      <c r="F1163" s="5"/>
      <c r="G1163" s="5" t="str">
        <f t="shared" si="2"/>
        <v/>
      </c>
      <c r="H1163" s="5" t="str">
        <f t="shared" si="3"/>
        <v/>
      </c>
      <c r="I1163" s="5" t="str">
        <f t="shared" si="4"/>
        <v/>
      </c>
      <c r="J1163" s="5" t="str">
        <f t="shared" si="5"/>
        <v/>
      </c>
      <c r="K1163" s="5" t="str">
        <f>IFERROR(__xludf.DUMMYFUNCTION("IF(C1163&lt;&gt;"""",HYPERLINK(""https://wa.me/507""&amp;REGEXREPLACE(C1163,""[^0-9]"","""")&amp;""?text=""&amp;ENCODEURL(""Ya llegue. Codigo: ""&amp;A1163&amp;"". Ubicacion: ""&amp;""https://www.google.com/maps/search/?api=1&amp;query=""&amp;SUBSTITUTE(F1163,"" "","""")),""📲 Avisar al clien"&amp;"te""),"""")"),"")</f>
        <v/>
      </c>
      <c r="L1163" s="5" t="str">
        <f>IFERROR(__xludf.DUMMYFUNCTION("IF(C1163&lt;&gt;"""",""https://api.qrserver.com/v1/create-qr-code/?size=200x200&amp;data=""&amp;ENCODEURL(""https://wa.me/507""&amp;REGEXREPLACE(C1163,""[^0-9]"","""")&amp;""?text=""&amp;ENCODEURL(""Ya llegue. Codigo: ""&amp;A1163&amp;"". Ubicacion: ""&amp;""https://www.google.com/maps/search"&amp;"/?api=1&amp;query=""&amp;SUBSTITUTE(F1163,"" "",""""))),"""")"),"")</f>
        <v/>
      </c>
      <c r="M1163" s="5" t="str">
        <f t="shared" si="6"/>
        <v/>
      </c>
      <c r="N1163" s="5" t="str">
        <f>IFERROR(__xludf.DUMMYFUNCTION("IF(AND(F1163&lt;&gt;"""",REGEXMATCH(SUBSTITUTE(F1163,"" "",""""),""^-?\d+(\.\d+)?,-?\d+(\.\d+)?$""),VALUE(REGEXEXTRACT(SUBSTITUTE(F1163,"" "",""""),""^-?\d+(\.\d+)?""))&gt;=-90,VALUE(REGEXEXTRACT(SUBSTITUTE(F1163,"" "",""""),""^-?\d+(\.\d+)?""))&lt;=90,VALUE(REGEXEXT"&amp;"RACT(SUBSTITUTE(F1163,"" "",""""),""-?\d+(\.\d+)?$""))&gt;=-180,VALUE(REGEXEXTRACT(SUBSTITUTE(F1163,"" "",""""),""-?\d+(\.\d+)?$""))&lt;=180),""OK"",""REVISAR"")"),"#N/A")</f>
        <v>#N/A</v>
      </c>
    </row>
    <row r="1164" ht="15.75" customHeight="1">
      <c r="A1164" s="5" t="str">
        <f t="shared" si="1"/>
        <v>AD507-1162</v>
      </c>
      <c r="C1164" s="5"/>
      <c r="F1164" s="5"/>
      <c r="G1164" s="5" t="str">
        <f t="shared" si="2"/>
        <v/>
      </c>
      <c r="H1164" s="5" t="str">
        <f t="shared" si="3"/>
        <v/>
      </c>
      <c r="I1164" s="5" t="str">
        <f t="shared" si="4"/>
        <v/>
      </c>
      <c r="J1164" s="5" t="str">
        <f t="shared" si="5"/>
        <v/>
      </c>
      <c r="K1164" s="5" t="str">
        <f>IFERROR(__xludf.DUMMYFUNCTION("IF(C1164&lt;&gt;"""",HYPERLINK(""https://wa.me/507""&amp;REGEXREPLACE(C1164,""[^0-9]"","""")&amp;""?text=""&amp;ENCODEURL(""Ya llegue. Codigo: ""&amp;A1164&amp;"". Ubicacion: ""&amp;""https://www.google.com/maps/search/?api=1&amp;query=""&amp;SUBSTITUTE(F1164,"" "","""")),""📲 Avisar al clien"&amp;"te""),"""")"),"")</f>
        <v/>
      </c>
      <c r="L1164" s="5" t="str">
        <f>IFERROR(__xludf.DUMMYFUNCTION("IF(C1164&lt;&gt;"""",""https://api.qrserver.com/v1/create-qr-code/?size=200x200&amp;data=""&amp;ENCODEURL(""https://wa.me/507""&amp;REGEXREPLACE(C1164,""[^0-9]"","""")&amp;""?text=""&amp;ENCODEURL(""Ya llegue. Codigo: ""&amp;A1164&amp;"". Ubicacion: ""&amp;""https://www.google.com/maps/search"&amp;"/?api=1&amp;query=""&amp;SUBSTITUTE(F1164,"" "",""""))),"""")"),"")</f>
        <v/>
      </c>
      <c r="M1164" s="5" t="str">
        <f t="shared" si="6"/>
        <v/>
      </c>
      <c r="N1164" s="5" t="str">
        <f>IFERROR(__xludf.DUMMYFUNCTION("IF(AND(F1164&lt;&gt;"""",REGEXMATCH(SUBSTITUTE(F1164,"" "",""""),""^-?\d+(\.\d+)?,-?\d+(\.\d+)?$""),VALUE(REGEXEXTRACT(SUBSTITUTE(F1164,"" "",""""),""^-?\d+(\.\d+)?""))&gt;=-90,VALUE(REGEXEXTRACT(SUBSTITUTE(F1164,"" "",""""),""^-?\d+(\.\d+)?""))&lt;=90,VALUE(REGEXEXT"&amp;"RACT(SUBSTITUTE(F1164,"" "",""""),""-?\d+(\.\d+)?$""))&gt;=-180,VALUE(REGEXEXTRACT(SUBSTITUTE(F1164,"" "",""""),""-?\d+(\.\d+)?$""))&lt;=180),""OK"",""REVISAR"")"),"#N/A")</f>
        <v>#N/A</v>
      </c>
    </row>
    <row r="1165" ht="15.75" customHeight="1">
      <c r="A1165" s="5" t="str">
        <f t="shared" si="1"/>
        <v>AD507-1163</v>
      </c>
      <c r="C1165" s="5"/>
      <c r="F1165" s="5"/>
      <c r="G1165" s="5" t="str">
        <f t="shared" si="2"/>
        <v/>
      </c>
      <c r="H1165" s="5" t="str">
        <f t="shared" si="3"/>
        <v/>
      </c>
      <c r="I1165" s="5" t="str">
        <f t="shared" si="4"/>
        <v/>
      </c>
      <c r="J1165" s="5" t="str">
        <f t="shared" si="5"/>
        <v/>
      </c>
      <c r="K1165" s="5" t="str">
        <f>IFERROR(__xludf.DUMMYFUNCTION("IF(C1165&lt;&gt;"""",HYPERLINK(""https://wa.me/507""&amp;REGEXREPLACE(C1165,""[^0-9]"","""")&amp;""?text=""&amp;ENCODEURL(""Ya llegue. Codigo: ""&amp;A1165&amp;"". Ubicacion: ""&amp;""https://www.google.com/maps/search/?api=1&amp;query=""&amp;SUBSTITUTE(F1165,"" "","""")),""📲 Avisar al clien"&amp;"te""),"""")"),"")</f>
        <v/>
      </c>
      <c r="L1165" s="5" t="str">
        <f>IFERROR(__xludf.DUMMYFUNCTION("IF(C1165&lt;&gt;"""",""https://api.qrserver.com/v1/create-qr-code/?size=200x200&amp;data=""&amp;ENCODEURL(""https://wa.me/507""&amp;REGEXREPLACE(C1165,""[^0-9]"","""")&amp;""?text=""&amp;ENCODEURL(""Ya llegue. Codigo: ""&amp;A1165&amp;"". Ubicacion: ""&amp;""https://www.google.com/maps/search"&amp;"/?api=1&amp;query=""&amp;SUBSTITUTE(F1165,"" "",""""))),"""")"),"")</f>
        <v/>
      </c>
      <c r="M1165" s="5" t="str">
        <f t="shared" si="6"/>
        <v/>
      </c>
      <c r="N1165" s="5" t="str">
        <f>IFERROR(__xludf.DUMMYFUNCTION("IF(AND(F1165&lt;&gt;"""",REGEXMATCH(SUBSTITUTE(F1165,"" "",""""),""^-?\d+(\.\d+)?,-?\d+(\.\d+)?$""),VALUE(REGEXEXTRACT(SUBSTITUTE(F1165,"" "",""""),""^-?\d+(\.\d+)?""))&gt;=-90,VALUE(REGEXEXTRACT(SUBSTITUTE(F1165,"" "",""""),""^-?\d+(\.\d+)?""))&lt;=90,VALUE(REGEXEXT"&amp;"RACT(SUBSTITUTE(F1165,"" "",""""),""-?\d+(\.\d+)?$""))&gt;=-180,VALUE(REGEXEXTRACT(SUBSTITUTE(F1165,"" "",""""),""-?\d+(\.\d+)?$""))&lt;=180),""OK"",""REVISAR"")"),"#N/A")</f>
        <v>#N/A</v>
      </c>
    </row>
    <row r="1166" ht="15.75" customHeight="1">
      <c r="A1166" s="5" t="str">
        <f t="shared" si="1"/>
        <v>AD507-1164</v>
      </c>
      <c r="C1166" s="5"/>
      <c r="F1166" s="5"/>
      <c r="G1166" s="5" t="str">
        <f t="shared" si="2"/>
        <v/>
      </c>
      <c r="H1166" s="5" t="str">
        <f t="shared" si="3"/>
        <v/>
      </c>
      <c r="I1166" s="5" t="str">
        <f t="shared" si="4"/>
        <v/>
      </c>
      <c r="J1166" s="5" t="str">
        <f t="shared" si="5"/>
        <v/>
      </c>
      <c r="K1166" s="5" t="str">
        <f>IFERROR(__xludf.DUMMYFUNCTION("IF(C1166&lt;&gt;"""",HYPERLINK(""https://wa.me/507""&amp;REGEXREPLACE(C1166,""[^0-9]"","""")&amp;""?text=""&amp;ENCODEURL(""Ya llegue. Codigo: ""&amp;A1166&amp;"". Ubicacion: ""&amp;""https://www.google.com/maps/search/?api=1&amp;query=""&amp;SUBSTITUTE(F1166,"" "","""")),""📲 Avisar al clien"&amp;"te""),"""")"),"")</f>
        <v/>
      </c>
      <c r="L1166" s="5" t="str">
        <f>IFERROR(__xludf.DUMMYFUNCTION("IF(C1166&lt;&gt;"""",""https://api.qrserver.com/v1/create-qr-code/?size=200x200&amp;data=""&amp;ENCODEURL(""https://wa.me/507""&amp;REGEXREPLACE(C1166,""[^0-9]"","""")&amp;""?text=""&amp;ENCODEURL(""Ya llegue. Codigo: ""&amp;A1166&amp;"". Ubicacion: ""&amp;""https://www.google.com/maps/search"&amp;"/?api=1&amp;query=""&amp;SUBSTITUTE(F1166,"" "",""""))),"""")"),"")</f>
        <v/>
      </c>
      <c r="M1166" s="5" t="str">
        <f t="shared" si="6"/>
        <v/>
      </c>
      <c r="N1166" s="5" t="str">
        <f>IFERROR(__xludf.DUMMYFUNCTION("IF(AND(F1166&lt;&gt;"""",REGEXMATCH(SUBSTITUTE(F1166,"" "",""""),""^-?\d+(\.\d+)?,-?\d+(\.\d+)?$""),VALUE(REGEXEXTRACT(SUBSTITUTE(F1166,"" "",""""),""^-?\d+(\.\d+)?""))&gt;=-90,VALUE(REGEXEXTRACT(SUBSTITUTE(F1166,"" "",""""),""^-?\d+(\.\d+)?""))&lt;=90,VALUE(REGEXEXT"&amp;"RACT(SUBSTITUTE(F1166,"" "",""""),""-?\d+(\.\d+)?$""))&gt;=-180,VALUE(REGEXEXTRACT(SUBSTITUTE(F1166,"" "",""""),""-?\d+(\.\d+)?$""))&lt;=180),""OK"",""REVISAR"")"),"#N/A")</f>
        <v>#N/A</v>
      </c>
    </row>
    <row r="1167" ht="15.75" customHeight="1">
      <c r="A1167" s="5" t="str">
        <f t="shared" si="1"/>
        <v>AD507-1165</v>
      </c>
      <c r="C1167" s="5"/>
      <c r="F1167" s="5"/>
      <c r="G1167" s="5" t="str">
        <f t="shared" si="2"/>
        <v/>
      </c>
      <c r="H1167" s="5" t="str">
        <f t="shared" si="3"/>
        <v/>
      </c>
      <c r="I1167" s="5" t="str">
        <f t="shared" si="4"/>
        <v/>
      </c>
      <c r="J1167" s="5" t="str">
        <f t="shared" si="5"/>
        <v/>
      </c>
      <c r="K1167" s="5" t="str">
        <f>IFERROR(__xludf.DUMMYFUNCTION("IF(C1167&lt;&gt;"""",HYPERLINK(""https://wa.me/507""&amp;REGEXREPLACE(C1167,""[^0-9]"","""")&amp;""?text=""&amp;ENCODEURL(""Ya llegue. Codigo: ""&amp;A1167&amp;"". Ubicacion: ""&amp;""https://www.google.com/maps/search/?api=1&amp;query=""&amp;SUBSTITUTE(F1167,"" "","""")),""📲 Avisar al clien"&amp;"te""),"""")"),"")</f>
        <v/>
      </c>
      <c r="L1167" s="5" t="str">
        <f>IFERROR(__xludf.DUMMYFUNCTION("IF(C1167&lt;&gt;"""",""https://api.qrserver.com/v1/create-qr-code/?size=200x200&amp;data=""&amp;ENCODEURL(""https://wa.me/507""&amp;REGEXREPLACE(C1167,""[^0-9]"","""")&amp;""?text=""&amp;ENCODEURL(""Ya llegue. Codigo: ""&amp;A1167&amp;"". Ubicacion: ""&amp;""https://www.google.com/maps/search"&amp;"/?api=1&amp;query=""&amp;SUBSTITUTE(F1167,"" "",""""))),"""")"),"")</f>
        <v/>
      </c>
      <c r="M1167" s="5" t="str">
        <f t="shared" si="6"/>
        <v/>
      </c>
      <c r="N1167" s="5" t="str">
        <f>IFERROR(__xludf.DUMMYFUNCTION("IF(AND(F1167&lt;&gt;"""",REGEXMATCH(SUBSTITUTE(F1167,"" "",""""),""^-?\d+(\.\d+)?,-?\d+(\.\d+)?$""),VALUE(REGEXEXTRACT(SUBSTITUTE(F1167,"" "",""""),""^-?\d+(\.\d+)?""))&gt;=-90,VALUE(REGEXEXTRACT(SUBSTITUTE(F1167,"" "",""""),""^-?\d+(\.\d+)?""))&lt;=90,VALUE(REGEXEXT"&amp;"RACT(SUBSTITUTE(F1167,"" "",""""),""-?\d+(\.\d+)?$""))&gt;=-180,VALUE(REGEXEXTRACT(SUBSTITUTE(F1167,"" "",""""),""-?\d+(\.\d+)?$""))&lt;=180),""OK"",""REVISAR"")"),"#N/A")</f>
        <v>#N/A</v>
      </c>
    </row>
    <row r="1168" ht="15.75" customHeight="1">
      <c r="A1168" s="5" t="str">
        <f t="shared" si="1"/>
        <v>AD507-1166</v>
      </c>
      <c r="C1168" s="5"/>
      <c r="F1168" s="5"/>
      <c r="G1168" s="5" t="str">
        <f t="shared" si="2"/>
        <v/>
      </c>
      <c r="H1168" s="5" t="str">
        <f t="shared" si="3"/>
        <v/>
      </c>
      <c r="I1168" s="5" t="str">
        <f t="shared" si="4"/>
        <v/>
      </c>
      <c r="J1168" s="5" t="str">
        <f t="shared" si="5"/>
        <v/>
      </c>
      <c r="K1168" s="5" t="str">
        <f>IFERROR(__xludf.DUMMYFUNCTION("IF(C1168&lt;&gt;"""",HYPERLINK(""https://wa.me/507""&amp;REGEXREPLACE(C1168,""[^0-9]"","""")&amp;""?text=""&amp;ENCODEURL(""Ya llegue. Codigo: ""&amp;A1168&amp;"". Ubicacion: ""&amp;""https://www.google.com/maps/search/?api=1&amp;query=""&amp;SUBSTITUTE(F1168,"" "","""")),""📲 Avisar al clien"&amp;"te""),"""")"),"")</f>
        <v/>
      </c>
      <c r="L1168" s="5" t="str">
        <f>IFERROR(__xludf.DUMMYFUNCTION("IF(C1168&lt;&gt;"""",""https://api.qrserver.com/v1/create-qr-code/?size=200x200&amp;data=""&amp;ENCODEURL(""https://wa.me/507""&amp;REGEXREPLACE(C1168,""[^0-9]"","""")&amp;""?text=""&amp;ENCODEURL(""Ya llegue. Codigo: ""&amp;A1168&amp;"". Ubicacion: ""&amp;""https://www.google.com/maps/search"&amp;"/?api=1&amp;query=""&amp;SUBSTITUTE(F1168,"" "",""""))),"""")"),"")</f>
        <v/>
      </c>
      <c r="M1168" s="5" t="str">
        <f t="shared" si="6"/>
        <v/>
      </c>
      <c r="N1168" s="5" t="str">
        <f>IFERROR(__xludf.DUMMYFUNCTION("IF(AND(F1168&lt;&gt;"""",REGEXMATCH(SUBSTITUTE(F1168,"" "",""""),""^-?\d+(\.\d+)?,-?\d+(\.\d+)?$""),VALUE(REGEXEXTRACT(SUBSTITUTE(F1168,"" "",""""),""^-?\d+(\.\d+)?""))&gt;=-90,VALUE(REGEXEXTRACT(SUBSTITUTE(F1168,"" "",""""),""^-?\d+(\.\d+)?""))&lt;=90,VALUE(REGEXEXT"&amp;"RACT(SUBSTITUTE(F1168,"" "",""""),""-?\d+(\.\d+)?$""))&gt;=-180,VALUE(REGEXEXTRACT(SUBSTITUTE(F1168,"" "",""""),""-?\d+(\.\d+)?$""))&lt;=180),""OK"",""REVISAR"")"),"#N/A")</f>
        <v>#N/A</v>
      </c>
    </row>
    <row r="1169" ht="15.75" customHeight="1">
      <c r="A1169" s="5" t="str">
        <f t="shared" si="1"/>
        <v>AD507-1167</v>
      </c>
      <c r="C1169" s="5"/>
      <c r="F1169" s="5"/>
      <c r="G1169" s="5" t="str">
        <f t="shared" si="2"/>
        <v/>
      </c>
      <c r="H1169" s="5" t="str">
        <f t="shared" si="3"/>
        <v/>
      </c>
      <c r="I1169" s="5" t="str">
        <f t="shared" si="4"/>
        <v/>
      </c>
      <c r="J1169" s="5" t="str">
        <f t="shared" si="5"/>
        <v/>
      </c>
      <c r="K1169" s="5" t="str">
        <f>IFERROR(__xludf.DUMMYFUNCTION("IF(C1169&lt;&gt;"""",HYPERLINK(""https://wa.me/507""&amp;REGEXREPLACE(C1169,""[^0-9]"","""")&amp;""?text=""&amp;ENCODEURL(""Ya llegue. Codigo: ""&amp;A1169&amp;"". Ubicacion: ""&amp;""https://www.google.com/maps/search/?api=1&amp;query=""&amp;SUBSTITUTE(F1169,"" "","""")),""📲 Avisar al clien"&amp;"te""),"""")"),"")</f>
        <v/>
      </c>
      <c r="L1169" s="5" t="str">
        <f>IFERROR(__xludf.DUMMYFUNCTION("IF(C1169&lt;&gt;"""",""https://api.qrserver.com/v1/create-qr-code/?size=200x200&amp;data=""&amp;ENCODEURL(""https://wa.me/507""&amp;REGEXREPLACE(C1169,""[^0-9]"","""")&amp;""?text=""&amp;ENCODEURL(""Ya llegue. Codigo: ""&amp;A1169&amp;"". Ubicacion: ""&amp;""https://www.google.com/maps/search"&amp;"/?api=1&amp;query=""&amp;SUBSTITUTE(F1169,"" "",""""))),"""")"),"")</f>
        <v/>
      </c>
      <c r="M1169" s="5" t="str">
        <f t="shared" si="6"/>
        <v/>
      </c>
      <c r="N1169" s="5" t="str">
        <f>IFERROR(__xludf.DUMMYFUNCTION("IF(AND(F1169&lt;&gt;"""",REGEXMATCH(SUBSTITUTE(F1169,"" "",""""),""^-?\d+(\.\d+)?,-?\d+(\.\d+)?$""),VALUE(REGEXEXTRACT(SUBSTITUTE(F1169,"" "",""""),""^-?\d+(\.\d+)?""))&gt;=-90,VALUE(REGEXEXTRACT(SUBSTITUTE(F1169,"" "",""""),""^-?\d+(\.\d+)?""))&lt;=90,VALUE(REGEXEXT"&amp;"RACT(SUBSTITUTE(F1169,"" "",""""),""-?\d+(\.\d+)?$""))&gt;=-180,VALUE(REGEXEXTRACT(SUBSTITUTE(F1169,"" "",""""),""-?\d+(\.\d+)?$""))&lt;=180),""OK"",""REVISAR"")"),"#N/A")</f>
        <v>#N/A</v>
      </c>
    </row>
    <row r="1170" ht="15.75" customHeight="1">
      <c r="A1170" s="5" t="str">
        <f t="shared" si="1"/>
        <v>AD507-1168</v>
      </c>
      <c r="C1170" s="5"/>
      <c r="F1170" s="5"/>
      <c r="G1170" s="5" t="str">
        <f t="shared" si="2"/>
        <v/>
      </c>
      <c r="H1170" s="5" t="str">
        <f t="shared" si="3"/>
        <v/>
      </c>
      <c r="I1170" s="5" t="str">
        <f t="shared" si="4"/>
        <v/>
      </c>
      <c r="J1170" s="5" t="str">
        <f t="shared" si="5"/>
        <v/>
      </c>
      <c r="K1170" s="5" t="str">
        <f>IFERROR(__xludf.DUMMYFUNCTION("IF(C1170&lt;&gt;"""",HYPERLINK(""https://wa.me/507""&amp;REGEXREPLACE(C1170,""[^0-9]"","""")&amp;""?text=""&amp;ENCODEURL(""Ya llegue. Codigo: ""&amp;A1170&amp;"". Ubicacion: ""&amp;""https://www.google.com/maps/search/?api=1&amp;query=""&amp;SUBSTITUTE(F1170,"" "","""")),""📲 Avisar al clien"&amp;"te""),"""")"),"")</f>
        <v/>
      </c>
      <c r="L1170" s="5" t="str">
        <f>IFERROR(__xludf.DUMMYFUNCTION("IF(C1170&lt;&gt;"""",""https://api.qrserver.com/v1/create-qr-code/?size=200x200&amp;data=""&amp;ENCODEURL(""https://wa.me/507""&amp;REGEXREPLACE(C1170,""[^0-9]"","""")&amp;""?text=""&amp;ENCODEURL(""Ya llegue. Codigo: ""&amp;A1170&amp;"". Ubicacion: ""&amp;""https://www.google.com/maps/search"&amp;"/?api=1&amp;query=""&amp;SUBSTITUTE(F1170,"" "",""""))),"""")"),"")</f>
        <v/>
      </c>
      <c r="M1170" s="5" t="str">
        <f t="shared" si="6"/>
        <v/>
      </c>
      <c r="N1170" s="5" t="str">
        <f>IFERROR(__xludf.DUMMYFUNCTION("IF(AND(F1170&lt;&gt;"""",REGEXMATCH(SUBSTITUTE(F1170,"" "",""""),""^-?\d+(\.\d+)?,-?\d+(\.\d+)?$""),VALUE(REGEXEXTRACT(SUBSTITUTE(F1170,"" "",""""),""^-?\d+(\.\d+)?""))&gt;=-90,VALUE(REGEXEXTRACT(SUBSTITUTE(F1170,"" "",""""),""^-?\d+(\.\d+)?""))&lt;=90,VALUE(REGEXEXT"&amp;"RACT(SUBSTITUTE(F1170,"" "",""""),""-?\d+(\.\d+)?$""))&gt;=-180,VALUE(REGEXEXTRACT(SUBSTITUTE(F1170,"" "",""""),""-?\d+(\.\d+)?$""))&lt;=180),""OK"",""REVISAR"")"),"#N/A")</f>
        <v>#N/A</v>
      </c>
    </row>
    <row r="1171" ht="15.75" customHeight="1">
      <c r="A1171" s="5" t="str">
        <f t="shared" si="1"/>
        <v>AD507-1169</v>
      </c>
      <c r="C1171" s="5"/>
      <c r="F1171" s="5"/>
      <c r="G1171" s="5" t="str">
        <f t="shared" si="2"/>
        <v/>
      </c>
      <c r="H1171" s="5" t="str">
        <f t="shared" si="3"/>
        <v/>
      </c>
      <c r="I1171" s="5" t="str">
        <f t="shared" si="4"/>
        <v/>
      </c>
      <c r="J1171" s="5" t="str">
        <f t="shared" si="5"/>
        <v/>
      </c>
      <c r="K1171" s="5" t="str">
        <f>IFERROR(__xludf.DUMMYFUNCTION("IF(C1171&lt;&gt;"""",HYPERLINK(""https://wa.me/507""&amp;REGEXREPLACE(C1171,""[^0-9]"","""")&amp;""?text=""&amp;ENCODEURL(""Ya llegue. Codigo: ""&amp;A1171&amp;"". Ubicacion: ""&amp;""https://www.google.com/maps/search/?api=1&amp;query=""&amp;SUBSTITUTE(F1171,"" "","""")),""📲 Avisar al clien"&amp;"te""),"""")"),"")</f>
        <v/>
      </c>
      <c r="L1171" s="5" t="str">
        <f>IFERROR(__xludf.DUMMYFUNCTION("IF(C1171&lt;&gt;"""",""https://api.qrserver.com/v1/create-qr-code/?size=200x200&amp;data=""&amp;ENCODEURL(""https://wa.me/507""&amp;REGEXREPLACE(C1171,""[^0-9]"","""")&amp;""?text=""&amp;ENCODEURL(""Ya llegue. Codigo: ""&amp;A1171&amp;"". Ubicacion: ""&amp;""https://www.google.com/maps/search"&amp;"/?api=1&amp;query=""&amp;SUBSTITUTE(F1171,"" "",""""))),"""")"),"")</f>
        <v/>
      </c>
      <c r="M1171" s="5" t="str">
        <f t="shared" si="6"/>
        <v/>
      </c>
      <c r="N1171" s="5" t="str">
        <f>IFERROR(__xludf.DUMMYFUNCTION("IF(AND(F1171&lt;&gt;"""",REGEXMATCH(SUBSTITUTE(F1171,"" "",""""),""^-?\d+(\.\d+)?,-?\d+(\.\d+)?$""),VALUE(REGEXEXTRACT(SUBSTITUTE(F1171,"" "",""""),""^-?\d+(\.\d+)?""))&gt;=-90,VALUE(REGEXEXTRACT(SUBSTITUTE(F1171,"" "",""""),""^-?\d+(\.\d+)?""))&lt;=90,VALUE(REGEXEXT"&amp;"RACT(SUBSTITUTE(F1171,"" "",""""),""-?\d+(\.\d+)?$""))&gt;=-180,VALUE(REGEXEXTRACT(SUBSTITUTE(F1171,"" "",""""),""-?\d+(\.\d+)?$""))&lt;=180),""OK"",""REVISAR"")"),"#N/A")</f>
        <v>#N/A</v>
      </c>
    </row>
    <row r="1172" ht="15.75" customHeight="1">
      <c r="A1172" s="5" t="str">
        <f t="shared" si="1"/>
        <v>AD507-1170</v>
      </c>
      <c r="C1172" s="5"/>
      <c r="F1172" s="5"/>
      <c r="G1172" s="5" t="str">
        <f t="shared" si="2"/>
        <v/>
      </c>
      <c r="H1172" s="5" t="str">
        <f t="shared" si="3"/>
        <v/>
      </c>
      <c r="I1172" s="5" t="str">
        <f t="shared" si="4"/>
        <v/>
      </c>
      <c r="J1172" s="5" t="str">
        <f t="shared" si="5"/>
        <v/>
      </c>
      <c r="K1172" s="5" t="str">
        <f>IFERROR(__xludf.DUMMYFUNCTION("IF(C1172&lt;&gt;"""",HYPERLINK(""https://wa.me/507""&amp;REGEXREPLACE(C1172,""[^0-9]"","""")&amp;""?text=""&amp;ENCODEURL(""Ya llegue. Codigo: ""&amp;A1172&amp;"". Ubicacion: ""&amp;""https://www.google.com/maps/search/?api=1&amp;query=""&amp;SUBSTITUTE(F1172,"" "","""")),""📲 Avisar al clien"&amp;"te""),"""")"),"")</f>
        <v/>
      </c>
      <c r="L1172" s="5" t="str">
        <f>IFERROR(__xludf.DUMMYFUNCTION("IF(C1172&lt;&gt;"""",""https://api.qrserver.com/v1/create-qr-code/?size=200x200&amp;data=""&amp;ENCODEURL(""https://wa.me/507""&amp;REGEXREPLACE(C1172,""[^0-9]"","""")&amp;""?text=""&amp;ENCODEURL(""Ya llegue. Codigo: ""&amp;A1172&amp;"". Ubicacion: ""&amp;""https://www.google.com/maps/search"&amp;"/?api=1&amp;query=""&amp;SUBSTITUTE(F1172,"" "",""""))),"""")"),"")</f>
        <v/>
      </c>
      <c r="M1172" s="5" t="str">
        <f t="shared" si="6"/>
        <v/>
      </c>
      <c r="N1172" s="5" t="str">
        <f>IFERROR(__xludf.DUMMYFUNCTION("IF(AND(F1172&lt;&gt;"""",REGEXMATCH(SUBSTITUTE(F1172,"" "",""""),""^-?\d+(\.\d+)?,-?\d+(\.\d+)?$""),VALUE(REGEXEXTRACT(SUBSTITUTE(F1172,"" "",""""),""^-?\d+(\.\d+)?""))&gt;=-90,VALUE(REGEXEXTRACT(SUBSTITUTE(F1172,"" "",""""),""^-?\d+(\.\d+)?""))&lt;=90,VALUE(REGEXEXT"&amp;"RACT(SUBSTITUTE(F1172,"" "",""""),""-?\d+(\.\d+)?$""))&gt;=-180,VALUE(REGEXEXTRACT(SUBSTITUTE(F1172,"" "",""""),""-?\d+(\.\d+)?$""))&lt;=180),""OK"",""REVISAR"")"),"#N/A")</f>
        <v>#N/A</v>
      </c>
    </row>
    <row r="1173" ht="15.75" customHeight="1">
      <c r="A1173" s="5" t="str">
        <f t="shared" si="1"/>
        <v>AD507-1171</v>
      </c>
      <c r="C1173" s="5"/>
      <c r="F1173" s="5"/>
      <c r="G1173" s="5" t="str">
        <f t="shared" si="2"/>
        <v/>
      </c>
      <c r="H1173" s="5" t="str">
        <f t="shared" si="3"/>
        <v/>
      </c>
      <c r="I1173" s="5" t="str">
        <f t="shared" si="4"/>
        <v/>
      </c>
      <c r="J1173" s="5" t="str">
        <f t="shared" si="5"/>
        <v/>
      </c>
      <c r="K1173" s="5" t="str">
        <f>IFERROR(__xludf.DUMMYFUNCTION("IF(C1173&lt;&gt;"""",HYPERLINK(""https://wa.me/507""&amp;REGEXREPLACE(C1173,""[^0-9]"","""")&amp;""?text=""&amp;ENCODEURL(""Ya llegue. Codigo: ""&amp;A1173&amp;"". Ubicacion: ""&amp;""https://www.google.com/maps/search/?api=1&amp;query=""&amp;SUBSTITUTE(F1173,"" "","""")),""📲 Avisar al clien"&amp;"te""),"""")"),"")</f>
        <v/>
      </c>
      <c r="L1173" s="5" t="str">
        <f>IFERROR(__xludf.DUMMYFUNCTION("IF(C1173&lt;&gt;"""",""https://api.qrserver.com/v1/create-qr-code/?size=200x200&amp;data=""&amp;ENCODEURL(""https://wa.me/507""&amp;REGEXREPLACE(C1173,""[^0-9]"","""")&amp;""?text=""&amp;ENCODEURL(""Ya llegue. Codigo: ""&amp;A1173&amp;"". Ubicacion: ""&amp;""https://www.google.com/maps/search"&amp;"/?api=1&amp;query=""&amp;SUBSTITUTE(F1173,"" "",""""))),"""")"),"")</f>
        <v/>
      </c>
      <c r="M1173" s="5" t="str">
        <f t="shared" si="6"/>
        <v/>
      </c>
      <c r="N1173" s="5" t="str">
        <f>IFERROR(__xludf.DUMMYFUNCTION("IF(AND(F1173&lt;&gt;"""",REGEXMATCH(SUBSTITUTE(F1173,"" "",""""),""^-?\d+(\.\d+)?,-?\d+(\.\d+)?$""),VALUE(REGEXEXTRACT(SUBSTITUTE(F1173,"" "",""""),""^-?\d+(\.\d+)?""))&gt;=-90,VALUE(REGEXEXTRACT(SUBSTITUTE(F1173,"" "",""""),""^-?\d+(\.\d+)?""))&lt;=90,VALUE(REGEXEXT"&amp;"RACT(SUBSTITUTE(F1173,"" "",""""),""-?\d+(\.\d+)?$""))&gt;=-180,VALUE(REGEXEXTRACT(SUBSTITUTE(F1173,"" "",""""),""-?\d+(\.\d+)?$""))&lt;=180),""OK"",""REVISAR"")"),"#N/A")</f>
        <v>#N/A</v>
      </c>
    </row>
    <row r="1174" ht="15.75" customHeight="1">
      <c r="A1174" s="5" t="str">
        <f t="shared" si="1"/>
        <v>AD507-1172</v>
      </c>
      <c r="C1174" s="5"/>
      <c r="F1174" s="5"/>
      <c r="G1174" s="5" t="str">
        <f t="shared" si="2"/>
        <v/>
      </c>
      <c r="H1174" s="5" t="str">
        <f t="shared" si="3"/>
        <v/>
      </c>
      <c r="I1174" s="5" t="str">
        <f t="shared" si="4"/>
        <v/>
      </c>
      <c r="J1174" s="5" t="str">
        <f t="shared" si="5"/>
        <v/>
      </c>
      <c r="K1174" s="5" t="str">
        <f>IFERROR(__xludf.DUMMYFUNCTION("IF(C1174&lt;&gt;"""",HYPERLINK(""https://wa.me/507""&amp;REGEXREPLACE(C1174,""[^0-9]"","""")&amp;""?text=""&amp;ENCODEURL(""Ya llegue. Codigo: ""&amp;A1174&amp;"". Ubicacion: ""&amp;""https://www.google.com/maps/search/?api=1&amp;query=""&amp;SUBSTITUTE(F1174,"" "","""")),""📲 Avisar al clien"&amp;"te""),"""")"),"")</f>
        <v/>
      </c>
      <c r="L1174" s="5" t="str">
        <f>IFERROR(__xludf.DUMMYFUNCTION("IF(C1174&lt;&gt;"""",""https://api.qrserver.com/v1/create-qr-code/?size=200x200&amp;data=""&amp;ENCODEURL(""https://wa.me/507""&amp;REGEXREPLACE(C1174,""[^0-9]"","""")&amp;""?text=""&amp;ENCODEURL(""Ya llegue. Codigo: ""&amp;A1174&amp;"". Ubicacion: ""&amp;""https://www.google.com/maps/search"&amp;"/?api=1&amp;query=""&amp;SUBSTITUTE(F1174,"" "",""""))),"""")"),"")</f>
        <v/>
      </c>
      <c r="M1174" s="5" t="str">
        <f t="shared" si="6"/>
        <v/>
      </c>
      <c r="N1174" s="5" t="str">
        <f>IFERROR(__xludf.DUMMYFUNCTION("IF(AND(F1174&lt;&gt;"""",REGEXMATCH(SUBSTITUTE(F1174,"" "",""""),""^-?\d+(\.\d+)?,-?\d+(\.\d+)?$""),VALUE(REGEXEXTRACT(SUBSTITUTE(F1174,"" "",""""),""^-?\d+(\.\d+)?""))&gt;=-90,VALUE(REGEXEXTRACT(SUBSTITUTE(F1174,"" "",""""),""^-?\d+(\.\d+)?""))&lt;=90,VALUE(REGEXEXT"&amp;"RACT(SUBSTITUTE(F1174,"" "",""""),""-?\d+(\.\d+)?$""))&gt;=-180,VALUE(REGEXEXTRACT(SUBSTITUTE(F1174,"" "",""""),""-?\d+(\.\d+)?$""))&lt;=180),""OK"",""REVISAR"")"),"#N/A")</f>
        <v>#N/A</v>
      </c>
    </row>
    <row r="1175" ht="15.75" customHeight="1">
      <c r="A1175" s="5" t="str">
        <f t="shared" si="1"/>
        <v>AD507-1173</v>
      </c>
      <c r="C1175" s="5"/>
      <c r="F1175" s="5"/>
      <c r="G1175" s="5" t="str">
        <f t="shared" si="2"/>
        <v/>
      </c>
      <c r="H1175" s="5" t="str">
        <f t="shared" si="3"/>
        <v/>
      </c>
      <c r="I1175" s="5" t="str">
        <f t="shared" si="4"/>
        <v/>
      </c>
      <c r="J1175" s="5" t="str">
        <f t="shared" si="5"/>
        <v/>
      </c>
      <c r="K1175" s="5" t="str">
        <f>IFERROR(__xludf.DUMMYFUNCTION("IF(C1175&lt;&gt;"""",HYPERLINK(""https://wa.me/507""&amp;REGEXREPLACE(C1175,""[^0-9]"","""")&amp;""?text=""&amp;ENCODEURL(""Ya llegue. Codigo: ""&amp;A1175&amp;"". Ubicacion: ""&amp;""https://www.google.com/maps/search/?api=1&amp;query=""&amp;SUBSTITUTE(F1175,"" "","""")),""📲 Avisar al clien"&amp;"te""),"""")"),"")</f>
        <v/>
      </c>
      <c r="L1175" s="5" t="str">
        <f>IFERROR(__xludf.DUMMYFUNCTION("IF(C1175&lt;&gt;"""",""https://api.qrserver.com/v1/create-qr-code/?size=200x200&amp;data=""&amp;ENCODEURL(""https://wa.me/507""&amp;REGEXREPLACE(C1175,""[^0-9]"","""")&amp;""?text=""&amp;ENCODEURL(""Ya llegue. Codigo: ""&amp;A1175&amp;"". Ubicacion: ""&amp;""https://www.google.com/maps/search"&amp;"/?api=1&amp;query=""&amp;SUBSTITUTE(F1175,"" "",""""))),"""")"),"")</f>
        <v/>
      </c>
      <c r="M1175" s="5" t="str">
        <f t="shared" si="6"/>
        <v/>
      </c>
      <c r="N1175" s="5" t="str">
        <f>IFERROR(__xludf.DUMMYFUNCTION("IF(AND(F1175&lt;&gt;"""",REGEXMATCH(SUBSTITUTE(F1175,"" "",""""),""^-?\d+(\.\d+)?,-?\d+(\.\d+)?$""),VALUE(REGEXEXTRACT(SUBSTITUTE(F1175,"" "",""""),""^-?\d+(\.\d+)?""))&gt;=-90,VALUE(REGEXEXTRACT(SUBSTITUTE(F1175,"" "",""""),""^-?\d+(\.\d+)?""))&lt;=90,VALUE(REGEXEXT"&amp;"RACT(SUBSTITUTE(F1175,"" "",""""),""-?\d+(\.\d+)?$""))&gt;=-180,VALUE(REGEXEXTRACT(SUBSTITUTE(F1175,"" "",""""),""-?\d+(\.\d+)?$""))&lt;=180),""OK"",""REVISAR"")"),"#N/A")</f>
        <v>#N/A</v>
      </c>
    </row>
    <row r="1176" ht="15.75" customHeight="1">
      <c r="A1176" s="5" t="str">
        <f t="shared" si="1"/>
        <v>AD507-1174</v>
      </c>
      <c r="C1176" s="5"/>
      <c r="F1176" s="5"/>
      <c r="G1176" s="5" t="str">
        <f t="shared" si="2"/>
        <v/>
      </c>
      <c r="H1176" s="5" t="str">
        <f t="shared" si="3"/>
        <v/>
      </c>
      <c r="I1176" s="5" t="str">
        <f t="shared" si="4"/>
        <v/>
      </c>
      <c r="J1176" s="5" t="str">
        <f t="shared" si="5"/>
        <v/>
      </c>
      <c r="K1176" s="5" t="str">
        <f>IFERROR(__xludf.DUMMYFUNCTION("IF(C1176&lt;&gt;"""",HYPERLINK(""https://wa.me/507""&amp;REGEXREPLACE(C1176,""[^0-9]"","""")&amp;""?text=""&amp;ENCODEURL(""Ya llegue. Codigo: ""&amp;A1176&amp;"". Ubicacion: ""&amp;""https://www.google.com/maps/search/?api=1&amp;query=""&amp;SUBSTITUTE(F1176,"" "","""")),""📲 Avisar al clien"&amp;"te""),"""")"),"")</f>
        <v/>
      </c>
      <c r="L1176" s="5" t="str">
        <f>IFERROR(__xludf.DUMMYFUNCTION("IF(C1176&lt;&gt;"""",""https://api.qrserver.com/v1/create-qr-code/?size=200x200&amp;data=""&amp;ENCODEURL(""https://wa.me/507""&amp;REGEXREPLACE(C1176,""[^0-9]"","""")&amp;""?text=""&amp;ENCODEURL(""Ya llegue. Codigo: ""&amp;A1176&amp;"". Ubicacion: ""&amp;""https://www.google.com/maps/search"&amp;"/?api=1&amp;query=""&amp;SUBSTITUTE(F1176,"" "",""""))),"""")"),"")</f>
        <v/>
      </c>
      <c r="M1176" s="5" t="str">
        <f t="shared" si="6"/>
        <v/>
      </c>
      <c r="N1176" s="5" t="str">
        <f>IFERROR(__xludf.DUMMYFUNCTION("IF(AND(F1176&lt;&gt;"""",REGEXMATCH(SUBSTITUTE(F1176,"" "",""""),""^-?\d+(\.\d+)?,-?\d+(\.\d+)?$""),VALUE(REGEXEXTRACT(SUBSTITUTE(F1176,"" "",""""),""^-?\d+(\.\d+)?""))&gt;=-90,VALUE(REGEXEXTRACT(SUBSTITUTE(F1176,"" "",""""),""^-?\d+(\.\d+)?""))&lt;=90,VALUE(REGEXEXT"&amp;"RACT(SUBSTITUTE(F1176,"" "",""""),""-?\d+(\.\d+)?$""))&gt;=-180,VALUE(REGEXEXTRACT(SUBSTITUTE(F1176,"" "",""""),""-?\d+(\.\d+)?$""))&lt;=180),""OK"",""REVISAR"")"),"#N/A")</f>
        <v>#N/A</v>
      </c>
    </row>
    <row r="1177" ht="15.75" customHeight="1">
      <c r="A1177" s="5" t="str">
        <f t="shared" si="1"/>
        <v>AD507-1175</v>
      </c>
      <c r="C1177" s="5"/>
      <c r="F1177" s="5"/>
      <c r="G1177" s="5" t="str">
        <f t="shared" si="2"/>
        <v/>
      </c>
      <c r="H1177" s="5" t="str">
        <f t="shared" si="3"/>
        <v/>
      </c>
      <c r="I1177" s="5" t="str">
        <f t="shared" si="4"/>
        <v/>
      </c>
      <c r="J1177" s="5" t="str">
        <f t="shared" si="5"/>
        <v/>
      </c>
      <c r="K1177" s="5" t="str">
        <f>IFERROR(__xludf.DUMMYFUNCTION("IF(C1177&lt;&gt;"""",HYPERLINK(""https://wa.me/507""&amp;REGEXREPLACE(C1177,""[^0-9]"","""")&amp;""?text=""&amp;ENCODEURL(""Ya llegue. Codigo: ""&amp;A1177&amp;"". Ubicacion: ""&amp;""https://www.google.com/maps/search/?api=1&amp;query=""&amp;SUBSTITUTE(F1177,"" "","""")),""📲 Avisar al clien"&amp;"te""),"""")"),"")</f>
        <v/>
      </c>
      <c r="L1177" s="5" t="str">
        <f>IFERROR(__xludf.DUMMYFUNCTION("IF(C1177&lt;&gt;"""",""https://api.qrserver.com/v1/create-qr-code/?size=200x200&amp;data=""&amp;ENCODEURL(""https://wa.me/507""&amp;REGEXREPLACE(C1177,""[^0-9]"","""")&amp;""?text=""&amp;ENCODEURL(""Ya llegue. Codigo: ""&amp;A1177&amp;"". Ubicacion: ""&amp;""https://www.google.com/maps/search"&amp;"/?api=1&amp;query=""&amp;SUBSTITUTE(F1177,"" "",""""))),"""")"),"")</f>
        <v/>
      </c>
      <c r="M1177" s="5" t="str">
        <f t="shared" si="6"/>
        <v/>
      </c>
      <c r="N1177" s="5" t="str">
        <f>IFERROR(__xludf.DUMMYFUNCTION("IF(AND(F1177&lt;&gt;"""",REGEXMATCH(SUBSTITUTE(F1177,"" "",""""),""^-?\d+(\.\d+)?,-?\d+(\.\d+)?$""),VALUE(REGEXEXTRACT(SUBSTITUTE(F1177,"" "",""""),""^-?\d+(\.\d+)?""))&gt;=-90,VALUE(REGEXEXTRACT(SUBSTITUTE(F1177,"" "",""""),""^-?\d+(\.\d+)?""))&lt;=90,VALUE(REGEXEXT"&amp;"RACT(SUBSTITUTE(F1177,"" "",""""),""-?\d+(\.\d+)?$""))&gt;=-180,VALUE(REGEXEXTRACT(SUBSTITUTE(F1177,"" "",""""),""-?\d+(\.\d+)?$""))&lt;=180),""OK"",""REVISAR"")"),"#N/A")</f>
        <v>#N/A</v>
      </c>
    </row>
    <row r="1178" ht="15.75" customHeight="1">
      <c r="A1178" s="5" t="str">
        <f t="shared" si="1"/>
        <v>AD507-1176</v>
      </c>
      <c r="C1178" s="5"/>
      <c r="F1178" s="5"/>
      <c r="G1178" s="5" t="str">
        <f t="shared" si="2"/>
        <v/>
      </c>
      <c r="H1178" s="5" t="str">
        <f t="shared" si="3"/>
        <v/>
      </c>
      <c r="I1178" s="5" t="str">
        <f t="shared" si="4"/>
        <v/>
      </c>
      <c r="J1178" s="5" t="str">
        <f t="shared" si="5"/>
        <v/>
      </c>
      <c r="K1178" s="5" t="str">
        <f>IFERROR(__xludf.DUMMYFUNCTION("IF(C1178&lt;&gt;"""",HYPERLINK(""https://wa.me/507""&amp;REGEXREPLACE(C1178,""[^0-9]"","""")&amp;""?text=""&amp;ENCODEURL(""Ya llegue. Codigo: ""&amp;A1178&amp;"". Ubicacion: ""&amp;""https://www.google.com/maps/search/?api=1&amp;query=""&amp;SUBSTITUTE(F1178,"" "","""")),""📲 Avisar al clien"&amp;"te""),"""")"),"")</f>
        <v/>
      </c>
      <c r="L1178" s="5" t="str">
        <f>IFERROR(__xludf.DUMMYFUNCTION("IF(C1178&lt;&gt;"""",""https://api.qrserver.com/v1/create-qr-code/?size=200x200&amp;data=""&amp;ENCODEURL(""https://wa.me/507""&amp;REGEXREPLACE(C1178,""[^0-9]"","""")&amp;""?text=""&amp;ENCODEURL(""Ya llegue. Codigo: ""&amp;A1178&amp;"". Ubicacion: ""&amp;""https://www.google.com/maps/search"&amp;"/?api=1&amp;query=""&amp;SUBSTITUTE(F1178,"" "",""""))),"""")"),"")</f>
        <v/>
      </c>
      <c r="M1178" s="5" t="str">
        <f t="shared" si="6"/>
        <v/>
      </c>
      <c r="N1178" s="5" t="str">
        <f>IFERROR(__xludf.DUMMYFUNCTION("IF(AND(F1178&lt;&gt;"""",REGEXMATCH(SUBSTITUTE(F1178,"" "",""""),""^-?\d+(\.\d+)?,-?\d+(\.\d+)?$""),VALUE(REGEXEXTRACT(SUBSTITUTE(F1178,"" "",""""),""^-?\d+(\.\d+)?""))&gt;=-90,VALUE(REGEXEXTRACT(SUBSTITUTE(F1178,"" "",""""),""^-?\d+(\.\d+)?""))&lt;=90,VALUE(REGEXEXT"&amp;"RACT(SUBSTITUTE(F1178,"" "",""""),""-?\d+(\.\d+)?$""))&gt;=-180,VALUE(REGEXEXTRACT(SUBSTITUTE(F1178,"" "",""""),""-?\d+(\.\d+)?$""))&lt;=180),""OK"",""REVISAR"")"),"#N/A")</f>
        <v>#N/A</v>
      </c>
    </row>
    <row r="1179" ht="15.75" customHeight="1">
      <c r="A1179" s="5" t="str">
        <f t="shared" si="1"/>
        <v>AD507-1177</v>
      </c>
      <c r="C1179" s="5"/>
      <c r="F1179" s="5"/>
      <c r="G1179" s="5" t="str">
        <f t="shared" si="2"/>
        <v/>
      </c>
      <c r="H1179" s="5" t="str">
        <f t="shared" si="3"/>
        <v/>
      </c>
      <c r="I1179" s="5" t="str">
        <f t="shared" si="4"/>
        <v/>
      </c>
      <c r="J1179" s="5" t="str">
        <f t="shared" si="5"/>
        <v/>
      </c>
      <c r="K1179" s="5" t="str">
        <f>IFERROR(__xludf.DUMMYFUNCTION("IF(C1179&lt;&gt;"""",HYPERLINK(""https://wa.me/507""&amp;REGEXREPLACE(C1179,""[^0-9]"","""")&amp;""?text=""&amp;ENCODEURL(""Ya llegue. Codigo: ""&amp;A1179&amp;"". Ubicacion: ""&amp;""https://www.google.com/maps/search/?api=1&amp;query=""&amp;SUBSTITUTE(F1179,"" "","""")),""📲 Avisar al clien"&amp;"te""),"""")"),"")</f>
        <v/>
      </c>
      <c r="L1179" s="5" t="str">
        <f>IFERROR(__xludf.DUMMYFUNCTION("IF(C1179&lt;&gt;"""",""https://api.qrserver.com/v1/create-qr-code/?size=200x200&amp;data=""&amp;ENCODEURL(""https://wa.me/507""&amp;REGEXREPLACE(C1179,""[^0-9]"","""")&amp;""?text=""&amp;ENCODEURL(""Ya llegue. Codigo: ""&amp;A1179&amp;"". Ubicacion: ""&amp;""https://www.google.com/maps/search"&amp;"/?api=1&amp;query=""&amp;SUBSTITUTE(F1179,"" "",""""))),"""")"),"")</f>
        <v/>
      </c>
      <c r="M1179" s="5" t="str">
        <f t="shared" si="6"/>
        <v/>
      </c>
      <c r="N1179" s="5" t="str">
        <f>IFERROR(__xludf.DUMMYFUNCTION("IF(AND(F1179&lt;&gt;"""",REGEXMATCH(SUBSTITUTE(F1179,"" "",""""),""^-?\d+(\.\d+)?,-?\d+(\.\d+)?$""),VALUE(REGEXEXTRACT(SUBSTITUTE(F1179,"" "",""""),""^-?\d+(\.\d+)?""))&gt;=-90,VALUE(REGEXEXTRACT(SUBSTITUTE(F1179,"" "",""""),""^-?\d+(\.\d+)?""))&lt;=90,VALUE(REGEXEXT"&amp;"RACT(SUBSTITUTE(F1179,"" "",""""),""-?\d+(\.\d+)?$""))&gt;=-180,VALUE(REGEXEXTRACT(SUBSTITUTE(F1179,"" "",""""),""-?\d+(\.\d+)?$""))&lt;=180),""OK"",""REVISAR"")"),"#N/A")</f>
        <v>#N/A</v>
      </c>
    </row>
    <row r="1180" ht="15.75" customHeight="1">
      <c r="A1180" s="5" t="str">
        <f t="shared" si="1"/>
        <v>AD507-1178</v>
      </c>
      <c r="C1180" s="5"/>
      <c r="F1180" s="5"/>
      <c r="G1180" s="5" t="str">
        <f t="shared" si="2"/>
        <v/>
      </c>
      <c r="H1180" s="5" t="str">
        <f t="shared" si="3"/>
        <v/>
      </c>
      <c r="I1180" s="5" t="str">
        <f t="shared" si="4"/>
        <v/>
      </c>
      <c r="J1180" s="5" t="str">
        <f t="shared" si="5"/>
        <v/>
      </c>
      <c r="K1180" s="5" t="str">
        <f>IFERROR(__xludf.DUMMYFUNCTION("IF(C1180&lt;&gt;"""",HYPERLINK(""https://wa.me/507""&amp;REGEXREPLACE(C1180,""[^0-9]"","""")&amp;""?text=""&amp;ENCODEURL(""Ya llegue. Codigo: ""&amp;A1180&amp;"". Ubicacion: ""&amp;""https://www.google.com/maps/search/?api=1&amp;query=""&amp;SUBSTITUTE(F1180,"" "","""")),""📲 Avisar al clien"&amp;"te""),"""")"),"")</f>
        <v/>
      </c>
      <c r="L1180" s="5" t="str">
        <f>IFERROR(__xludf.DUMMYFUNCTION("IF(C1180&lt;&gt;"""",""https://api.qrserver.com/v1/create-qr-code/?size=200x200&amp;data=""&amp;ENCODEURL(""https://wa.me/507""&amp;REGEXREPLACE(C1180,""[^0-9]"","""")&amp;""?text=""&amp;ENCODEURL(""Ya llegue. Codigo: ""&amp;A1180&amp;"". Ubicacion: ""&amp;""https://www.google.com/maps/search"&amp;"/?api=1&amp;query=""&amp;SUBSTITUTE(F1180,"" "",""""))),"""")"),"")</f>
        <v/>
      </c>
      <c r="M1180" s="5" t="str">
        <f t="shared" si="6"/>
        <v/>
      </c>
      <c r="N1180" s="5" t="str">
        <f>IFERROR(__xludf.DUMMYFUNCTION("IF(AND(F1180&lt;&gt;"""",REGEXMATCH(SUBSTITUTE(F1180,"" "",""""),""^-?\d+(\.\d+)?,-?\d+(\.\d+)?$""),VALUE(REGEXEXTRACT(SUBSTITUTE(F1180,"" "",""""),""^-?\d+(\.\d+)?""))&gt;=-90,VALUE(REGEXEXTRACT(SUBSTITUTE(F1180,"" "",""""),""^-?\d+(\.\d+)?""))&lt;=90,VALUE(REGEXEXT"&amp;"RACT(SUBSTITUTE(F1180,"" "",""""),""-?\d+(\.\d+)?$""))&gt;=-180,VALUE(REGEXEXTRACT(SUBSTITUTE(F1180,"" "",""""),""-?\d+(\.\d+)?$""))&lt;=180),""OK"",""REVISAR"")"),"#N/A")</f>
        <v>#N/A</v>
      </c>
    </row>
    <row r="1181" ht="15.75" customHeight="1">
      <c r="A1181" s="5" t="str">
        <f t="shared" si="1"/>
        <v>AD507-1179</v>
      </c>
      <c r="C1181" s="5"/>
      <c r="F1181" s="5"/>
      <c r="G1181" s="5" t="str">
        <f t="shared" si="2"/>
        <v/>
      </c>
      <c r="H1181" s="5" t="str">
        <f t="shared" si="3"/>
        <v/>
      </c>
      <c r="I1181" s="5" t="str">
        <f t="shared" si="4"/>
        <v/>
      </c>
      <c r="J1181" s="5" t="str">
        <f t="shared" si="5"/>
        <v/>
      </c>
      <c r="K1181" s="5" t="str">
        <f>IFERROR(__xludf.DUMMYFUNCTION("IF(C1181&lt;&gt;"""",HYPERLINK(""https://wa.me/507""&amp;REGEXREPLACE(C1181,""[^0-9]"","""")&amp;""?text=""&amp;ENCODEURL(""Ya llegue. Codigo: ""&amp;A1181&amp;"". Ubicacion: ""&amp;""https://www.google.com/maps/search/?api=1&amp;query=""&amp;SUBSTITUTE(F1181,"" "","""")),""📲 Avisar al clien"&amp;"te""),"""")"),"")</f>
        <v/>
      </c>
      <c r="L1181" s="5" t="str">
        <f>IFERROR(__xludf.DUMMYFUNCTION("IF(C1181&lt;&gt;"""",""https://api.qrserver.com/v1/create-qr-code/?size=200x200&amp;data=""&amp;ENCODEURL(""https://wa.me/507""&amp;REGEXREPLACE(C1181,""[^0-9]"","""")&amp;""?text=""&amp;ENCODEURL(""Ya llegue. Codigo: ""&amp;A1181&amp;"". Ubicacion: ""&amp;""https://www.google.com/maps/search"&amp;"/?api=1&amp;query=""&amp;SUBSTITUTE(F1181,"" "",""""))),"""")"),"")</f>
        <v/>
      </c>
      <c r="M1181" s="5" t="str">
        <f t="shared" si="6"/>
        <v/>
      </c>
      <c r="N1181" s="5" t="str">
        <f>IFERROR(__xludf.DUMMYFUNCTION("IF(AND(F1181&lt;&gt;"""",REGEXMATCH(SUBSTITUTE(F1181,"" "",""""),""^-?\d+(\.\d+)?,-?\d+(\.\d+)?$""),VALUE(REGEXEXTRACT(SUBSTITUTE(F1181,"" "",""""),""^-?\d+(\.\d+)?""))&gt;=-90,VALUE(REGEXEXTRACT(SUBSTITUTE(F1181,"" "",""""),""^-?\d+(\.\d+)?""))&lt;=90,VALUE(REGEXEXT"&amp;"RACT(SUBSTITUTE(F1181,"" "",""""),""-?\d+(\.\d+)?$""))&gt;=-180,VALUE(REGEXEXTRACT(SUBSTITUTE(F1181,"" "",""""),""-?\d+(\.\d+)?$""))&lt;=180),""OK"",""REVISAR"")"),"#N/A")</f>
        <v>#N/A</v>
      </c>
    </row>
    <row r="1182" ht="15.75" customHeight="1">
      <c r="A1182" s="5" t="str">
        <f t="shared" si="1"/>
        <v>AD507-1180</v>
      </c>
      <c r="C1182" s="5"/>
      <c r="F1182" s="5"/>
      <c r="G1182" s="5" t="str">
        <f t="shared" si="2"/>
        <v/>
      </c>
      <c r="H1182" s="5" t="str">
        <f t="shared" si="3"/>
        <v/>
      </c>
      <c r="I1182" s="5" t="str">
        <f t="shared" si="4"/>
        <v/>
      </c>
      <c r="J1182" s="5" t="str">
        <f t="shared" si="5"/>
        <v/>
      </c>
      <c r="K1182" s="5" t="str">
        <f>IFERROR(__xludf.DUMMYFUNCTION("IF(C1182&lt;&gt;"""",HYPERLINK(""https://wa.me/507""&amp;REGEXREPLACE(C1182,""[^0-9]"","""")&amp;""?text=""&amp;ENCODEURL(""Ya llegue. Codigo: ""&amp;A1182&amp;"". Ubicacion: ""&amp;""https://www.google.com/maps/search/?api=1&amp;query=""&amp;SUBSTITUTE(F1182,"" "","""")),""📲 Avisar al clien"&amp;"te""),"""")"),"")</f>
        <v/>
      </c>
      <c r="L1182" s="5" t="str">
        <f>IFERROR(__xludf.DUMMYFUNCTION("IF(C1182&lt;&gt;"""",""https://api.qrserver.com/v1/create-qr-code/?size=200x200&amp;data=""&amp;ENCODEURL(""https://wa.me/507""&amp;REGEXREPLACE(C1182,""[^0-9]"","""")&amp;""?text=""&amp;ENCODEURL(""Ya llegue. Codigo: ""&amp;A1182&amp;"". Ubicacion: ""&amp;""https://www.google.com/maps/search"&amp;"/?api=1&amp;query=""&amp;SUBSTITUTE(F1182,"" "",""""))),"""")"),"")</f>
        <v/>
      </c>
      <c r="M1182" s="5" t="str">
        <f t="shared" si="6"/>
        <v/>
      </c>
      <c r="N1182" s="5" t="str">
        <f>IFERROR(__xludf.DUMMYFUNCTION("IF(AND(F1182&lt;&gt;"""",REGEXMATCH(SUBSTITUTE(F1182,"" "",""""),""^-?\d+(\.\d+)?,-?\d+(\.\d+)?$""),VALUE(REGEXEXTRACT(SUBSTITUTE(F1182,"" "",""""),""^-?\d+(\.\d+)?""))&gt;=-90,VALUE(REGEXEXTRACT(SUBSTITUTE(F1182,"" "",""""),""^-?\d+(\.\d+)?""))&lt;=90,VALUE(REGEXEXT"&amp;"RACT(SUBSTITUTE(F1182,"" "",""""),""-?\d+(\.\d+)?$""))&gt;=-180,VALUE(REGEXEXTRACT(SUBSTITUTE(F1182,"" "",""""),""-?\d+(\.\d+)?$""))&lt;=180),""OK"",""REVISAR"")"),"#N/A")</f>
        <v>#N/A</v>
      </c>
    </row>
    <row r="1183" ht="15.75" customHeight="1">
      <c r="A1183" s="5" t="str">
        <f t="shared" si="1"/>
        <v>AD507-1181</v>
      </c>
      <c r="C1183" s="5"/>
      <c r="F1183" s="5"/>
      <c r="G1183" s="5" t="str">
        <f t="shared" si="2"/>
        <v/>
      </c>
      <c r="H1183" s="5" t="str">
        <f t="shared" si="3"/>
        <v/>
      </c>
      <c r="I1183" s="5" t="str">
        <f t="shared" si="4"/>
        <v/>
      </c>
      <c r="J1183" s="5" t="str">
        <f t="shared" si="5"/>
        <v/>
      </c>
      <c r="K1183" s="5" t="str">
        <f>IFERROR(__xludf.DUMMYFUNCTION("IF(C1183&lt;&gt;"""",HYPERLINK(""https://wa.me/507""&amp;REGEXREPLACE(C1183,""[^0-9]"","""")&amp;""?text=""&amp;ENCODEURL(""Ya llegue. Codigo: ""&amp;A1183&amp;"". Ubicacion: ""&amp;""https://www.google.com/maps/search/?api=1&amp;query=""&amp;SUBSTITUTE(F1183,"" "","""")),""📲 Avisar al clien"&amp;"te""),"""")"),"")</f>
        <v/>
      </c>
      <c r="L1183" s="5" t="str">
        <f>IFERROR(__xludf.DUMMYFUNCTION("IF(C1183&lt;&gt;"""",""https://api.qrserver.com/v1/create-qr-code/?size=200x200&amp;data=""&amp;ENCODEURL(""https://wa.me/507""&amp;REGEXREPLACE(C1183,""[^0-9]"","""")&amp;""?text=""&amp;ENCODEURL(""Ya llegue. Codigo: ""&amp;A1183&amp;"". Ubicacion: ""&amp;""https://www.google.com/maps/search"&amp;"/?api=1&amp;query=""&amp;SUBSTITUTE(F1183,"" "",""""))),"""")"),"")</f>
        <v/>
      </c>
      <c r="M1183" s="5" t="str">
        <f t="shared" si="6"/>
        <v/>
      </c>
      <c r="N1183" s="5" t="str">
        <f>IFERROR(__xludf.DUMMYFUNCTION("IF(AND(F1183&lt;&gt;"""",REGEXMATCH(SUBSTITUTE(F1183,"" "",""""),""^-?\d+(\.\d+)?,-?\d+(\.\d+)?$""),VALUE(REGEXEXTRACT(SUBSTITUTE(F1183,"" "",""""),""^-?\d+(\.\d+)?""))&gt;=-90,VALUE(REGEXEXTRACT(SUBSTITUTE(F1183,"" "",""""),""^-?\d+(\.\d+)?""))&lt;=90,VALUE(REGEXEXT"&amp;"RACT(SUBSTITUTE(F1183,"" "",""""),""-?\d+(\.\d+)?$""))&gt;=-180,VALUE(REGEXEXTRACT(SUBSTITUTE(F1183,"" "",""""),""-?\d+(\.\d+)?$""))&lt;=180),""OK"",""REVISAR"")"),"#N/A")</f>
        <v>#N/A</v>
      </c>
    </row>
    <row r="1184" ht="15.75" customHeight="1">
      <c r="A1184" s="5" t="str">
        <f t="shared" si="1"/>
        <v>AD507-1182</v>
      </c>
      <c r="C1184" s="5"/>
      <c r="F1184" s="5"/>
      <c r="G1184" s="5" t="str">
        <f t="shared" si="2"/>
        <v/>
      </c>
      <c r="H1184" s="5" t="str">
        <f t="shared" si="3"/>
        <v/>
      </c>
      <c r="I1184" s="5" t="str">
        <f t="shared" si="4"/>
        <v/>
      </c>
      <c r="J1184" s="5" t="str">
        <f t="shared" si="5"/>
        <v/>
      </c>
      <c r="K1184" s="5" t="str">
        <f>IFERROR(__xludf.DUMMYFUNCTION("IF(C1184&lt;&gt;"""",HYPERLINK(""https://wa.me/507""&amp;REGEXREPLACE(C1184,""[^0-9]"","""")&amp;""?text=""&amp;ENCODEURL(""Ya llegue. Codigo: ""&amp;A1184&amp;"". Ubicacion: ""&amp;""https://www.google.com/maps/search/?api=1&amp;query=""&amp;SUBSTITUTE(F1184,"" "","""")),""📲 Avisar al clien"&amp;"te""),"""")"),"")</f>
        <v/>
      </c>
      <c r="L1184" s="5" t="str">
        <f>IFERROR(__xludf.DUMMYFUNCTION("IF(C1184&lt;&gt;"""",""https://api.qrserver.com/v1/create-qr-code/?size=200x200&amp;data=""&amp;ENCODEURL(""https://wa.me/507""&amp;REGEXREPLACE(C1184,""[^0-9]"","""")&amp;""?text=""&amp;ENCODEURL(""Ya llegue. Codigo: ""&amp;A1184&amp;"". Ubicacion: ""&amp;""https://www.google.com/maps/search"&amp;"/?api=1&amp;query=""&amp;SUBSTITUTE(F1184,"" "",""""))),"""")"),"")</f>
        <v/>
      </c>
      <c r="M1184" s="5" t="str">
        <f t="shared" si="6"/>
        <v/>
      </c>
      <c r="N1184" s="5" t="str">
        <f>IFERROR(__xludf.DUMMYFUNCTION("IF(AND(F1184&lt;&gt;"""",REGEXMATCH(SUBSTITUTE(F1184,"" "",""""),""^-?\d+(\.\d+)?,-?\d+(\.\d+)?$""),VALUE(REGEXEXTRACT(SUBSTITUTE(F1184,"" "",""""),""^-?\d+(\.\d+)?""))&gt;=-90,VALUE(REGEXEXTRACT(SUBSTITUTE(F1184,"" "",""""),""^-?\d+(\.\d+)?""))&lt;=90,VALUE(REGEXEXT"&amp;"RACT(SUBSTITUTE(F1184,"" "",""""),""-?\d+(\.\d+)?$""))&gt;=-180,VALUE(REGEXEXTRACT(SUBSTITUTE(F1184,"" "",""""),""-?\d+(\.\d+)?$""))&lt;=180),""OK"",""REVISAR"")"),"#N/A")</f>
        <v>#N/A</v>
      </c>
    </row>
    <row r="1185" ht="15.75" customHeight="1">
      <c r="A1185" s="5" t="str">
        <f t="shared" si="1"/>
        <v>AD507-1183</v>
      </c>
      <c r="C1185" s="5"/>
      <c r="F1185" s="5"/>
      <c r="G1185" s="5" t="str">
        <f t="shared" si="2"/>
        <v/>
      </c>
      <c r="H1185" s="5" t="str">
        <f t="shared" si="3"/>
        <v/>
      </c>
      <c r="I1185" s="5" t="str">
        <f t="shared" si="4"/>
        <v/>
      </c>
      <c r="J1185" s="5" t="str">
        <f t="shared" si="5"/>
        <v/>
      </c>
      <c r="K1185" s="5" t="str">
        <f>IFERROR(__xludf.DUMMYFUNCTION("IF(C1185&lt;&gt;"""",HYPERLINK(""https://wa.me/507""&amp;REGEXREPLACE(C1185,""[^0-9]"","""")&amp;""?text=""&amp;ENCODEURL(""Ya llegue. Codigo: ""&amp;A1185&amp;"". Ubicacion: ""&amp;""https://www.google.com/maps/search/?api=1&amp;query=""&amp;SUBSTITUTE(F1185,"" "","""")),""📲 Avisar al clien"&amp;"te""),"""")"),"")</f>
        <v/>
      </c>
      <c r="L1185" s="5" t="str">
        <f>IFERROR(__xludf.DUMMYFUNCTION("IF(C1185&lt;&gt;"""",""https://api.qrserver.com/v1/create-qr-code/?size=200x200&amp;data=""&amp;ENCODEURL(""https://wa.me/507""&amp;REGEXREPLACE(C1185,""[^0-9]"","""")&amp;""?text=""&amp;ENCODEURL(""Ya llegue. Codigo: ""&amp;A1185&amp;"". Ubicacion: ""&amp;""https://www.google.com/maps/search"&amp;"/?api=1&amp;query=""&amp;SUBSTITUTE(F1185,"" "",""""))),"""")"),"")</f>
        <v/>
      </c>
      <c r="M1185" s="5" t="str">
        <f t="shared" si="6"/>
        <v/>
      </c>
      <c r="N1185" s="5" t="str">
        <f>IFERROR(__xludf.DUMMYFUNCTION("IF(AND(F1185&lt;&gt;"""",REGEXMATCH(SUBSTITUTE(F1185,"" "",""""),""^-?\d+(\.\d+)?,-?\d+(\.\d+)?$""),VALUE(REGEXEXTRACT(SUBSTITUTE(F1185,"" "",""""),""^-?\d+(\.\d+)?""))&gt;=-90,VALUE(REGEXEXTRACT(SUBSTITUTE(F1185,"" "",""""),""^-?\d+(\.\d+)?""))&lt;=90,VALUE(REGEXEXT"&amp;"RACT(SUBSTITUTE(F1185,"" "",""""),""-?\d+(\.\d+)?$""))&gt;=-180,VALUE(REGEXEXTRACT(SUBSTITUTE(F1185,"" "",""""),""-?\d+(\.\d+)?$""))&lt;=180),""OK"",""REVISAR"")"),"#N/A")</f>
        <v>#N/A</v>
      </c>
    </row>
    <row r="1186" ht="15.75" customHeight="1">
      <c r="A1186" s="5" t="str">
        <f t="shared" si="1"/>
        <v>AD507-1184</v>
      </c>
      <c r="C1186" s="5"/>
      <c r="F1186" s="5"/>
      <c r="G1186" s="5" t="str">
        <f t="shared" si="2"/>
        <v/>
      </c>
      <c r="H1186" s="5" t="str">
        <f t="shared" si="3"/>
        <v/>
      </c>
      <c r="I1186" s="5" t="str">
        <f t="shared" si="4"/>
        <v/>
      </c>
      <c r="J1186" s="5" t="str">
        <f t="shared" si="5"/>
        <v/>
      </c>
      <c r="K1186" s="5" t="str">
        <f>IFERROR(__xludf.DUMMYFUNCTION("IF(C1186&lt;&gt;"""",HYPERLINK(""https://wa.me/507""&amp;REGEXREPLACE(C1186,""[^0-9]"","""")&amp;""?text=""&amp;ENCODEURL(""Ya llegue. Codigo: ""&amp;A1186&amp;"". Ubicacion: ""&amp;""https://www.google.com/maps/search/?api=1&amp;query=""&amp;SUBSTITUTE(F1186,"" "","""")),""📲 Avisar al clien"&amp;"te""),"""")"),"")</f>
        <v/>
      </c>
      <c r="L1186" s="5" t="str">
        <f>IFERROR(__xludf.DUMMYFUNCTION("IF(C1186&lt;&gt;"""",""https://api.qrserver.com/v1/create-qr-code/?size=200x200&amp;data=""&amp;ENCODEURL(""https://wa.me/507""&amp;REGEXREPLACE(C1186,""[^0-9]"","""")&amp;""?text=""&amp;ENCODEURL(""Ya llegue. Codigo: ""&amp;A1186&amp;"". Ubicacion: ""&amp;""https://www.google.com/maps/search"&amp;"/?api=1&amp;query=""&amp;SUBSTITUTE(F1186,"" "",""""))),"""")"),"")</f>
        <v/>
      </c>
      <c r="M1186" s="5" t="str">
        <f t="shared" si="6"/>
        <v/>
      </c>
      <c r="N1186" s="5" t="str">
        <f>IFERROR(__xludf.DUMMYFUNCTION("IF(AND(F1186&lt;&gt;"""",REGEXMATCH(SUBSTITUTE(F1186,"" "",""""),""^-?\d+(\.\d+)?,-?\d+(\.\d+)?$""),VALUE(REGEXEXTRACT(SUBSTITUTE(F1186,"" "",""""),""^-?\d+(\.\d+)?""))&gt;=-90,VALUE(REGEXEXTRACT(SUBSTITUTE(F1186,"" "",""""),""^-?\d+(\.\d+)?""))&lt;=90,VALUE(REGEXEXT"&amp;"RACT(SUBSTITUTE(F1186,"" "",""""),""-?\d+(\.\d+)?$""))&gt;=-180,VALUE(REGEXEXTRACT(SUBSTITUTE(F1186,"" "",""""),""-?\d+(\.\d+)?$""))&lt;=180),""OK"",""REVISAR"")"),"#N/A")</f>
        <v>#N/A</v>
      </c>
    </row>
    <row r="1187" ht="15.75" customHeight="1">
      <c r="A1187" s="5" t="str">
        <f t="shared" si="1"/>
        <v>AD507-1185</v>
      </c>
      <c r="C1187" s="5"/>
      <c r="F1187" s="5"/>
      <c r="G1187" s="5" t="str">
        <f t="shared" si="2"/>
        <v/>
      </c>
      <c r="H1187" s="5" t="str">
        <f t="shared" si="3"/>
        <v/>
      </c>
      <c r="I1187" s="5" t="str">
        <f t="shared" si="4"/>
        <v/>
      </c>
      <c r="J1187" s="5" t="str">
        <f t="shared" si="5"/>
        <v/>
      </c>
      <c r="K1187" s="5" t="str">
        <f>IFERROR(__xludf.DUMMYFUNCTION("IF(C1187&lt;&gt;"""",HYPERLINK(""https://wa.me/507""&amp;REGEXREPLACE(C1187,""[^0-9]"","""")&amp;""?text=""&amp;ENCODEURL(""Ya llegue. Codigo: ""&amp;A1187&amp;"". Ubicacion: ""&amp;""https://www.google.com/maps/search/?api=1&amp;query=""&amp;SUBSTITUTE(F1187,"" "","""")),""📲 Avisar al clien"&amp;"te""),"""")"),"")</f>
        <v/>
      </c>
      <c r="L1187" s="5" t="str">
        <f>IFERROR(__xludf.DUMMYFUNCTION("IF(C1187&lt;&gt;"""",""https://api.qrserver.com/v1/create-qr-code/?size=200x200&amp;data=""&amp;ENCODEURL(""https://wa.me/507""&amp;REGEXREPLACE(C1187,""[^0-9]"","""")&amp;""?text=""&amp;ENCODEURL(""Ya llegue. Codigo: ""&amp;A1187&amp;"". Ubicacion: ""&amp;""https://www.google.com/maps/search"&amp;"/?api=1&amp;query=""&amp;SUBSTITUTE(F1187,"" "",""""))),"""")"),"")</f>
        <v/>
      </c>
      <c r="M1187" s="5" t="str">
        <f t="shared" si="6"/>
        <v/>
      </c>
      <c r="N1187" s="5" t="str">
        <f>IFERROR(__xludf.DUMMYFUNCTION("IF(AND(F1187&lt;&gt;"""",REGEXMATCH(SUBSTITUTE(F1187,"" "",""""),""^-?\d+(\.\d+)?,-?\d+(\.\d+)?$""),VALUE(REGEXEXTRACT(SUBSTITUTE(F1187,"" "",""""),""^-?\d+(\.\d+)?""))&gt;=-90,VALUE(REGEXEXTRACT(SUBSTITUTE(F1187,"" "",""""),""^-?\d+(\.\d+)?""))&lt;=90,VALUE(REGEXEXT"&amp;"RACT(SUBSTITUTE(F1187,"" "",""""),""-?\d+(\.\d+)?$""))&gt;=-180,VALUE(REGEXEXTRACT(SUBSTITUTE(F1187,"" "",""""),""-?\d+(\.\d+)?$""))&lt;=180),""OK"",""REVISAR"")"),"#N/A")</f>
        <v>#N/A</v>
      </c>
    </row>
    <row r="1188" ht="15.75" customHeight="1">
      <c r="A1188" s="5" t="str">
        <f t="shared" si="1"/>
        <v>AD507-1186</v>
      </c>
      <c r="C1188" s="5"/>
      <c r="F1188" s="5"/>
      <c r="G1188" s="5" t="str">
        <f t="shared" si="2"/>
        <v/>
      </c>
      <c r="H1188" s="5" t="str">
        <f t="shared" si="3"/>
        <v/>
      </c>
      <c r="I1188" s="5" t="str">
        <f t="shared" si="4"/>
        <v/>
      </c>
      <c r="J1188" s="5" t="str">
        <f t="shared" si="5"/>
        <v/>
      </c>
      <c r="K1188" s="5" t="str">
        <f>IFERROR(__xludf.DUMMYFUNCTION("IF(C1188&lt;&gt;"""",HYPERLINK(""https://wa.me/507""&amp;REGEXREPLACE(C1188,""[^0-9]"","""")&amp;""?text=""&amp;ENCODEURL(""Ya llegue. Codigo: ""&amp;A1188&amp;"". Ubicacion: ""&amp;""https://www.google.com/maps/search/?api=1&amp;query=""&amp;SUBSTITUTE(F1188,"" "","""")),""📲 Avisar al clien"&amp;"te""),"""")"),"")</f>
        <v/>
      </c>
      <c r="L1188" s="5" t="str">
        <f>IFERROR(__xludf.DUMMYFUNCTION("IF(C1188&lt;&gt;"""",""https://api.qrserver.com/v1/create-qr-code/?size=200x200&amp;data=""&amp;ENCODEURL(""https://wa.me/507""&amp;REGEXREPLACE(C1188,""[^0-9]"","""")&amp;""?text=""&amp;ENCODEURL(""Ya llegue. Codigo: ""&amp;A1188&amp;"". Ubicacion: ""&amp;""https://www.google.com/maps/search"&amp;"/?api=1&amp;query=""&amp;SUBSTITUTE(F1188,"" "",""""))),"""")"),"")</f>
        <v/>
      </c>
      <c r="M1188" s="5" t="str">
        <f t="shared" si="6"/>
        <v/>
      </c>
      <c r="N1188" s="5" t="str">
        <f>IFERROR(__xludf.DUMMYFUNCTION("IF(AND(F1188&lt;&gt;"""",REGEXMATCH(SUBSTITUTE(F1188,"" "",""""),""^-?\d+(\.\d+)?,-?\d+(\.\d+)?$""),VALUE(REGEXEXTRACT(SUBSTITUTE(F1188,"" "",""""),""^-?\d+(\.\d+)?""))&gt;=-90,VALUE(REGEXEXTRACT(SUBSTITUTE(F1188,"" "",""""),""^-?\d+(\.\d+)?""))&lt;=90,VALUE(REGEXEXT"&amp;"RACT(SUBSTITUTE(F1188,"" "",""""),""-?\d+(\.\d+)?$""))&gt;=-180,VALUE(REGEXEXTRACT(SUBSTITUTE(F1188,"" "",""""),""-?\d+(\.\d+)?$""))&lt;=180),""OK"",""REVISAR"")"),"#N/A")</f>
        <v>#N/A</v>
      </c>
    </row>
    <row r="1189" ht="15.75" customHeight="1">
      <c r="A1189" s="5" t="str">
        <f t="shared" si="1"/>
        <v>AD507-1187</v>
      </c>
      <c r="C1189" s="5"/>
      <c r="F1189" s="5"/>
      <c r="G1189" s="5" t="str">
        <f t="shared" si="2"/>
        <v/>
      </c>
      <c r="H1189" s="5" t="str">
        <f t="shared" si="3"/>
        <v/>
      </c>
      <c r="I1189" s="5" t="str">
        <f t="shared" si="4"/>
        <v/>
      </c>
      <c r="J1189" s="5" t="str">
        <f t="shared" si="5"/>
        <v/>
      </c>
      <c r="K1189" s="5" t="str">
        <f>IFERROR(__xludf.DUMMYFUNCTION("IF(C1189&lt;&gt;"""",HYPERLINK(""https://wa.me/507""&amp;REGEXREPLACE(C1189,""[^0-9]"","""")&amp;""?text=""&amp;ENCODEURL(""Ya llegue. Codigo: ""&amp;A1189&amp;"". Ubicacion: ""&amp;""https://www.google.com/maps/search/?api=1&amp;query=""&amp;SUBSTITUTE(F1189,"" "","""")),""📲 Avisar al clien"&amp;"te""),"""")"),"")</f>
        <v/>
      </c>
      <c r="L1189" s="5" t="str">
        <f>IFERROR(__xludf.DUMMYFUNCTION("IF(C1189&lt;&gt;"""",""https://api.qrserver.com/v1/create-qr-code/?size=200x200&amp;data=""&amp;ENCODEURL(""https://wa.me/507""&amp;REGEXREPLACE(C1189,""[^0-9]"","""")&amp;""?text=""&amp;ENCODEURL(""Ya llegue. Codigo: ""&amp;A1189&amp;"". Ubicacion: ""&amp;""https://www.google.com/maps/search"&amp;"/?api=1&amp;query=""&amp;SUBSTITUTE(F1189,"" "",""""))),"""")"),"")</f>
        <v/>
      </c>
      <c r="M1189" s="5" t="str">
        <f t="shared" si="6"/>
        <v/>
      </c>
      <c r="N1189" s="5" t="str">
        <f>IFERROR(__xludf.DUMMYFUNCTION("IF(AND(F1189&lt;&gt;"""",REGEXMATCH(SUBSTITUTE(F1189,"" "",""""),""^-?\d+(\.\d+)?,-?\d+(\.\d+)?$""),VALUE(REGEXEXTRACT(SUBSTITUTE(F1189,"" "",""""),""^-?\d+(\.\d+)?""))&gt;=-90,VALUE(REGEXEXTRACT(SUBSTITUTE(F1189,"" "",""""),""^-?\d+(\.\d+)?""))&lt;=90,VALUE(REGEXEXT"&amp;"RACT(SUBSTITUTE(F1189,"" "",""""),""-?\d+(\.\d+)?$""))&gt;=-180,VALUE(REGEXEXTRACT(SUBSTITUTE(F1189,"" "",""""),""-?\d+(\.\d+)?$""))&lt;=180),""OK"",""REVISAR"")"),"#N/A")</f>
        <v>#N/A</v>
      </c>
    </row>
    <row r="1190" ht="15.75" customHeight="1">
      <c r="A1190" s="5" t="str">
        <f t="shared" si="1"/>
        <v>AD507-1188</v>
      </c>
      <c r="C1190" s="5"/>
      <c r="F1190" s="5"/>
      <c r="G1190" s="5" t="str">
        <f t="shared" si="2"/>
        <v/>
      </c>
      <c r="H1190" s="5" t="str">
        <f t="shared" si="3"/>
        <v/>
      </c>
      <c r="I1190" s="5" t="str">
        <f t="shared" si="4"/>
        <v/>
      </c>
      <c r="J1190" s="5" t="str">
        <f t="shared" si="5"/>
        <v/>
      </c>
      <c r="K1190" s="5" t="str">
        <f>IFERROR(__xludf.DUMMYFUNCTION("IF(C1190&lt;&gt;"""",HYPERLINK(""https://wa.me/507""&amp;REGEXREPLACE(C1190,""[^0-9]"","""")&amp;""?text=""&amp;ENCODEURL(""Ya llegue. Codigo: ""&amp;A1190&amp;"". Ubicacion: ""&amp;""https://www.google.com/maps/search/?api=1&amp;query=""&amp;SUBSTITUTE(F1190,"" "","""")),""📲 Avisar al clien"&amp;"te""),"""")"),"")</f>
        <v/>
      </c>
      <c r="L1190" s="5" t="str">
        <f>IFERROR(__xludf.DUMMYFUNCTION("IF(C1190&lt;&gt;"""",""https://api.qrserver.com/v1/create-qr-code/?size=200x200&amp;data=""&amp;ENCODEURL(""https://wa.me/507""&amp;REGEXREPLACE(C1190,""[^0-9]"","""")&amp;""?text=""&amp;ENCODEURL(""Ya llegue. Codigo: ""&amp;A1190&amp;"". Ubicacion: ""&amp;""https://www.google.com/maps/search"&amp;"/?api=1&amp;query=""&amp;SUBSTITUTE(F1190,"" "",""""))),"""")"),"")</f>
        <v/>
      </c>
      <c r="M1190" s="5" t="str">
        <f t="shared" si="6"/>
        <v/>
      </c>
      <c r="N1190" s="5" t="str">
        <f>IFERROR(__xludf.DUMMYFUNCTION("IF(AND(F1190&lt;&gt;"""",REGEXMATCH(SUBSTITUTE(F1190,"" "",""""),""^-?\d+(\.\d+)?,-?\d+(\.\d+)?$""),VALUE(REGEXEXTRACT(SUBSTITUTE(F1190,"" "",""""),""^-?\d+(\.\d+)?""))&gt;=-90,VALUE(REGEXEXTRACT(SUBSTITUTE(F1190,"" "",""""),""^-?\d+(\.\d+)?""))&lt;=90,VALUE(REGEXEXT"&amp;"RACT(SUBSTITUTE(F1190,"" "",""""),""-?\d+(\.\d+)?$""))&gt;=-180,VALUE(REGEXEXTRACT(SUBSTITUTE(F1190,"" "",""""),""-?\d+(\.\d+)?$""))&lt;=180),""OK"",""REVISAR"")"),"#N/A")</f>
        <v>#N/A</v>
      </c>
    </row>
    <row r="1191" ht="15.75" customHeight="1">
      <c r="A1191" s="5" t="str">
        <f t="shared" si="1"/>
        <v>AD507-1189</v>
      </c>
      <c r="C1191" s="5"/>
      <c r="F1191" s="5"/>
      <c r="G1191" s="5" t="str">
        <f t="shared" si="2"/>
        <v/>
      </c>
      <c r="H1191" s="5" t="str">
        <f t="shared" si="3"/>
        <v/>
      </c>
      <c r="I1191" s="5" t="str">
        <f t="shared" si="4"/>
        <v/>
      </c>
      <c r="J1191" s="5" t="str">
        <f t="shared" si="5"/>
        <v/>
      </c>
      <c r="K1191" s="5" t="str">
        <f>IFERROR(__xludf.DUMMYFUNCTION("IF(C1191&lt;&gt;"""",HYPERLINK(""https://wa.me/507""&amp;REGEXREPLACE(C1191,""[^0-9]"","""")&amp;""?text=""&amp;ENCODEURL(""Ya llegue. Codigo: ""&amp;A1191&amp;"". Ubicacion: ""&amp;""https://www.google.com/maps/search/?api=1&amp;query=""&amp;SUBSTITUTE(F1191,"" "","""")),""📲 Avisar al clien"&amp;"te""),"""")"),"")</f>
        <v/>
      </c>
      <c r="L1191" s="5" t="str">
        <f>IFERROR(__xludf.DUMMYFUNCTION("IF(C1191&lt;&gt;"""",""https://api.qrserver.com/v1/create-qr-code/?size=200x200&amp;data=""&amp;ENCODEURL(""https://wa.me/507""&amp;REGEXREPLACE(C1191,""[^0-9]"","""")&amp;""?text=""&amp;ENCODEURL(""Ya llegue. Codigo: ""&amp;A1191&amp;"". Ubicacion: ""&amp;""https://www.google.com/maps/search"&amp;"/?api=1&amp;query=""&amp;SUBSTITUTE(F1191,"" "",""""))),"""")"),"")</f>
        <v/>
      </c>
      <c r="M1191" s="5" t="str">
        <f t="shared" si="6"/>
        <v/>
      </c>
      <c r="N1191" s="5" t="str">
        <f>IFERROR(__xludf.DUMMYFUNCTION("IF(AND(F1191&lt;&gt;"""",REGEXMATCH(SUBSTITUTE(F1191,"" "",""""),""^-?\d+(\.\d+)?,-?\d+(\.\d+)?$""),VALUE(REGEXEXTRACT(SUBSTITUTE(F1191,"" "",""""),""^-?\d+(\.\d+)?""))&gt;=-90,VALUE(REGEXEXTRACT(SUBSTITUTE(F1191,"" "",""""),""^-?\d+(\.\d+)?""))&lt;=90,VALUE(REGEXEXT"&amp;"RACT(SUBSTITUTE(F1191,"" "",""""),""-?\d+(\.\d+)?$""))&gt;=-180,VALUE(REGEXEXTRACT(SUBSTITUTE(F1191,"" "",""""),""-?\d+(\.\d+)?$""))&lt;=180),""OK"",""REVISAR"")"),"#N/A")</f>
        <v>#N/A</v>
      </c>
    </row>
    <row r="1192" ht="15.75" customHeight="1">
      <c r="A1192" s="5" t="str">
        <f t="shared" si="1"/>
        <v>AD507-1190</v>
      </c>
      <c r="C1192" s="5"/>
      <c r="F1192" s="5"/>
      <c r="G1192" s="5" t="str">
        <f t="shared" si="2"/>
        <v/>
      </c>
      <c r="H1192" s="5" t="str">
        <f t="shared" si="3"/>
        <v/>
      </c>
      <c r="I1192" s="5" t="str">
        <f t="shared" si="4"/>
        <v/>
      </c>
      <c r="J1192" s="5" t="str">
        <f t="shared" si="5"/>
        <v/>
      </c>
      <c r="K1192" s="5" t="str">
        <f>IFERROR(__xludf.DUMMYFUNCTION("IF(C1192&lt;&gt;"""",HYPERLINK(""https://wa.me/507""&amp;REGEXREPLACE(C1192,""[^0-9]"","""")&amp;""?text=""&amp;ENCODEURL(""Ya llegue. Codigo: ""&amp;A1192&amp;"". Ubicacion: ""&amp;""https://www.google.com/maps/search/?api=1&amp;query=""&amp;SUBSTITUTE(F1192,"" "","""")),""📲 Avisar al clien"&amp;"te""),"""")"),"")</f>
        <v/>
      </c>
      <c r="L1192" s="5" t="str">
        <f>IFERROR(__xludf.DUMMYFUNCTION("IF(C1192&lt;&gt;"""",""https://api.qrserver.com/v1/create-qr-code/?size=200x200&amp;data=""&amp;ENCODEURL(""https://wa.me/507""&amp;REGEXREPLACE(C1192,""[^0-9]"","""")&amp;""?text=""&amp;ENCODEURL(""Ya llegue. Codigo: ""&amp;A1192&amp;"". Ubicacion: ""&amp;""https://www.google.com/maps/search"&amp;"/?api=1&amp;query=""&amp;SUBSTITUTE(F1192,"" "",""""))),"""")"),"")</f>
        <v/>
      </c>
      <c r="M1192" s="5" t="str">
        <f t="shared" si="6"/>
        <v/>
      </c>
      <c r="N1192" s="5" t="str">
        <f>IFERROR(__xludf.DUMMYFUNCTION("IF(AND(F1192&lt;&gt;"""",REGEXMATCH(SUBSTITUTE(F1192,"" "",""""),""^-?\d+(\.\d+)?,-?\d+(\.\d+)?$""),VALUE(REGEXEXTRACT(SUBSTITUTE(F1192,"" "",""""),""^-?\d+(\.\d+)?""))&gt;=-90,VALUE(REGEXEXTRACT(SUBSTITUTE(F1192,"" "",""""),""^-?\d+(\.\d+)?""))&lt;=90,VALUE(REGEXEXT"&amp;"RACT(SUBSTITUTE(F1192,"" "",""""),""-?\d+(\.\d+)?$""))&gt;=-180,VALUE(REGEXEXTRACT(SUBSTITUTE(F1192,"" "",""""),""-?\d+(\.\d+)?$""))&lt;=180),""OK"",""REVISAR"")"),"#N/A")</f>
        <v>#N/A</v>
      </c>
    </row>
    <row r="1193" ht="15.75" customHeight="1">
      <c r="A1193" s="5" t="str">
        <f t="shared" si="1"/>
        <v>AD507-1191</v>
      </c>
      <c r="C1193" s="5"/>
      <c r="F1193" s="5"/>
      <c r="G1193" s="5" t="str">
        <f t="shared" si="2"/>
        <v/>
      </c>
      <c r="H1193" s="5" t="str">
        <f t="shared" si="3"/>
        <v/>
      </c>
      <c r="I1193" s="5" t="str">
        <f t="shared" si="4"/>
        <v/>
      </c>
      <c r="J1193" s="5" t="str">
        <f t="shared" si="5"/>
        <v/>
      </c>
      <c r="K1193" s="5" t="str">
        <f>IFERROR(__xludf.DUMMYFUNCTION("IF(C1193&lt;&gt;"""",HYPERLINK(""https://wa.me/507""&amp;REGEXREPLACE(C1193,""[^0-9]"","""")&amp;""?text=""&amp;ENCODEURL(""Ya llegue. Codigo: ""&amp;A1193&amp;"". Ubicacion: ""&amp;""https://www.google.com/maps/search/?api=1&amp;query=""&amp;SUBSTITUTE(F1193,"" "","""")),""📲 Avisar al clien"&amp;"te""),"""")"),"")</f>
        <v/>
      </c>
      <c r="L1193" s="5" t="str">
        <f>IFERROR(__xludf.DUMMYFUNCTION("IF(C1193&lt;&gt;"""",""https://api.qrserver.com/v1/create-qr-code/?size=200x200&amp;data=""&amp;ENCODEURL(""https://wa.me/507""&amp;REGEXREPLACE(C1193,""[^0-9]"","""")&amp;""?text=""&amp;ENCODEURL(""Ya llegue. Codigo: ""&amp;A1193&amp;"". Ubicacion: ""&amp;""https://www.google.com/maps/search"&amp;"/?api=1&amp;query=""&amp;SUBSTITUTE(F1193,"" "",""""))),"""")"),"")</f>
        <v/>
      </c>
      <c r="M1193" s="5" t="str">
        <f t="shared" si="6"/>
        <v/>
      </c>
      <c r="N1193" s="5" t="str">
        <f>IFERROR(__xludf.DUMMYFUNCTION("IF(AND(F1193&lt;&gt;"""",REGEXMATCH(SUBSTITUTE(F1193,"" "",""""),""^-?\d+(\.\d+)?,-?\d+(\.\d+)?$""),VALUE(REGEXEXTRACT(SUBSTITUTE(F1193,"" "",""""),""^-?\d+(\.\d+)?""))&gt;=-90,VALUE(REGEXEXTRACT(SUBSTITUTE(F1193,"" "",""""),""^-?\d+(\.\d+)?""))&lt;=90,VALUE(REGEXEXT"&amp;"RACT(SUBSTITUTE(F1193,"" "",""""),""-?\d+(\.\d+)?$""))&gt;=-180,VALUE(REGEXEXTRACT(SUBSTITUTE(F1193,"" "",""""),""-?\d+(\.\d+)?$""))&lt;=180),""OK"",""REVISAR"")"),"#N/A")</f>
        <v>#N/A</v>
      </c>
    </row>
    <row r="1194" ht="15.75" customHeight="1">
      <c r="A1194" s="5" t="str">
        <f t="shared" si="1"/>
        <v>AD507-1192</v>
      </c>
      <c r="C1194" s="5"/>
      <c r="F1194" s="5"/>
      <c r="G1194" s="5" t="str">
        <f t="shared" si="2"/>
        <v/>
      </c>
      <c r="H1194" s="5" t="str">
        <f t="shared" si="3"/>
        <v/>
      </c>
      <c r="I1194" s="5" t="str">
        <f t="shared" si="4"/>
        <v/>
      </c>
      <c r="J1194" s="5" t="str">
        <f t="shared" si="5"/>
        <v/>
      </c>
      <c r="K1194" s="5" t="str">
        <f>IFERROR(__xludf.DUMMYFUNCTION("IF(C1194&lt;&gt;"""",HYPERLINK(""https://wa.me/507""&amp;REGEXREPLACE(C1194,""[^0-9]"","""")&amp;""?text=""&amp;ENCODEURL(""Ya llegue. Codigo: ""&amp;A1194&amp;"". Ubicacion: ""&amp;""https://www.google.com/maps/search/?api=1&amp;query=""&amp;SUBSTITUTE(F1194,"" "","""")),""📲 Avisar al clien"&amp;"te""),"""")"),"")</f>
        <v/>
      </c>
      <c r="L1194" s="5" t="str">
        <f>IFERROR(__xludf.DUMMYFUNCTION("IF(C1194&lt;&gt;"""",""https://api.qrserver.com/v1/create-qr-code/?size=200x200&amp;data=""&amp;ENCODEURL(""https://wa.me/507""&amp;REGEXREPLACE(C1194,""[^0-9]"","""")&amp;""?text=""&amp;ENCODEURL(""Ya llegue. Codigo: ""&amp;A1194&amp;"". Ubicacion: ""&amp;""https://www.google.com/maps/search"&amp;"/?api=1&amp;query=""&amp;SUBSTITUTE(F1194,"" "",""""))),"""")"),"")</f>
        <v/>
      </c>
      <c r="M1194" s="5" t="str">
        <f t="shared" si="6"/>
        <v/>
      </c>
      <c r="N1194" s="5" t="str">
        <f>IFERROR(__xludf.DUMMYFUNCTION("IF(AND(F1194&lt;&gt;"""",REGEXMATCH(SUBSTITUTE(F1194,"" "",""""),""^-?\d+(\.\d+)?,-?\d+(\.\d+)?$""),VALUE(REGEXEXTRACT(SUBSTITUTE(F1194,"" "",""""),""^-?\d+(\.\d+)?""))&gt;=-90,VALUE(REGEXEXTRACT(SUBSTITUTE(F1194,"" "",""""),""^-?\d+(\.\d+)?""))&lt;=90,VALUE(REGEXEXT"&amp;"RACT(SUBSTITUTE(F1194,"" "",""""),""-?\d+(\.\d+)?$""))&gt;=-180,VALUE(REGEXEXTRACT(SUBSTITUTE(F1194,"" "",""""),""-?\d+(\.\d+)?$""))&lt;=180),""OK"",""REVISAR"")"),"#N/A")</f>
        <v>#N/A</v>
      </c>
    </row>
    <row r="1195" ht="15.75" customHeight="1">
      <c r="A1195" s="5" t="str">
        <f t="shared" si="1"/>
        <v>AD507-1193</v>
      </c>
      <c r="C1195" s="5"/>
      <c r="F1195" s="5"/>
      <c r="G1195" s="5" t="str">
        <f t="shared" si="2"/>
        <v/>
      </c>
      <c r="H1195" s="5" t="str">
        <f t="shared" si="3"/>
        <v/>
      </c>
      <c r="I1195" s="5" t="str">
        <f t="shared" si="4"/>
        <v/>
      </c>
      <c r="J1195" s="5" t="str">
        <f t="shared" si="5"/>
        <v/>
      </c>
      <c r="K1195" s="5" t="str">
        <f>IFERROR(__xludf.DUMMYFUNCTION("IF(C1195&lt;&gt;"""",HYPERLINK(""https://wa.me/507""&amp;REGEXREPLACE(C1195,""[^0-9]"","""")&amp;""?text=""&amp;ENCODEURL(""Ya llegue. Codigo: ""&amp;A1195&amp;"". Ubicacion: ""&amp;""https://www.google.com/maps/search/?api=1&amp;query=""&amp;SUBSTITUTE(F1195,"" "","""")),""📲 Avisar al clien"&amp;"te""),"""")"),"")</f>
        <v/>
      </c>
      <c r="L1195" s="5" t="str">
        <f>IFERROR(__xludf.DUMMYFUNCTION("IF(C1195&lt;&gt;"""",""https://api.qrserver.com/v1/create-qr-code/?size=200x200&amp;data=""&amp;ENCODEURL(""https://wa.me/507""&amp;REGEXREPLACE(C1195,""[^0-9]"","""")&amp;""?text=""&amp;ENCODEURL(""Ya llegue. Codigo: ""&amp;A1195&amp;"". Ubicacion: ""&amp;""https://www.google.com/maps/search"&amp;"/?api=1&amp;query=""&amp;SUBSTITUTE(F1195,"" "",""""))),"""")"),"")</f>
        <v/>
      </c>
      <c r="M1195" s="5" t="str">
        <f t="shared" si="6"/>
        <v/>
      </c>
      <c r="N1195" s="5" t="str">
        <f>IFERROR(__xludf.DUMMYFUNCTION("IF(AND(F1195&lt;&gt;"""",REGEXMATCH(SUBSTITUTE(F1195,"" "",""""),""^-?\d+(\.\d+)?,-?\d+(\.\d+)?$""),VALUE(REGEXEXTRACT(SUBSTITUTE(F1195,"" "",""""),""^-?\d+(\.\d+)?""))&gt;=-90,VALUE(REGEXEXTRACT(SUBSTITUTE(F1195,"" "",""""),""^-?\d+(\.\d+)?""))&lt;=90,VALUE(REGEXEXT"&amp;"RACT(SUBSTITUTE(F1195,"" "",""""),""-?\d+(\.\d+)?$""))&gt;=-180,VALUE(REGEXEXTRACT(SUBSTITUTE(F1195,"" "",""""),""-?\d+(\.\d+)?$""))&lt;=180),""OK"",""REVISAR"")"),"#N/A")</f>
        <v>#N/A</v>
      </c>
    </row>
    <row r="1196" ht="15.75" customHeight="1">
      <c r="A1196" s="5" t="str">
        <f t="shared" si="1"/>
        <v>AD507-1194</v>
      </c>
      <c r="C1196" s="5"/>
      <c r="F1196" s="5"/>
      <c r="G1196" s="5" t="str">
        <f t="shared" si="2"/>
        <v/>
      </c>
      <c r="H1196" s="5" t="str">
        <f t="shared" si="3"/>
        <v/>
      </c>
      <c r="I1196" s="5" t="str">
        <f t="shared" si="4"/>
        <v/>
      </c>
      <c r="J1196" s="5" t="str">
        <f t="shared" si="5"/>
        <v/>
      </c>
      <c r="K1196" s="5" t="str">
        <f>IFERROR(__xludf.DUMMYFUNCTION("IF(C1196&lt;&gt;"""",HYPERLINK(""https://wa.me/507""&amp;REGEXREPLACE(C1196,""[^0-9]"","""")&amp;""?text=""&amp;ENCODEURL(""Ya llegue. Codigo: ""&amp;A1196&amp;"". Ubicacion: ""&amp;""https://www.google.com/maps/search/?api=1&amp;query=""&amp;SUBSTITUTE(F1196,"" "","""")),""📲 Avisar al clien"&amp;"te""),"""")"),"")</f>
        <v/>
      </c>
      <c r="L1196" s="5" t="str">
        <f>IFERROR(__xludf.DUMMYFUNCTION("IF(C1196&lt;&gt;"""",""https://api.qrserver.com/v1/create-qr-code/?size=200x200&amp;data=""&amp;ENCODEURL(""https://wa.me/507""&amp;REGEXREPLACE(C1196,""[^0-9]"","""")&amp;""?text=""&amp;ENCODEURL(""Ya llegue. Codigo: ""&amp;A1196&amp;"". Ubicacion: ""&amp;""https://www.google.com/maps/search"&amp;"/?api=1&amp;query=""&amp;SUBSTITUTE(F1196,"" "",""""))),"""")"),"")</f>
        <v/>
      </c>
      <c r="M1196" s="5" t="str">
        <f t="shared" si="6"/>
        <v/>
      </c>
      <c r="N1196" s="5" t="str">
        <f>IFERROR(__xludf.DUMMYFUNCTION("IF(AND(F1196&lt;&gt;"""",REGEXMATCH(SUBSTITUTE(F1196,"" "",""""),""^-?\d+(\.\d+)?,-?\d+(\.\d+)?$""),VALUE(REGEXEXTRACT(SUBSTITUTE(F1196,"" "",""""),""^-?\d+(\.\d+)?""))&gt;=-90,VALUE(REGEXEXTRACT(SUBSTITUTE(F1196,"" "",""""),""^-?\d+(\.\d+)?""))&lt;=90,VALUE(REGEXEXT"&amp;"RACT(SUBSTITUTE(F1196,"" "",""""),""-?\d+(\.\d+)?$""))&gt;=-180,VALUE(REGEXEXTRACT(SUBSTITUTE(F1196,"" "",""""),""-?\d+(\.\d+)?$""))&lt;=180),""OK"",""REVISAR"")"),"#N/A")</f>
        <v>#N/A</v>
      </c>
    </row>
    <row r="1197" ht="15.75" customHeight="1">
      <c r="A1197" s="5" t="str">
        <f t="shared" si="1"/>
        <v>AD507-1195</v>
      </c>
      <c r="C1197" s="5"/>
      <c r="F1197" s="5"/>
      <c r="G1197" s="5" t="str">
        <f t="shared" si="2"/>
        <v/>
      </c>
      <c r="H1197" s="5" t="str">
        <f t="shared" si="3"/>
        <v/>
      </c>
      <c r="I1197" s="5" t="str">
        <f t="shared" si="4"/>
        <v/>
      </c>
      <c r="J1197" s="5" t="str">
        <f t="shared" si="5"/>
        <v/>
      </c>
      <c r="K1197" s="5" t="str">
        <f>IFERROR(__xludf.DUMMYFUNCTION("IF(C1197&lt;&gt;"""",HYPERLINK(""https://wa.me/507""&amp;REGEXREPLACE(C1197,""[^0-9]"","""")&amp;""?text=""&amp;ENCODEURL(""Ya llegue. Codigo: ""&amp;A1197&amp;"". Ubicacion: ""&amp;""https://www.google.com/maps/search/?api=1&amp;query=""&amp;SUBSTITUTE(F1197,"" "","""")),""📲 Avisar al clien"&amp;"te""),"""")"),"")</f>
        <v/>
      </c>
      <c r="L1197" s="5" t="str">
        <f>IFERROR(__xludf.DUMMYFUNCTION("IF(C1197&lt;&gt;"""",""https://api.qrserver.com/v1/create-qr-code/?size=200x200&amp;data=""&amp;ENCODEURL(""https://wa.me/507""&amp;REGEXREPLACE(C1197,""[^0-9]"","""")&amp;""?text=""&amp;ENCODEURL(""Ya llegue. Codigo: ""&amp;A1197&amp;"". Ubicacion: ""&amp;""https://www.google.com/maps/search"&amp;"/?api=1&amp;query=""&amp;SUBSTITUTE(F1197,"" "",""""))),"""")"),"")</f>
        <v/>
      </c>
      <c r="M1197" s="5" t="str">
        <f t="shared" si="6"/>
        <v/>
      </c>
      <c r="N1197" s="5" t="str">
        <f>IFERROR(__xludf.DUMMYFUNCTION("IF(AND(F1197&lt;&gt;"""",REGEXMATCH(SUBSTITUTE(F1197,"" "",""""),""^-?\d+(\.\d+)?,-?\d+(\.\d+)?$""),VALUE(REGEXEXTRACT(SUBSTITUTE(F1197,"" "",""""),""^-?\d+(\.\d+)?""))&gt;=-90,VALUE(REGEXEXTRACT(SUBSTITUTE(F1197,"" "",""""),""^-?\d+(\.\d+)?""))&lt;=90,VALUE(REGEXEXT"&amp;"RACT(SUBSTITUTE(F1197,"" "",""""),""-?\d+(\.\d+)?$""))&gt;=-180,VALUE(REGEXEXTRACT(SUBSTITUTE(F1197,"" "",""""),""-?\d+(\.\d+)?$""))&lt;=180),""OK"",""REVISAR"")"),"#N/A")</f>
        <v>#N/A</v>
      </c>
    </row>
    <row r="1198" ht="15.75" customHeight="1">
      <c r="A1198" s="5" t="str">
        <f t="shared" si="1"/>
        <v>AD507-1196</v>
      </c>
      <c r="C1198" s="5"/>
      <c r="F1198" s="5"/>
      <c r="G1198" s="5" t="str">
        <f t="shared" si="2"/>
        <v/>
      </c>
      <c r="H1198" s="5" t="str">
        <f t="shared" si="3"/>
        <v/>
      </c>
      <c r="I1198" s="5" t="str">
        <f t="shared" si="4"/>
        <v/>
      </c>
      <c r="J1198" s="5" t="str">
        <f t="shared" si="5"/>
        <v/>
      </c>
      <c r="K1198" s="5" t="str">
        <f>IFERROR(__xludf.DUMMYFUNCTION("IF(C1198&lt;&gt;"""",HYPERLINK(""https://wa.me/507""&amp;REGEXREPLACE(C1198,""[^0-9]"","""")&amp;""?text=""&amp;ENCODEURL(""Ya llegue. Codigo: ""&amp;A1198&amp;"". Ubicacion: ""&amp;""https://www.google.com/maps/search/?api=1&amp;query=""&amp;SUBSTITUTE(F1198,"" "","""")),""📲 Avisar al clien"&amp;"te""),"""")"),"")</f>
        <v/>
      </c>
      <c r="L1198" s="5" t="str">
        <f>IFERROR(__xludf.DUMMYFUNCTION("IF(C1198&lt;&gt;"""",""https://api.qrserver.com/v1/create-qr-code/?size=200x200&amp;data=""&amp;ENCODEURL(""https://wa.me/507""&amp;REGEXREPLACE(C1198,""[^0-9]"","""")&amp;""?text=""&amp;ENCODEURL(""Ya llegue. Codigo: ""&amp;A1198&amp;"". Ubicacion: ""&amp;""https://www.google.com/maps/search"&amp;"/?api=1&amp;query=""&amp;SUBSTITUTE(F1198,"" "",""""))),"""")"),"")</f>
        <v/>
      </c>
      <c r="M1198" s="5" t="str">
        <f t="shared" si="6"/>
        <v/>
      </c>
      <c r="N1198" s="5" t="str">
        <f>IFERROR(__xludf.DUMMYFUNCTION("IF(AND(F1198&lt;&gt;"""",REGEXMATCH(SUBSTITUTE(F1198,"" "",""""),""^-?\d+(\.\d+)?,-?\d+(\.\d+)?$""),VALUE(REGEXEXTRACT(SUBSTITUTE(F1198,"" "",""""),""^-?\d+(\.\d+)?""))&gt;=-90,VALUE(REGEXEXTRACT(SUBSTITUTE(F1198,"" "",""""),""^-?\d+(\.\d+)?""))&lt;=90,VALUE(REGEXEXT"&amp;"RACT(SUBSTITUTE(F1198,"" "",""""),""-?\d+(\.\d+)?$""))&gt;=-180,VALUE(REGEXEXTRACT(SUBSTITUTE(F1198,"" "",""""),""-?\d+(\.\d+)?$""))&lt;=180),""OK"",""REVISAR"")"),"#N/A")</f>
        <v>#N/A</v>
      </c>
    </row>
    <row r="1199" ht="15.75" customHeight="1">
      <c r="A1199" s="5" t="str">
        <f t="shared" si="1"/>
        <v>AD507-1197</v>
      </c>
      <c r="C1199" s="5"/>
      <c r="F1199" s="5"/>
      <c r="G1199" s="5" t="str">
        <f t="shared" si="2"/>
        <v/>
      </c>
      <c r="H1199" s="5" t="str">
        <f t="shared" si="3"/>
        <v/>
      </c>
      <c r="I1199" s="5" t="str">
        <f t="shared" si="4"/>
        <v/>
      </c>
      <c r="J1199" s="5" t="str">
        <f t="shared" si="5"/>
        <v/>
      </c>
      <c r="K1199" s="5" t="str">
        <f>IFERROR(__xludf.DUMMYFUNCTION("IF(C1199&lt;&gt;"""",HYPERLINK(""https://wa.me/507""&amp;REGEXREPLACE(C1199,""[^0-9]"","""")&amp;""?text=""&amp;ENCODEURL(""Ya llegue. Codigo: ""&amp;A1199&amp;"". Ubicacion: ""&amp;""https://www.google.com/maps/search/?api=1&amp;query=""&amp;SUBSTITUTE(F1199,"" "","""")),""📲 Avisar al clien"&amp;"te""),"""")"),"")</f>
        <v/>
      </c>
      <c r="L1199" s="5" t="str">
        <f>IFERROR(__xludf.DUMMYFUNCTION("IF(C1199&lt;&gt;"""",""https://api.qrserver.com/v1/create-qr-code/?size=200x200&amp;data=""&amp;ENCODEURL(""https://wa.me/507""&amp;REGEXREPLACE(C1199,""[^0-9]"","""")&amp;""?text=""&amp;ENCODEURL(""Ya llegue. Codigo: ""&amp;A1199&amp;"". Ubicacion: ""&amp;""https://www.google.com/maps/search"&amp;"/?api=1&amp;query=""&amp;SUBSTITUTE(F1199,"" "",""""))),"""")"),"")</f>
        <v/>
      </c>
      <c r="M1199" s="5" t="str">
        <f t="shared" si="6"/>
        <v/>
      </c>
      <c r="N1199" s="5" t="str">
        <f>IFERROR(__xludf.DUMMYFUNCTION("IF(AND(F1199&lt;&gt;"""",REGEXMATCH(SUBSTITUTE(F1199,"" "",""""),""^-?\d+(\.\d+)?,-?\d+(\.\d+)?$""),VALUE(REGEXEXTRACT(SUBSTITUTE(F1199,"" "",""""),""^-?\d+(\.\d+)?""))&gt;=-90,VALUE(REGEXEXTRACT(SUBSTITUTE(F1199,"" "",""""),""^-?\d+(\.\d+)?""))&lt;=90,VALUE(REGEXEXT"&amp;"RACT(SUBSTITUTE(F1199,"" "",""""),""-?\d+(\.\d+)?$""))&gt;=-180,VALUE(REGEXEXTRACT(SUBSTITUTE(F1199,"" "",""""),""-?\d+(\.\d+)?$""))&lt;=180),""OK"",""REVISAR"")"),"#N/A")</f>
        <v>#N/A</v>
      </c>
    </row>
    <row r="1200" ht="15.75" customHeight="1">
      <c r="A1200" s="5" t="str">
        <f t="shared" si="1"/>
        <v>AD507-1198</v>
      </c>
      <c r="C1200" s="5"/>
      <c r="F1200" s="5"/>
      <c r="G1200" s="5" t="str">
        <f t="shared" si="2"/>
        <v/>
      </c>
      <c r="H1200" s="5" t="str">
        <f t="shared" si="3"/>
        <v/>
      </c>
      <c r="I1200" s="5" t="str">
        <f t="shared" si="4"/>
        <v/>
      </c>
      <c r="J1200" s="5" t="str">
        <f t="shared" si="5"/>
        <v/>
      </c>
      <c r="K1200" s="5" t="str">
        <f>IFERROR(__xludf.DUMMYFUNCTION("IF(C1200&lt;&gt;"""",HYPERLINK(""https://wa.me/507""&amp;REGEXREPLACE(C1200,""[^0-9]"","""")&amp;""?text=""&amp;ENCODEURL(""Ya llegue. Codigo: ""&amp;A1200&amp;"". Ubicacion: ""&amp;""https://www.google.com/maps/search/?api=1&amp;query=""&amp;SUBSTITUTE(F1200,"" "","""")),""📲 Avisar al clien"&amp;"te""),"""")"),"")</f>
        <v/>
      </c>
      <c r="L1200" s="5" t="str">
        <f>IFERROR(__xludf.DUMMYFUNCTION("IF(C1200&lt;&gt;"""",""https://api.qrserver.com/v1/create-qr-code/?size=200x200&amp;data=""&amp;ENCODEURL(""https://wa.me/507""&amp;REGEXREPLACE(C1200,""[^0-9]"","""")&amp;""?text=""&amp;ENCODEURL(""Ya llegue. Codigo: ""&amp;A1200&amp;"". Ubicacion: ""&amp;""https://www.google.com/maps/search"&amp;"/?api=1&amp;query=""&amp;SUBSTITUTE(F1200,"" "",""""))),"""")"),"")</f>
        <v/>
      </c>
      <c r="M1200" s="5" t="str">
        <f t="shared" si="6"/>
        <v/>
      </c>
      <c r="N1200" s="5" t="str">
        <f>IFERROR(__xludf.DUMMYFUNCTION("IF(AND(F1200&lt;&gt;"""",REGEXMATCH(SUBSTITUTE(F1200,"" "",""""),""^-?\d+(\.\d+)?,-?\d+(\.\d+)?$""),VALUE(REGEXEXTRACT(SUBSTITUTE(F1200,"" "",""""),""^-?\d+(\.\d+)?""))&gt;=-90,VALUE(REGEXEXTRACT(SUBSTITUTE(F1200,"" "",""""),""^-?\d+(\.\d+)?""))&lt;=90,VALUE(REGEXEXT"&amp;"RACT(SUBSTITUTE(F1200,"" "",""""),""-?\d+(\.\d+)?$""))&gt;=-180,VALUE(REGEXEXTRACT(SUBSTITUTE(F1200,"" "",""""),""-?\d+(\.\d+)?$""))&lt;=180),""OK"",""REVISAR"")"),"#N/A")</f>
        <v>#N/A</v>
      </c>
    </row>
    <row r="1201" ht="15.75" customHeight="1">
      <c r="A1201" s="5" t="str">
        <f t="shared" si="1"/>
        <v>AD507-1199</v>
      </c>
      <c r="C1201" s="5"/>
      <c r="F1201" s="5"/>
      <c r="G1201" s="5" t="str">
        <f t="shared" si="2"/>
        <v/>
      </c>
      <c r="H1201" s="5" t="str">
        <f t="shared" si="3"/>
        <v/>
      </c>
      <c r="I1201" s="5" t="str">
        <f t="shared" si="4"/>
        <v/>
      </c>
      <c r="J1201" s="5" t="str">
        <f t="shared" si="5"/>
        <v/>
      </c>
      <c r="K1201" s="5" t="str">
        <f>IFERROR(__xludf.DUMMYFUNCTION("IF(C1201&lt;&gt;"""",HYPERLINK(""https://wa.me/507""&amp;REGEXREPLACE(C1201,""[^0-9]"","""")&amp;""?text=""&amp;ENCODEURL(""Ya llegue. Codigo: ""&amp;A1201&amp;"". Ubicacion: ""&amp;""https://www.google.com/maps/search/?api=1&amp;query=""&amp;SUBSTITUTE(F1201,"" "","""")),""📲 Avisar al clien"&amp;"te""),"""")"),"")</f>
        <v/>
      </c>
      <c r="L1201" s="5" t="str">
        <f>IFERROR(__xludf.DUMMYFUNCTION("IF(C1201&lt;&gt;"""",""https://api.qrserver.com/v1/create-qr-code/?size=200x200&amp;data=""&amp;ENCODEURL(""https://wa.me/507""&amp;REGEXREPLACE(C1201,""[^0-9]"","""")&amp;""?text=""&amp;ENCODEURL(""Ya llegue. Codigo: ""&amp;A1201&amp;"". Ubicacion: ""&amp;""https://www.google.com/maps/search"&amp;"/?api=1&amp;query=""&amp;SUBSTITUTE(F1201,"" "",""""))),"""")"),"")</f>
        <v/>
      </c>
      <c r="M1201" s="5" t="str">
        <f t="shared" si="6"/>
        <v/>
      </c>
      <c r="N1201" s="5" t="str">
        <f>IFERROR(__xludf.DUMMYFUNCTION("IF(AND(F1201&lt;&gt;"""",REGEXMATCH(SUBSTITUTE(F1201,"" "",""""),""^-?\d+(\.\d+)?,-?\d+(\.\d+)?$""),VALUE(REGEXEXTRACT(SUBSTITUTE(F1201,"" "",""""),""^-?\d+(\.\d+)?""))&gt;=-90,VALUE(REGEXEXTRACT(SUBSTITUTE(F1201,"" "",""""),""^-?\d+(\.\d+)?""))&lt;=90,VALUE(REGEXEXT"&amp;"RACT(SUBSTITUTE(F1201,"" "",""""),""-?\d+(\.\d+)?$""))&gt;=-180,VALUE(REGEXEXTRACT(SUBSTITUTE(F1201,"" "",""""),""-?\d+(\.\d+)?$""))&lt;=180),""OK"",""REVISAR"")"),"#N/A")</f>
        <v>#N/A</v>
      </c>
    </row>
    <row r="1202" ht="15.75" customHeight="1">
      <c r="A1202" s="5" t="str">
        <f t="shared" si="1"/>
        <v>AD507-1200</v>
      </c>
      <c r="C1202" s="5"/>
      <c r="F1202" s="5"/>
      <c r="G1202" s="5" t="str">
        <f t="shared" si="2"/>
        <v/>
      </c>
      <c r="H1202" s="5" t="str">
        <f t="shared" si="3"/>
        <v/>
      </c>
      <c r="I1202" s="5" t="str">
        <f t="shared" si="4"/>
        <v/>
      </c>
      <c r="J1202" s="5" t="str">
        <f t="shared" si="5"/>
        <v/>
      </c>
      <c r="K1202" s="5" t="str">
        <f>IFERROR(__xludf.DUMMYFUNCTION("IF(C1202&lt;&gt;"""",HYPERLINK(""https://wa.me/507""&amp;REGEXREPLACE(C1202,""[^0-9]"","""")&amp;""?text=""&amp;ENCODEURL(""Ya llegue. Codigo: ""&amp;A1202&amp;"". Ubicacion: ""&amp;""https://www.google.com/maps/search/?api=1&amp;query=""&amp;SUBSTITUTE(F1202,"" "","""")),""📲 Avisar al clien"&amp;"te""),"""")"),"")</f>
        <v/>
      </c>
      <c r="L1202" s="5" t="str">
        <f>IFERROR(__xludf.DUMMYFUNCTION("IF(C1202&lt;&gt;"""",""https://api.qrserver.com/v1/create-qr-code/?size=200x200&amp;data=""&amp;ENCODEURL(""https://wa.me/507""&amp;REGEXREPLACE(C1202,""[^0-9]"","""")&amp;""?text=""&amp;ENCODEURL(""Ya llegue. Codigo: ""&amp;A1202&amp;"". Ubicacion: ""&amp;""https://www.google.com/maps/search"&amp;"/?api=1&amp;query=""&amp;SUBSTITUTE(F1202,"" "",""""))),"""")"),"")</f>
        <v/>
      </c>
      <c r="M1202" s="5" t="str">
        <f t="shared" si="6"/>
        <v/>
      </c>
      <c r="N1202" s="5" t="str">
        <f>IFERROR(__xludf.DUMMYFUNCTION("IF(AND(F1202&lt;&gt;"""",REGEXMATCH(SUBSTITUTE(F1202,"" "",""""),""^-?\d+(\.\d+)?,-?\d+(\.\d+)?$""),VALUE(REGEXEXTRACT(SUBSTITUTE(F1202,"" "",""""),""^-?\d+(\.\d+)?""))&gt;=-90,VALUE(REGEXEXTRACT(SUBSTITUTE(F1202,"" "",""""),""^-?\d+(\.\d+)?""))&lt;=90,VALUE(REGEXEXT"&amp;"RACT(SUBSTITUTE(F1202,"" "",""""),""-?\d+(\.\d+)?$""))&gt;=-180,VALUE(REGEXEXTRACT(SUBSTITUTE(F1202,"" "",""""),""-?\d+(\.\d+)?$""))&lt;=180),""OK"",""REVISAR"")"),"#N/A")</f>
        <v>#N/A</v>
      </c>
    </row>
    <row r="1203" ht="15.75" customHeight="1">
      <c r="A1203" s="5" t="str">
        <f t="shared" si="1"/>
        <v>AD507-1201</v>
      </c>
      <c r="C1203" s="5"/>
      <c r="F1203" s="5"/>
      <c r="G1203" s="5" t="str">
        <f t="shared" si="2"/>
        <v/>
      </c>
      <c r="H1203" s="5" t="str">
        <f t="shared" si="3"/>
        <v/>
      </c>
      <c r="I1203" s="5" t="str">
        <f t="shared" si="4"/>
        <v/>
      </c>
      <c r="J1203" s="5" t="str">
        <f t="shared" si="5"/>
        <v/>
      </c>
      <c r="K1203" s="5" t="str">
        <f>IFERROR(__xludf.DUMMYFUNCTION("IF(C1203&lt;&gt;"""",HYPERLINK(""https://wa.me/507""&amp;REGEXREPLACE(C1203,""[^0-9]"","""")&amp;""?text=""&amp;ENCODEURL(""Ya llegue. Codigo: ""&amp;A1203&amp;"". Ubicacion: ""&amp;""https://www.google.com/maps/search/?api=1&amp;query=""&amp;SUBSTITUTE(F1203,"" "","""")),""📲 Avisar al clien"&amp;"te""),"""")"),"")</f>
        <v/>
      </c>
      <c r="L1203" s="5" t="str">
        <f>IFERROR(__xludf.DUMMYFUNCTION("IF(C1203&lt;&gt;"""",""https://api.qrserver.com/v1/create-qr-code/?size=200x200&amp;data=""&amp;ENCODEURL(""https://wa.me/507""&amp;REGEXREPLACE(C1203,""[^0-9]"","""")&amp;""?text=""&amp;ENCODEURL(""Ya llegue. Codigo: ""&amp;A1203&amp;"". Ubicacion: ""&amp;""https://www.google.com/maps/search"&amp;"/?api=1&amp;query=""&amp;SUBSTITUTE(F1203,"" "",""""))),"""")"),"")</f>
        <v/>
      </c>
      <c r="M1203" s="5" t="str">
        <f t="shared" si="6"/>
        <v/>
      </c>
      <c r="N1203" s="5" t="str">
        <f>IFERROR(__xludf.DUMMYFUNCTION("IF(AND(F1203&lt;&gt;"""",REGEXMATCH(SUBSTITUTE(F1203,"" "",""""),""^-?\d+(\.\d+)?,-?\d+(\.\d+)?$""),VALUE(REGEXEXTRACT(SUBSTITUTE(F1203,"" "",""""),""^-?\d+(\.\d+)?""))&gt;=-90,VALUE(REGEXEXTRACT(SUBSTITUTE(F1203,"" "",""""),""^-?\d+(\.\d+)?""))&lt;=90,VALUE(REGEXEXT"&amp;"RACT(SUBSTITUTE(F1203,"" "",""""),""-?\d+(\.\d+)?$""))&gt;=-180,VALUE(REGEXEXTRACT(SUBSTITUTE(F1203,"" "",""""),""-?\d+(\.\d+)?$""))&lt;=180),""OK"",""REVISAR"")"),"#N/A")</f>
        <v>#N/A</v>
      </c>
    </row>
    <row r="1204" ht="15.75" customHeight="1">
      <c r="A1204" s="5" t="str">
        <f t="shared" si="1"/>
        <v>AD507-1202</v>
      </c>
      <c r="C1204" s="5"/>
      <c r="F1204" s="5"/>
      <c r="G1204" s="5" t="str">
        <f t="shared" si="2"/>
        <v/>
      </c>
      <c r="H1204" s="5" t="str">
        <f t="shared" si="3"/>
        <v/>
      </c>
      <c r="I1204" s="5" t="str">
        <f t="shared" si="4"/>
        <v/>
      </c>
      <c r="J1204" s="5" t="str">
        <f t="shared" si="5"/>
        <v/>
      </c>
      <c r="K1204" s="5" t="str">
        <f>IFERROR(__xludf.DUMMYFUNCTION("IF(C1204&lt;&gt;"""",HYPERLINK(""https://wa.me/507""&amp;REGEXREPLACE(C1204,""[^0-9]"","""")&amp;""?text=""&amp;ENCODEURL(""Ya llegue. Codigo: ""&amp;A1204&amp;"". Ubicacion: ""&amp;""https://www.google.com/maps/search/?api=1&amp;query=""&amp;SUBSTITUTE(F1204,"" "","""")),""📲 Avisar al clien"&amp;"te""),"""")"),"")</f>
        <v/>
      </c>
      <c r="L1204" s="5" t="str">
        <f>IFERROR(__xludf.DUMMYFUNCTION("IF(C1204&lt;&gt;"""",""https://api.qrserver.com/v1/create-qr-code/?size=200x200&amp;data=""&amp;ENCODEURL(""https://wa.me/507""&amp;REGEXREPLACE(C1204,""[^0-9]"","""")&amp;""?text=""&amp;ENCODEURL(""Ya llegue. Codigo: ""&amp;A1204&amp;"". Ubicacion: ""&amp;""https://www.google.com/maps/search"&amp;"/?api=1&amp;query=""&amp;SUBSTITUTE(F1204,"" "",""""))),"""")"),"")</f>
        <v/>
      </c>
      <c r="M1204" s="5" t="str">
        <f t="shared" si="6"/>
        <v/>
      </c>
      <c r="N1204" s="5" t="str">
        <f>IFERROR(__xludf.DUMMYFUNCTION("IF(AND(F1204&lt;&gt;"""",REGEXMATCH(SUBSTITUTE(F1204,"" "",""""),""^-?\d+(\.\d+)?,-?\d+(\.\d+)?$""),VALUE(REGEXEXTRACT(SUBSTITUTE(F1204,"" "",""""),""^-?\d+(\.\d+)?""))&gt;=-90,VALUE(REGEXEXTRACT(SUBSTITUTE(F1204,"" "",""""),""^-?\d+(\.\d+)?""))&lt;=90,VALUE(REGEXEXT"&amp;"RACT(SUBSTITUTE(F1204,"" "",""""),""-?\d+(\.\d+)?$""))&gt;=-180,VALUE(REGEXEXTRACT(SUBSTITUTE(F1204,"" "",""""),""-?\d+(\.\d+)?$""))&lt;=180),""OK"",""REVISAR"")"),"#N/A")</f>
        <v>#N/A</v>
      </c>
    </row>
    <row r="1205" ht="15.75" customHeight="1">
      <c r="A1205" s="5" t="str">
        <f t="shared" si="1"/>
        <v>AD507-1203</v>
      </c>
      <c r="C1205" s="5"/>
      <c r="F1205" s="5"/>
      <c r="G1205" s="5" t="str">
        <f t="shared" si="2"/>
        <v/>
      </c>
      <c r="H1205" s="5" t="str">
        <f t="shared" si="3"/>
        <v/>
      </c>
      <c r="I1205" s="5" t="str">
        <f t="shared" si="4"/>
        <v/>
      </c>
      <c r="J1205" s="5" t="str">
        <f t="shared" si="5"/>
        <v/>
      </c>
      <c r="K1205" s="5" t="str">
        <f>IFERROR(__xludf.DUMMYFUNCTION("IF(C1205&lt;&gt;"""",HYPERLINK(""https://wa.me/507""&amp;REGEXREPLACE(C1205,""[^0-9]"","""")&amp;""?text=""&amp;ENCODEURL(""Ya llegue. Codigo: ""&amp;A1205&amp;"". Ubicacion: ""&amp;""https://www.google.com/maps/search/?api=1&amp;query=""&amp;SUBSTITUTE(F1205,"" "","""")),""📲 Avisar al clien"&amp;"te""),"""")"),"")</f>
        <v/>
      </c>
      <c r="L1205" s="5" t="str">
        <f>IFERROR(__xludf.DUMMYFUNCTION("IF(C1205&lt;&gt;"""",""https://api.qrserver.com/v1/create-qr-code/?size=200x200&amp;data=""&amp;ENCODEURL(""https://wa.me/507""&amp;REGEXREPLACE(C1205,""[^0-9]"","""")&amp;""?text=""&amp;ENCODEURL(""Ya llegue. Codigo: ""&amp;A1205&amp;"". Ubicacion: ""&amp;""https://www.google.com/maps/search"&amp;"/?api=1&amp;query=""&amp;SUBSTITUTE(F1205,"" "",""""))),"""")"),"")</f>
        <v/>
      </c>
      <c r="M1205" s="5" t="str">
        <f t="shared" si="6"/>
        <v/>
      </c>
      <c r="N1205" s="5" t="str">
        <f>IFERROR(__xludf.DUMMYFUNCTION("IF(AND(F1205&lt;&gt;"""",REGEXMATCH(SUBSTITUTE(F1205,"" "",""""),""^-?\d+(\.\d+)?,-?\d+(\.\d+)?$""),VALUE(REGEXEXTRACT(SUBSTITUTE(F1205,"" "",""""),""^-?\d+(\.\d+)?""))&gt;=-90,VALUE(REGEXEXTRACT(SUBSTITUTE(F1205,"" "",""""),""^-?\d+(\.\d+)?""))&lt;=90,VALUE(REGEXEXT"&amp;"RACT(SUBSTITUTE(F1205,"" "",""""),""-?\d+(\.\d+)?$""))&gt;=-180,VALUE(REGEXEXTRACT(SUBSTITUTE(F1205,"" "",""""),""-?\d+(\.\d+)?$""))&lt;=180),""OK"",""REVISAR"")"),"#N/A")</f>
        <v>#N/A</v>
      </c>
    </row>
    <row r="1206" ht="15.75" customHeight="1">
      <c r="A1206" s="5" t="str">
        <f t="shared" si="1"/>
        <v>AD507-1204</v>
      </c>
      <c r="C1206" s="5"/>
      <c r="F1206" s="5"/>
      <c r="G1206" s="5" t="str">
        <f t="shared" si="2"/>
        <v/>
      </c>
      <c r="H1206" s="5" t="str">
        <f t="shared" si="3"/>
        <v/>
      </c>
      <c r="I1206" s="5" t="str">
        <f t="shared" si="4"/>
        <v/>
      </c>
      <c r="J1206" s="5" t="str">
        <f t="shared" si="5"/>
        <v/>
      </c>
      <c r="K1206" s="5" t="str">
        <f>IFERROR(__xludf.DUMMYFUNCTION("IF(C1206&lt;&gt;"""",HYPERLINK(""https://wa.me/507""&amp;REGEXREPLACE(C1206,""[^0-9]"","""")&amp;""?text=""&amp;ENCODEURL(""Ya llegue. Codigo: ""&amp;A1206&amp;"". Ubicacion: ""&amp;""https://www.google.com/maps/search/?api=1&amp;query=""&amp;SUBSTITUTE(F1206,"" "","""")),""📲 Avisar al clien"&amp;"te""),"""")"),"")</f>
        <v/>
      </c>
      <c r="L1206" s="5" t="str">
        <f>IFERROR(__xludf.DUMMYFUNCTION("IF(C1206&lt;&gt;"""",""https://api.qrserver.com/v1/create-qr-code/?size=200x200&amp;data=""&amp;ENCODEURL(""https://wa.me/507""&amp;REGEXREPLACE(C1206,""[^0-9]"","""")&amp;""?text=""&amp;ENCODEURL(""Ya llegue. Codigo: ""&amp;A1206&amp;"". Ubicacion: ""&amp;""https://www.google.com/maps/search"&amp;"/?api=1&amp;query=""&amp;SUBSTITUTE(F1206,"" "",""""))),"""")"),"")</f>
        <v/>
      </c>
      <c r="M1206" s="5" t="str">
        <f t="shared" si="6"/>
        <v/>
      </c>
      <c r="N1206" s="5" t="str">
        <f>IFERROR(__xludf.DUMMYFUNCTION("IF(AND(F1206&lt;&gt;"""",REGEXMATCH(SUBSTITUTE(F1206,"" "",""""),""^-?\d+(\.\d+)?,-?\d+(\.\d+)?$""),VALUE(REGEXEXTRACT(SUBSTITUTE(F1206,"" "",""""),""^-?\d+(\.\d+)?""))&gt;=-90,VALUE(REGEXEXTRACT(SUBSTITUTE(F1206,"" "",""""),""^-?\d+(\.\d+)?""))&lt;=90,VALUE(REGEXEXT"&amp;"RACT(SUBSTITUTE(F1206,"" "",""""),""-?\d+(\.\d+)?$""))&gt;=-180,VALUE(REGEXEXTRACT(SUBSTITUTE(F1206,"" "",""""),""-?\d+(\.\d+)?$""))&lt;=180),""OK"",""REVISAR"")"),"#N/A")</f>
        <v>#N/A</v>
      </c>
    </row>
    <row r="1207" ht="15.75" customHeight="1">
      <c r="A1207" s="5" t="str">
        <f t="shared" si="1"/>
        <v>AD507-1205</v>
      </c>
      <c r="C1207" s="5"/>
      <c r="F1207" s="5"/>
      <c r="G1207" s="5" t="str">
        <f t="shared" si="2"/>
        <v/>
      </c>
      <c r="H1207" s="5" t="str">
        <f t="shared" si="3"/>
        <v/>
      </c>
      <c r="I1207" s="5" t="str">
        <f t="shared" si="4"/>
        <v/>
      </c>
      <c r="J1207" s="5" t="str">
        <f t="shared" si="5"/>
        <v/>
      </c>
      <c r="K1207" s="5" t="str">
        <f>IFERROR(__xludf.DUMMYFUNCTION("IF(C1207&lt;&gt;"""",HYPERLINK(""https://wa.me/507""&amp;REGEXREPLACE(C1207,""[^0-9]"","""")&amp;""?text=""&amp;ENCODEURL(""Ya llegue. Codigo: ""&amp;A1207&amp;"". Ubicacion: ""&amp;""https://www.google.com/maps/search/?api=1&amp;query=""&amp;SUBSTITUTE(F1207,"" "","""")),""📲 Avisar al clien"&amp;"te""),"""")"),"")</f>
        <v/>
      </c>
      <c r="L1207" s="5" t="str">
        <f>IFERROR(__xludf.DUMMYFUNCTION("IF(C1207&lt;&gt;"""",""https://api.qrserver.com/v1/create-qr-code/?size=200x200&amp;data=""&amp;ENCODEURL(""https://wa.me/507""&amp;REGEXREPLACE(C1207,""[^0-9]"","""")&amp;""?text=""&amp;ENCODEURL(""Ya llegue. Codigo: ""&amp;A1207&amp;"". Ubicacion: ""&amp;""https://www.google.com/maps/search"&amp;"/?api=1&amp;query=""&amp;SUBSTITUTE(F1207,"" "",""""))),"""")"),"")</f>
        <v/>
      </c>
      <c r="M1207" s="5" t="str">
        <f t="shared" si="6"/>
        <v/>
      </c>
      <c r="N1207" s="5" t="str">
        <f>IFERROR(__xludf.DUMMYFUNCTION("IF(AND(F1207&lt;&gt;"""",REGEXMATCH(SUBSTITUTE(F1207,"" "",""""),""^-?\d+(\.\d+)?,-?\d+(\.\d+)?$""),VALUE(REGEXEXTRACT(SUBSTITUTE(F1207,"" "",""""),""^-?\d+(\.\d+)?""))&gt;=-90,VALUE(REGEXEXTRACT(SUBSTITUTE(F1207,"" "",""""),""^-?\d+(\.\d+)?""))&lt;=90,VALUE(REGEXEXT"&amp;"RACT(SUBSTITUTE(F1207,"" "",""""),""-?\d+(\.\d+)?$""))&gt;=-180,VALUE(REGEXEXTRACT(SUBSTITUTE(F1207,"" "",""""),""-?\d+(\.\d+)?$""))&lt;=180),""OK"",""REVISAR"")"),"#N/A")</f>
        <v>#N/A</v>
      </c>
    </row>
    <row r="1208" ht="15.75" customHeight="1">
      <c r="A1208" s="5" t="str">
        <f t="shared" si="1"/>
        <v>AD507-1206</v>
      </c>
      <c r="C1208" s="5"/>
      <c r="F1208" s="5"/>
      <c r="G1208" s="5" t="str">
        <f t="shared" si="2"/>
        <v/>
      </c>
      <c r="H1208" s="5" t="str">
        <f t="shared" si="3"/>
        <v/>
      </c>
      <c r="I1208" s="5" t="str">
        <f t="shared" si="4"/>
        <v/>
      </c>
      <c r="J1208" s="5" t="str">
        <f t="shared" si="5"/>
        <v/>
      </c>
      <c r="K1208" s="5" t="str">
        <f>IFERROR(__xludf.DUMMYFUNCTION("IF(C1208&lt;&gt;"""",HYPERLINK(""https://wa.me/507""&amp;REGEXREPLACE(C1208,""[^0-9]"","""")&amp;""?text=""&amp;ENCODEURL(""Ya llegue. Codigo: ""&amp;A1208&amp;"". Ubicacion: ""&amp;""https://www.google.com/maps/search/?api=1&amp;query=""&amp;SUBSTITUTE(F1208,"" "","""")),""📲 Avisar al clien"&amp;"te""),"""")"),"")</f>
        <v/>
      </c>
      <c r="L1208" s="5" t="str">
        <f>IFERROR(__xludf.DUMMYFUNCTION("IF(C1208&lt;&gt;"""",""https://api.qrserver.com/v1/create-qr-code/?size=200x200&amp;data=""&amp;ENCODEURL(""https://wa.me/507""&amp;REGEXREPLACE(C1208,""[^0-9]"","""")&amp;""?text=""&amp;ENCODEURL(""Ya llegue. Codigo: ""&amp;A1208&amp;"". Ubicacion: ""&amp;""https://www.google.com/maps/search"&amp;"/?api=1&amp;query=""&amp;SUBSTITUTE(F1208,"" "",""""))),"""")"),"")</f>
        <v/>
      </c>
      <c r="M1208" s="5" t="str">
        <f t="shared" si="6"/>
        <v/>
      </c>
      <c r="N1208" s="5" t="str">
        <f>IFERROR(__xludf.DUMMYFUNCTION("IF(AND(F1208&lt;&gt;"""",REGEXMATCH(SUBSTITUTE(F1208,"" "",""""),""^-?\d+(\.\d+)?,-?\d+(\.\d+)?$""),VALUE(REGEXEXTRACT(SUBSTITUTE(F1208,"" "",""""),""^-?\d+(\.\d+)?""))&gt;=-90,VALUE(REGEXEXTRACT(SUBSTITUTE(F1208,"" "",""""),""^-?\d+(\.\d+)?""))&lt;=90,VALUE(REGEXEXT"&amp;"RACT(SUBSTITUTE(F1208,"" "",""""),""-?\d+(\.\d+)?$""))&gt;=-180,VALUE(REGEXEXTRACT(SUBSTITUTE(F1208,"" "",""""),""-?\d+(\.\d+)?$""))&lt;=180),""OK"",""REVISAR"")"),"#N/A")</f>
        <v>#N/A</v>
      </c>
    </row>
    <row r="1209" ht="15.75" customHeight="1">
      <c r="A1209" s="5" t="str">
        <f t="shared" si="1"/>
        <v>AD507-1207</v>
      </c>
      <c r="C1209" s="5"/>
      <c r="F1209" s="5"/>
      <c r="G1209" s="5" t="str">
        <f t="shared" si="2"/>
        <v/>
      </c>
      <c r="H1209" s="5" t="str">
        <f t="shared" si="3"/>
        <v/>
      </c>
      <c r="I1209" s="5" t="str">
        <f t="shared" si="4"/>
        <v/>
      </c>
      <c r="J1209" s="5" t="str">
        <f t="shared" si="5"/>
        <v/>
      </c>
      <c r="K1209" s="5" t="str">
        <f>IFERROR(__xludf.DUMMYFUNCTION("IF(C1209&lt;&gt;"""",HYPERLINK(""https://wa.me/507""&amp;REGEXREPLACE(C1209,""[^0-9]"","""")&amp;""?text=""&amp;ENCODEURL(""Ya llegue. Codigo: ""&amp;A1209&amp;"". Ubicacion: ""&amp;""https://www.google.com/maps/search/?api=1&amp;query=""&amp;SUBSTITUTE(F1209,"" "","""")),""📲 Avisar al clien"&amp;"te""),"""")"),"")</f>
        <v/>
      </c>
      <c r="L1209" s="5" t="str">
        <f>IFERROR(__xludf.DUMMYFUNCTION("IF(C1209&lt;&gt;"""",""https://api.qrserver.com/v1/create-qr-code/?size=200x200&amp;data=""&amp;ENCODEURL(""https://wa.me/507""&amp;REGEXREPLACE(C1209,""[^0-9]"","""")&amp;""?text=""&amp;ENCODEURL(""Ya llegue. Codigo: ""&amp;A1209&amp;"". Ubicacion: ""&amp;""https://www.google.com/maps/search"&amp;"/?api=1&amp;query=""&amp;SUBSTITUTE(F1209,"" "",""""))),"""")"),"")</f>
        <v/>
      </c>
      <c r="M1209" s="5" t="str">
        <f t="shared" si="6"/>
        <v/>
      </c>
      <c r="N1209" s="5" t="str">
        <f>IFERROR(__xludf.DUMMYFUNCTION("IF(AND(F1209&lt;&gt;"""",REGEXMATCH(SUBSTITUTE(F1209,"" "",""""),""^-?\d+(\.\d+)?,-?\d+(\.\d+)?$""),VALUE(REGEXEXTRACT(SUBSTITUTE(F1209,"" "",""""),""^-?\d+(\.\d+)?""))&gt;=-90,VALUE(REGEXEXTRACT(SUBSTITUTE(F1209,"" "",""""),""^-?\d+(\.\d+)?""))&lt;=90,VALUE(REGEXEXT"&amp;"RACT(SUBSTITUTE(F1209,"" "",""""),""-?\d+(\.\d+)?$""))&gt;=-180,VALUE(REGEXEXTRACT(SUBSTITUTE(F1209,"" "",""""),""-?\d+(\.\d+)?$""))&lt;=180),""OK"",""REVISAR"")"),"#N/A")</f>
        <v>#N/A</v>
      </c>
    </row>
    <row r="1210" ht="15.75" customHeight="1">
      <c r="A1210" s="5" t="str">
        <f t="shared" si="1"/>
        <v>AD507-1208</v>
      </c>
      <c r="C1210" s="5"/>
      <c r="F1210" s="5"/>
      <c r="G1210" s="5" t="str">
        <f t="shared" si="2"/>
        <v/>
      </c>
      <c r="H1210" s="5" t="str">
        <f t="shared" si="3"/>
        <v/>
      </c>
      <c r="I1210" s="5" t="str">
        <f t="shared" si="4"/>
        <v/>
      </c>
      <c r="J1210" s="5" t="str">
        <f t="shared" si="5"/>
        <v/>
      </c>
      <c r="K1210" s="5" t="str">
        <f>IFERROR(__xludf.DUMMYFUNCTION("IF(C1210&lt;&gt;"""",HYPERLINK(""https://wa.me/507""&amp;REGEXREPLACE(C1210,""[^0-9]"","""")&amp;""?text=""&amp;ENCODEURL(""Ya llegue. Codigo: ""&amp;A1210&amp;"". Ubicacion: ""&amp;""https://www.google.com/maps/search/?api=1&amp;query=""&amp;SUBSTITUTE(F1210,"" "","""")),""📲 Avisar al clien"&amp;"te""),"""")"),"")</f>
        <v/>
      </c>
      <c r="L1210" s="5" t="str">
        <f>IFERROR(__xludf.DUMMYFUNCTION("IF(C1210&lt;&gt;"""",""https://api.qrserver.com/v1/create-qr-code/?size=200x200&amp;data=""&amp;ENCODEURL(""https://wa.me/507""&amp;REGEXREPLACE(C1210,""[^0-9]"","""")&amp;""?text=""&amp;ENCODEURL(""Ya llegue. Codigo: ""&amp;A1210&amp;"". Ubicacion: ""&amp;""https://www.google.com/maps/search"&amp;"/?api=1&amp;query=""&amp;SUBSTITUTE(F1210,"" "",""""))),"""")"),"")</f>
        <v/>
      </c>
      <c r="M1210" s="5" t="str">
        <f t="shared" si="6"/>
        <v/>
      </c>
      <c r="N1210" s="5" t="str">
        <f>IFERROR(__xludf.DUMMYFUNCTION("IF(AND(F1210&lt;&gt;"""",REGEXMATCH(SUBSTITUTE(F1210,"" "",""""),""^-?\d+(\.\d+)?,-?\d+(\.\d+)?$""),VALUE(REGEXEXTRACT(SUBSTITUTE(F1210,"" "",""""),""^-?\d+(\.\d+)?""))&gt;=-90,VALUE(REGEXEXTRACT(SUBSTITUTE(F1210,"" "",""""),""^-?\d+(\.\d+)?""))&lt;=90,VALUE(REGEXEXT"&amp;"RACT(SUBSTITUTE(F1210,"" "",""""),""-?\d+(\.\d+)?$""))&gt;=-180,VALUE(REGEXEXTRACT(SUBSTITUTE(F1210,"" "",""""),""-?\d+(\.\d+)?$""))&lt;=180),""OK"",""REVISAR"")"),"#N/A")</f>
        <v>#N/A</v>
      </c>
    </row>
    <row r="1211" ht="15.75" customHeight="1">
      <c r="A1211" s="5" t="str">
        <f t="shared" si="1"/>
        <v>AD507-1209</v>
      </c>
      <c r="C1211" s="5"/>
      <c r="F1211" s="5"/>
      <c r="G1211" s="5" t="str">
        <f t="shared" si="2"/>
        <v/>
      </c>
      <c r="H1211" s="5" t="str">
        <f t="shared" si="3"/>
        <v/>
      </c>
      <c r="I1211" s="5" t="str">
        <f t="shared" si="4"/>
        <v/>
      </c>
      <c r="J1211" s="5" t="str">
        <f t="shared" si="5"/>
        <v/>
      </c>
      <c r="K1211" s="5" t="str">
        <f>IFERROR(__xludf.DUMMYFUNCTION("IF(C1211&lt;&gt;"""",HYPERLINK(""https://wa.me/507""&amp;REGEXREPLACE(C1211,""[^0-9]"","""")&amp;""?text=""&amp;ENCODEURL(""Ya llegue. Codigo: ""&amp;A1211&amp;"". Ubicacion: ""&amp;""https://www.google.com/maps/search/?api=1&amp;query=""&amp;SUBSTITUTE(F1211,"" "","""")),""📲 Avisar al clien"&amp;"te""),"""")"),"")</f>
        <v/>
      </c>
      <c r="L1211" s="5" t="str">
        <f>IFERROR(__xludf.DUMMYFUNCTION("IF(C1211&lt;&gt;"""",""https://api.qrserver.com/v1/create-qr-code/?size=200x200&amp;data=""&amp;ENCODEURL(""https://wa.me/507""&amp;REGEXREPLACE(C1211,""[^0-9]"","""")&amp;""?text=""&amp;ENCODEURL(""Ya llegue. Codigo: ""&amp;A1211&amp;"". Ubicacion: ""&amp;""https://www.google.com/maps/search"&amp;"/?api=1&amp;query=""&amp;SUBSTITUTE(F1211,"" "",""""))),"""")"),"")</f>
        <v/>
      </c>
      <c r="M1211" s="5" t="str">
        <f t="shared" si="6"/>
        <v/>
      </c>
      <c r="N1211" s="5" t="str">
        <f>IFERROR(__xludf.DUMMYFUNCTION("IF(AND(F1211&lt;&gt;"""",REGEXMATCH(SUBSTITUTE(F1211,"" "",""""),""^-?\d+(\.\d+)?,-?\d+(\.\d+)?$""),VALUE(REGEXEXTRACT(SUBSTITUTE(F1211,"" "",""""),""^-?\d+(\.\d+)?""))&gt;=-90,VALUE(REGEXEXTRACT(SUBSTITUTE(F1211,"" "",""""),""^-?\d+(\.\d+)?""))&lt;=90,VALUE(REGEXEXT"&amp;"RACT(SUBSTITUTE(F1211,"" "",""""),""-?\d+(\.\d+)?$""))&gt;=-180,VALUE(REGEXEXTRACT(SUBSTITUTE(F1211,"" "",""""),""-?\d+(\.\d+)?$""))&lt;=180),""OK"",""REVISAR"")"),"#N/A")</f>
        <v>#N/A</v>
      </c>
    </row>
    <row r="1212" ht="15.75" customHeight="1">
      <c r="A1212" s="5" t="str">
        <f t="shared" si="1"/>
        <v>AD507-1210</v>
      </c>
      <c r="C1212" s="5"/>
      <c r="F1212" s="5"/>
      <c r="G1212" s="5" t="str">
        <f t="shared" si="2"/>
        <v/>
      </c>
      <c r="H1212" s="5" t="str">
        <f t="shared" si="3"/>
        <v/>
      </c>
      <c r="I1212" s="5" t="str">
        <f t="shared" si="4"/>
        <v/>
      </c>
      <c r="J1212" s="5" t="str">
        <f t="shared" si="5"/>
        <v/>
      </c>
      <c r="K1212" s="5" t="str">
        <f>IFERROR(__xludf.DUMMYFUNCTION("IF(C1212&lt;&gt;"""",HYPERLINK(""https://wa.me/507""&amp;REGEXREPLACE(C1212,""[^0-9]"","""")&amp;""?text=""&amp;ENCODEURL(""Ya llegue. Codigo: ""&amp;A1212&amp;"". Ubicacion: ""&amp;""https://www.google.com/maps/search/?api=1&amp;query=""&amp;SUBSTITUTE(F1212,"" "","""")),""📲 Avisar al clien"&amp;"te""),"""")"),"")</f>
        <v/>
      </c>
      <c r="L1212" s="5" t="str">
        <f>IFERROR(__xludf.DUMMYFUNCTION("IF(C1212&lt;&gt;"""",""https://api.qrserver.com/v1/create-qr-code/?size=200x200&amp;data=""&amp;ENCODEURL(""https://wa.me/507""&amp;REGEXREPLACE(C1212,""[^0-9]"","""")&amp;""?text=""&amp;ENCODEURL(""Ya llegue. Codigo: ""&amp;A1212&amp;"". Ubicacion: ""&amp;""https://www.google.com/maps/search"&amp;"/?api=1&amp;query=""&amp;SUBSTITUTE(F1212,"" "",""""))),"""")"),"")</f>
        <v/>
      </c>
      <c r="M1212" s="5" t="str">
        <f t="shared" si="6"/>
        <v/>
      </c>
      <c r="N1212" s="5" t="str">
        <f>IFERROR(__xludf.DUMMYFUNCTION("IF(AND(F1212&lt;&gt;"""",REGEXMATCH(SUBSTITUTE(F1212,"" "",""""),""^-?\d+(\.\d+)?,-?\d+(\.\d+)?$""),VALUE(REGEXEXTRACT(SUBSTITUTE(F1212,"" "",""""),""^-?\d+(\.\d+)?""))&gt;=-90,VALUE(REGEXEXTRACT(SUBSTITUTE(F1212,"" "",""""),""^-?\d+(\.\d+)?""))&lt;=90,VALUE(REGEXEXT"&amp;"RACT(SUBSTITUTE(F1212,"" "",""""),""-?\d+(\.\d+)?$""))&gt;=-180,VALUE(REGEXEXTRACT(SUBSTITUTE(F1212,"" "",""""),""-?\d+(\.\d+)?$""))&lt;=180),""OK"",""REVISAR"")"),"#N/A")</f>
        <v>#N/A</v>
      </c>
    </row>
    <row r="1213" ht="15.75" customHeight="1">
      <c r="A1213" s="5" t="str">
        <f t="shared" si="1"/>
        <v>AD507-1211</v>
      </c>
      <c r="C1213" s="5"/>
      <c r="F1213" s="5"/>
      <c r="G1213" s="5" t="str">
        <f t="shared" si="2"/>
        <v/>
      </c>
      <c r="H1213" s="5" t="str">
        <f t="shared" si="3"/>
        <v/>
      </c>
      <c r="I1213" s="5" t="str">
        <f t="shared" si="4"/>
        <v/>
      </c>
      <c r="J1213" s="5" t="str">
        <f t="shared" si="5"/>
        <v/>
      </c>
      <c r="K1213" s="5" t="str">
        <f>IFERROR(__xludf.DUMMYFUNCTION("IF(C1213&lt;&gt;"""",HYPERLINK(""https://wa.me/507""&amp;REGEXREPLACE(C1213,""[^0-9]"","""")&amp;""?text=""&amp;ENCODEURL(""Ya llegue. Codigo: ""&amp;A1213&amp;"". Ubicacion: ""&amp;""https://www.google.com/maps/search/?api=1&amp;query=""&amp;SUBSTITUTE(F1213,"" "","""")),""📲 Avisar al clien"&amp;"te""),"""")"),"")</f>
        <v/>
      </c>
      <c r="L1213" s="5" t="str">
        <f>IFERROR(__xludf.DUMMYFUNCTION("IF(C1213&lt;&gt;"""",""https://api.qrserver.com/v1/create-qr-code/?size=200x200&amp;data=""&amp;ENCODEURL(""https://wa.me/507""&amp;REGEXREPLACE(C1213,""[^0-9]"","""")&amp;""?text=""&amp;ENCODEURL(""Ya llegue. Codigo: ""&amp;A1213&amp;"". Ubicacion: ""&amp;""https://www.google.com/maps/search"&amp;"/?api=1&amp;query=""&amp;SUBSTITUTE(F1213,"" "",""""))),"""")"),"")</f>
        <v/>
      </c>
      <c r="M1213" s="5" t="str">
        <f t="shared" si="6"/>
        <v/>
      </c>
      <c r="N1213" s="5" t="str">
        <f>IFERROR(__xludf.DUMMYFUNCTION("IF(AND(F1213&lt;&gt;"""",REGEXMATCH(SUBSTITUTE(F1213,"" "",""""),""^-?\d+(\.\d+)?,-?\d+(\.\d+)?$""),VALUE(REGEXEXTRACT(SUBSTITUTE(F1213,"" "",""""),""^-?\d+(\.\d+)?""))&gt;=-90,VALUE(REGEXEXTRACT(SUBSTITUTE(F1213,"" "",""""),""^-?\d+(\.\d+)?""))&lt;=90,VALUE(REGEXEXT"&amp;"RACT(SUBSTITUTE(F1213,"" "",""""),""-?\d+(\.\d+)?$""))&gt;=-180,VALUE(REGEXEXTRACT(SUBSTITUTE(F1213,"" "",""""),""-?\d+(\.\d+)?$""))&lt;=180),""OK"",""REVISAR"")"),"#N/A")</f>
        <v>#N/A</v>
      </c>
    </row>
    <row r="1214" ht="15.75" customHeight="1">
      <c r="A1214" s="5" t="str">
        <f t="shared" si="1"/>
        <v>AD507-1212</v>
      </c>
      <c r="C1214" s="5"/>
      <c r="F1214" s="5"/>
      <c r="G1214" s="5" t="str">
        <f t="shared" si="2"/>
        <v/>
      </c>
      <c r="H1214" s="5" t="str">
        <f t="shared" si="3"/>
        <v/>
      </c>
      <c r="I1214" s="5" t="str">
        <f t="shared" si="4"/>
        <v/>
      </c>
      <c r="J1214" s="5" t="str">
        <f t="shared" si="5"/>
        <v/>
      </c>
      <c r="K1214" s="5" t="str">
        <f>IFERROR(__xludf.DUMMYFUNCTION("IF(C1214&lt;&gt;"""",HYPERLINK(""https://wa.me/507""&amp;REGEXREPLACE(C1214,""[^0-9]"","""")&amp;""?text=""&amp;ENCODEURL(""Ya llegue. Codigo: ""&amp;A1214&amp;"". Ubicacion: ""&amp;""https://www.google.com/maps/search/?api=1&amp;query=""&amp;SUBSTITUTE(F1214,"" "","""")),""📲 Avisar al clien"&amp;"te""),"""")"),"")</f>
        <v/>
      </c>
      <c r="L1214" s="5" t="str">
        <f>IFERROR(__xludf.DUMMYFUNCTION("IF(C1214&lt;&gt;"""",""https://api.qrserver.com/v1/create-qr-code/?size=200x200&amp;data=""&amp;ENCODEURL(""https://wa.me/507""&amp;REGEXREPLACE(C1214,""[^0-9]"","""")&amp;""?text=""&amp;ENCODEURL(""Ya llegue. Codigo: ""&amp;A1214&amp;"". Ubicacion: ""&amp;""https://www.google.com/maps/search"&amp;"/?api=1&amp;query=""&amp;SUBSTITUTE(F1214,"" "",""""))),"""")"),"")</f>
        <v/>
      </c>
      <c r="M1214" s="5" t="str">
        <f t="shared" si="6"/>
        <v/>
      </c>
      <c r="N1214" s="5" t="str">
        <f>IFERROR(__xludf.DUMMYFUNCTION("IF(AND(F1214&lt;&gt;"""",REGEXMATCH(SUBSTITUTE(F1214,"" "",""""),""^-?\d+(\.\d+)?,-?\d+(\.\d+)?$""),VALUE(REGEXEXTRACT(SUBSTITUTE(F1214,"" "",""""),""^-?\d+(\.\d+)?""))&gt;=-90,VALUE(REGEXEXTRACT(SUBSTITUTE(F1214,"" "",""""),""^-?\d+(\.\d+)?""))&lt;=90,VALUE(REGEXEXT"&amp;"RACT(SUBSTITUTE(F1214,"" "",""""),""-?\d+(\.\d+)?$""))&gt;=-180,VALUE(REGEXEXTRACT(SUBSTITUTE(F1214,"" "",""""),""-?\d+(\.\d+)?$""))&lt;=180),""OK"",""REVISAR"")"),"#N/A")</f>
        <v>#N/A</v>
      </c>
    </row>
    <row r="1215" ht="15.75" customHeight="1">
      <c r="A1215" s="5" t="str">
        <f t="shared" si="1"/>
        <v>AD507-1213</v>
      </c>
      <c r="C1215" s="5"/>
      <c r="F1215" s="5"/>
      <c r="G1215" s="5" t="str">
        <f t="shared" si="2"/>
        <v/>
      </c>
      <c r="H1215" s="5" t="str">
        <f t="shared" si="3"/>
        <v/>
      </c>
      <c r="I1215" s="5" t="str">
        <f t="shared" si="4"/>
        <v/>
      </c>
      <c r="J1215" s="5" t="str">
        <f t="shared" si="5"/>
        <v/>
      </c>
      <c r="K1215" s="5" t="str">
        <f>IFERROR(__xludf.DUMMYFUNCTION("IF(C1215&lt;&gt;"""",HYPERLINK(""https://wa.me/507""&amp;REGEXREPLACE(C1215,""[^0-9]"","""")&amp;""?text=""&amp;ENCODEURL(""Ya llegue. Codigo: ""&amp;A1215&amp;"". Ubicacion: ""&amp;""https://www.google.com/maps/search/?api=1&amp;query=""&amp;SUBSTITUTE(F1215,"" "","""")),""📲 Avisar al clien"&amp;"te""),"""")"),"")</f>
        <v/>
      </c>
      <c r="L1215" s="5" t="str">
        <f>IFERROR(__xludf.DUMMYFUNCTION("IF(C1215&lt;&gt;"""",""https://api.qrserver.com/v1/create-qr-code/?size=200x200&amp;data=""&amp;ENCODEURL(""https://wa.me/507""&amp;REGEXREPLACE(C1215,""[^0-9]"","""")&amp;""?text=""&amp;ENCODEURL(""Ya llegue. Codigo: ""&amp;A1215&amp;"". Ubicacion: ""&amp;""https://www.google.com/maps/search"&amp;"/?api=1&amp;query=""&amp;SUBSTITUTE(F1215,"" "",""""))),"""")"),"")</f>
        <v/>
      </c>
      <c r="M1215" s="5" t="str">
        <f t="shared" si="6"/>
        <v/>
      </c>
      <c r="N1215" s="5" t="str">
        <f>IFERROR(__xludf.DUMMYFUNCTION("IF(AND(F1215&lt;&gt;"""",REGEXMATCH(SUBSTITUTE(F1215,"" "",""""),""^-?\d+(\.\d+)?,-?\d+(\.\d+)?$""),VALUE(REGEXEXTRACT(SUBSTITUTE(F1215,"" "",""""),""^-?\d+(\.\d+)?""))&gt;=-90,VALUE(REGEXEXTRACT(SUBSTITUTE(F1215,"" "",""""),""^-?\d+(\.\d+)?""))&lt;=90,VALUE(REGEXEXT"&amp;"RACT(SUBSTITUTE(F1215,"" "",""""),""-?\d+(\.\d+)?$""))&gt;=-180,VALUE(REGEXEXTRACT(SUBSTITUTE(F1215,"" "",""""),""-?\d+(\.\d+)?$""))&lt;=180),""OK"",""REVISAR"")"),"#N/A")</f>
        <v>#N/A</v>
      </c>
    </row>
    <row r="1216" ht="15.75" customHeight="1">
      <c r="A1216" s="5" t="str">
        <f t="shared" si="1"/>
        <v>AD507-1214</v>
      </c>
      <c r="C1216" s="5"/>
      <c r="F1216" s="5"/>
      <c r="G1216" s="5" t="str">
        <f t="shared" si="2"/>
        <v/>
      </c>
      <c r="H1216" s="5" t="str">
        <f t="shared" si="3"/>
        <v/>
      </c>
      <c r="I1216" s="5" t="str">
        <f t="shared" si="4"/>
        <v/>
      </c>
      <c r="J1216" s="5" t="str">
        <f t="shared" si="5"/>
        <v/>
      </c>
      <c r="K1216" s="5" t="str">
        <f>IFERROR(__xludf.DUMMYFUNCTION("IF(C1216&lt;&gt;"""",HYPERLINK(""https://wa.me/507""&amp;REGEXREPLACE(C1216,""[^0-9]"","""")&amp;""?text=""&amp;ENCODEURL(""Ya llegue. Codigo: ""&amp;A1216&amp;"". Ubicacion: ""&amp;""https://www.google.com/maps/search/?api=1&amp;query=""&amp;SUBSTITUTE(F1216,"" "","""")),""📲 Avisar al clien"&amp;"te""),"""")"),"")</f>
        <v/>
      </c>
      <c r="L1216" s="5" t="str">
        <f>IFERROR(__xludf.DUMMYFUNCTION("IF(C1216&lt;&gt;"""",""https://api.qrserver.com/v1/create-qr-code/?size=200x200&amp;data=""&amp;ENCODEURL(""https://wa.me/507""&amp;REGEXREPLACE(C1216,""[^0-9]"","""")&amp;""?text=""&amp;ENCODEURL(""Ya llegue. Codigo: ""&amp;A1216&amp;"". Ubicacion: ""&amp;""https://www.google.com/maps/search"&amp;"/?api=1&amp;query=""&amp;SUBSTITUTE(F1216,"" "",""""))),"""")"),"")</f>
        <v/>
      </c>
      <c r="M1216" s="5" t="str">
        <f t="shared" si="6"/>
        <v/>
      </c>
      <c r="N1216" s="5" t="str">
        <f>IFERROR(__xludf.DUMMYFUNCTION("IF(AND(F1216&lt;&gt;"""",REGEXMATCH(SUBSTITUTE(F1216,"" "",""""),""^-?\d+(\.\d+)?,-?\d+(\.\d+)?$""),VALUE(REGEXEXTRACT(SUBSTITUTE(F1216,"" "",""""),""^-?\d+(\.\d+)?""))&gt;=-90,VALUE(REGEXEXTRACT(SUBSTITUTE(F1216,"" "",""""),""^-?\d+(\.\d+)?""))&lt;=90,VALUE(REGEXEXT"&amp;"RACT(SUBSTITUTE(F1216,"" "",""""),""-?\d+(\.\d+)?$""))&gt;=-180,VALUE(REGEXEXTRACT(SUBSTITUTE(F1216,"" "",""""),""-?\d+(\.\d+)?$""))&lt;=180),""OK"",""REVISAR"")"),"#N/A")</f>
        <v>#N/A</v>
      </c>
    </row>
    <row r="1217" ht="15.75" customHeight="1">
      <c r="A1217" s="5" t="str">
        <f t="shared" si="1"/>
        <v>AD507-1215</v>
      </c>
      <c r="C1217" s="5"/>
      <c r="F1217" s="5"/>
      <c r="G1217" s="5" t="str">
        <f t="shared" si="2"/>
        <v/>
      </c>
      <c r="H1217" s="5" t="str">
        <f t="shared" si="3"/>
        <v/>
      </c>
      <c r="I1217" s="5" t="str">
        <f t="shared" si="4"/>
        <v/>
      </c>
      <c r="J1217" s="5" t="str">
        <f t="shared" si="5"/>
        <v/>
      </c>
      <c r="K1217" s="5" t="str">
        <f>IFERROR(__xludf.DUMMYFUNCTION("IF(C1217&lt;&gt;"""",HYPERLINK(""https://wa.me/507""&amp;REGEXREPLACE(C1217,""[^0-9]"","""")&amp;""?text=""&amp;ENCODEURL(""Ya llegue. Codigo: ""&amp;A1217&amp;"". Ubicacion: ""&amp;""https://www.google.com/maps/search/?api=1&amp;query=""&amp;SUBSTITUTE(F1217,"" "","""")),""📲 Avisar al clien"&amp;"te""),"""")"),"")</f>
        <v/>
      </c>
      <c r="L1217" s="5" t="str">
        <f>IFERROR(__xludf.DUMMYFUNCTION("IF(C1217&lt;&gt;"""",""https://api.qrserver.com/v1/create-qr-code/?size=200x200&amp;data=""&amp;ENCODEURL(""https://wa.me/507""&amp;REGEXREPLACE(C1217,""[^0-9]"","""")&amp;""?text=""&amp;ENCODEURL(""Ya llegue. Codigo: ""&amp;A1217&amp;"". Ubicacion: ""&amp;""https://www.google.com/maps/search"&amp;"/?api=1&amp;query=""&amp;SUBSTITUTE(F1217,"" "",""""))),"""")"),"")</f>
        <v/>
      </c>
      <c r="M1217" s="5" t="str">
        <f t="shared" si="6"/>
        <v/>
      </c>
      <c r="N1217" s="5" t="str">
        <f>IFERROR(__xludf.DUMMYFUNCTION("IF(AND(F1217&lt;&gt;"""",REGEXMATCH(SUBSTITUTE(F1217,"" "",""""),""^-?\d+(\.\d+)?,-?\d+(\.\d+)?$""),VALUE(REGEXEXTRACT(SUBSTITUTE(F1217,"" "",""""),""^-?\d+(\.\d+)?""))&gt;=-90,VALUE(REGEXEXTRACT(SUBSTITUTE(F1217,"" "",""""),""^-?\d+(\.\d+)?""))&lt;=90,VALUE(REGEXEXT"&amp;"RACT(SUBSTITUTE(F1217,"" "",""""),""-?\d+(\.\d+)?$""))&gt;=-180,VALUE(REGEXEXTRACT(SUBSTITUTE(F1217,"" "",""""),""-?\d+(\.\d+)?$""))&lt;=180),""OK"",""REVISAR"")"),"#N/A")</f>
        <v>#N/A</v>
      </c>
    </row>
    <row r="1218" ht="15.75" customHeight="1">
      <c r="A1218" s="5" t="str">
        <f t="shared" si="1"/>
        <v>AD507-1216</v>
      </c>
      <c r="C1218" s="5"/>
      <c r="F1218" s="5"/>
      <c r="G1218" s="5" t="str">
        <f t="shared" si="2"/>
        <v/>
      </c>
      <c r="H1218" s="5" t="str">
        <f t="shared" si="3"/>
        <v/>
      </c>
      <c r="I1218" s="5" t="str">
        <f t="shared" si="4"/>
        <v/>
      </c>
      <c r="J1218" s="5" t="str">
        <f t="shared" si="5"/>
        <v/>
      </c>
      <c r="K1218" s="5" t="str">
        <f>IFERROR(__xludf.DUMMYFUNCTION("IF(C1218&lt;&gt;"""",HYPERLINK(""https://wa.me/507""&amp;REGEXREPLACE(C1218,""[^0-9]"","""")&amp;""?text=""&amp;ENCODEURL(""Ya llegue. Codigo: ""&amp;A1218&amp;"". Ubicacion: ""&amp;""https://www.google.com/maps/search/?api=1&amp;query=""&amp;SUBSTITUTE(F1218,"" "","""")),""📲 Avisar al clien"&amp;"te""),"""")"),"")</f>
        <v/>
      </c>
      <c r="L1218" s="5" t="str">
        <f>IFERROR(__xludf.DUMMYFUNCTION("IF(C1218&lt;&gt;"""",""https://api.qrserver.com/v1/create-qr-code/?size=200x200&amp;data=""&amp;ENCODEURL(""https://wa.me/507""&amp;REGEXREPLACE(C1218,""[^0-9]"","""")&amp;""?text=""&amp;ENCODEURL(""Ya llegue. Codigo: ""&amp;A1218&amp;"". Ubicacion: ""&amp;""https://www.google.com/maps/search"&amp;"/?api=1&amp;query=""&amp;SUBSTITUTE(F1218,"" "",""""))),"""")"),"")</f>
        <v/>
      </c>
      <c r="M1218" s="5" t="str">
        <f t="shared" si="6"/>
        <v/>
      </c>
      <c r="N1218" s="5" t="str">
        <f>IFERROR(__xludf.DUMMYFUNCTION("IF(AND(F1218&lt;&gt;"""",REGEXMATCH(SUBSTITUTE(F1218,"" "",""""),""^-?\d+(\.\d+)?,-?\d+(\.\d+)?$""),VALUE(REGEXEXTRACT(SUBSTITUTE(F1218,"" "",""""),""^-?\d+(\.\d+)?""))&gt;=-90,VALUE(REGEXEXTRACT(SUBSTITUTE(F1218,"" "",""""),""^-?\d+(\.\d+)?""))&lt;=90,VALUE(REGEXEXT"&amp;"RACT(SUBSTITUTE(F1218,"" "",""""),""-?\d+(\.\d+)?$""))&gt;=-180,VALUE(REGEXEXTRACT(SUBSTITUTE(F1218,"" "",""""),""-?\d+(\.\d+)?$""))&lt;=180),""OK"",""REVISAR"")"),"#N/A")</f>
        <v>#N/A</v>
      </c>
    </row>
    <row r="1219" ht="15.75" customHeight="1">
      <c r="A1219" s="5" t="str">
        <f t="shared" si="1"/>
        <v>AD507-1217</v>
      </c>
      <c r="C1219" s="5"/>
      <c r="F1219" s="5"/>
      <c r="G1219" s="5" t="str">
        <f t="shared" si="2"/>
        <v/>
      </c>
      <c r="H1219" s="5" t="str">
        <f t="shared" si="3"/>
        <v/>
      </c>
      <c r="I1219" s="5" t="str">
        <f t="shared" si="4"/>
        <v/>
      </c>
      <c r="J1219" s="5" t="str">
        <f t="shared" si="5"/>
        <v/>
      </c>
      <c r="K1219" s="5" t="str">
        <f>IFERROR(__xludf.DUMMYFUNCTION("IF(C1219&lt;&gt;"""",HYPERLINK(""https://wa.me/507""&amp;REGEXREPLACE(C1219,""[^0-9]"","""")&amp;""?text=""&amp;ENCODEURL(""Ya llegue. Codigo: ""&amp;A1219&amp;"". Ubicacion: ""&amp;""https://www.google.com/maps/search/?api=1&amp;query=""&amp;SUBSTITUTE(F1219,"" "","""")),""📲 Avisar al clien"&amp;"te""),"""")"),"")</f>
        <v/>
      </c>
      <c r="L1219" s="5" t="str">
        <f>IFERROR(__xludf.DUMMYFUNCTION("IF(C1219&lt;&gt;"""",""https://api.qrserver.com/v1/create-qr-code/?size=200x200&amp;data=""&amp;ENCODEURL(""https://wa.me/507""&amp;REGEXREPLACE(C1219,""[^0-9]"","""")&amp;""?text=""&amp;ENCODEURL(""Ya llegue. Codigo: ""&amp;A1219&amp;"". Ubicacion: ""&amp;""https://www.google.com/maps/search"&amp;"/?api=1&amp;query=""&amp;SUBSTITUTE(F1219,"" "",""""))),"""")"),"")</f>
        <v/>
      </c>
      <c r="M1219" s="5" t="str">
        <f t="shared" si="6"/>
        <v/>
      </c>
      <c r="N1219" s="5" t="str">
        <f>IFERROR(__xludf.DUMMYFUNCTION("IF(AND(F1219&lt;&gt;"""",REGEXMATCH(SUBSTITUTE(F1219,"" "",""""),""^-?\d+(\.\d+)?,-?\d+(\.\d+)?$""),VALUE(REGEXEXTRACT(SUBSTITUTE(F1219,"" "",""""),""^-?\d+(\.\d+)?""))&gt;=-90,VALUE(REGEXEXTRACT(SUBSTITUTE(F1219,"" "",""""),""^-?\d+(\.\d+)?""))&lt;=90,VALUE(REGEXEXT"&amp;"RACT(SUBSTITUTE(F1219,"" "",""""),""-?\d+(\.\d+)?$""))&gt;=-180,VALUE(REGEXEXTRACT(SUBSTITUTE(F1219,"" "",""""),""-?\d+(\.\d+)?$""))&lt;=180),""OK"",""REVISAR"")"),"#N/A")</f>
        <v>#N/A</v>
      </c>
    </row>
    <row r="1220" ht="15.75" customHeight="1">
      <c r="A1220" s="5" t="str">
        <f t="shared" si="1"/>
        <v>AD507-1218</v>
      </c>
      <c r="C1220" s="5"/>
      <c r="F1220" s="5"/>
      <c r="G1220" s="5" t="str">
        <f t="shared" si="2"/>
        <v/>
      </c>
      <c r="H1220" s="5" t="str">
        <f t="shared" si="3"/>
        <v/>
      </c>
      <c r="I1220" s="5" t="str">
        <f t="shared" si="4"/>
        <v/>
      </c>
      <c r="J1220" s="5" t="str">
        <f t="shared" si="5"/>
        <v/>
      </c>
      <c r="K1220" s="5" t="str">
        <f>IFERROR(__xludf.DUMMYFUNCTION("IF(C1220&lt;&gt;"""",HYPERLINK(""https://wa.me/507""&amp;REGEXREPLACE(C1220,""[^0-9]"","""")&amp;""?text=""&amp;ENCODEURL(""Ya llegue. Codigo: ""&amp;A1220&amp;"". Ubicacion: ""&amp;""https://www.google.com/maps/search/?api=1&amp;query=""&amp;SUBSTITUTE(F1220,"" "","""")),""📲 Avisar al clien"&amp;"te""),"""")"),"")</f>
        <v/>
      </c>
      <c r="L1220" s="5" t="str">
        <f>IFERROR(__xludf.DUMMYFUNCTION("IF(C1220&lt;&gt;"""",""https://api.qrserver.com/v1/create-qr-code/?size=200x200&amp;data=""&amp;ENCODEURL(""https://wa.me/507""&amp;REGEXREPLACE(C1220,""[^0-9]"","""")&amp;""?text=""&amp;ENCODEURL(""Ya llegue. Codigo: ""&amp;A1220&amp;"". Ubicacion: ""&amp;""https://www.google.com/maps/search"&amp;"/?api=1&amp;query=""&amp;SUBSTITUTE(F1220,"" "",""""))),"""")"),"")</f>
        <v/>
      </c>
      <c r="M1220" s="5" t="str">
        <f t="shared" si="6"/>
        <v/>
      </c>
      <c r="N1220" s="5" t="str">
        <f>IFERROR(__xludf.DUMMYFUNCTION("IF(AND(F1220&lt;&gt;"""",REGEXMATCH(SUBSTITUTE(F1220,"" "",""""),""^-?\d+(\.\d+)?,-?\d+(\.\d+)?$""),VALUE(REGEXEXTRACT(SUBSTITUTE(F1220,"" "",""""),""^-?\d+(\.\d+)?""))&gt;=-90,VALUE(REGEXEXTRACT(SUBSTITUTE(F1220,"" "",""""),""^-?\d+(\.\d+)?""))&lt;=90,VALUE(REGEXEXT"&amp;"RACT(SUBSTITUTE(F1220,"" "",""""),""-?\d+(\.\d+)?$""))&gt;=-180,VALUE(REGEXEXTRACT(SUBSTITUTE(F1220,"" "",""""),""-?\d+(\.\d+)?$""))&lt;=180),""OK"",""REVISAR"")"),"#N/A")</f>
        <v>#N/A</v>
      </c>
    </row>
    <row r="1221" ht="15.75" customHeight="1">
      <c r="A1221" s="5" t="str">
        <f t="shared" si="1"/>
        <v>AD507-1219</v>
      </c>
      <c r="C1221" s="5"/>
      <c r="F1221" s="5"/>
      <c r="G1221" s="5" t="str">
        <f t="shared" si="2"/>
        <v/>
      </c>
      <c r="H1221" s="5" t="str">
        <f t="shared" si="3"/>
        <v/>
      </c>
      <c r="I1221" s="5" t="str">
        <f t="shared" si="4"/>
        <v/>
      </c>
      <c r="J1221" s="5" t="str">
        <f t="shared" si="5"/>
        <v/>
      </c>
      <c r="K1221" s="5" t="str">
        <f>IFERROR(__xludf.DUMMYFUNCTION("IF(C1221&lt;&gt;"""",HYPERLINK(""https://wa.me/507""&amp;REGEXREPLACE(C1221,""[^0-9]"","""")&amp;""?text=""&amp;ENCODEURL(""Ya llegue. Codigo: ""&amp;A1221&amp;"". Ubicacion: ""&amp;""https://www.google.com/maps/search/?api=1&amp;query=""&amp;SUBSTITUTE(F1221,"" "","""")),""📲 Avisar al clien"&amp;"te""),"""")"),"")</f>
        <v/>
      </c>
      <c r="L1221" s="5" t="str">
        <f>IFERROR(__xludf.DUMMYFUNCTION("IF(C1221&lt;&gt;"""",""https://api.qrserver.com/v1/create-qr-code/?size=200x200&amp;data=""&amp;ENCODEURL(""https://wa.me/507""&amp;REGEXREPLACE(C1221,""[^0-9]"","""")&amp;""?text=""&amp;ENCODEURL(""Ya llegue. Codigo: ""&amp;A1221&amp;"". Ubicacion: ""&amp;""https://www.google.com/maps/search"&amp;"/?api=1&amp;query=""&amp;SUBSTITUTE(F1221,"" "",""""))),"""")"),"")</f>
        <v/>
      </c>
      <c r="M1221" s="5" t="str">
        <f t="shared" si="6"/>
        <v/>
      </c>
      <c r="N1221" s="5" t="str">
        <f>IFERROR(__xludf.DUMMYFUNCTION("IF(AND(F1221&lt;&gt;"""",REGEXMATCH(SUBSTITUTE(F1221,"" "",""""),""^-?\d+(\.\d+)?,-?\d+(\.\d+)?$""),VALUE(REGEXEXTRACT(SUBSTITUTE(F1221,"" "",""""),""^-?\d+(\.\d+)?""))&gt;=-90,VALUE(REGEXEXTRACT(SUBSTITUTE(F1221,"" "",""""),""^-?\d+(\.\d+)?""))&lt;=90,VALUE(REGEXEXT"&amp;"RACT(SUBSTITUTE(F1221,"" "",""""),""-?\d+(\.\d+)?$""))&gt;=-180,VALUE(REGEXEXTRACT(SUBSTITUTE(F1221,"" "",""""),""-?\d+(\.\d+)?$""))&lt;=180),""OK"",""REVISAR"")"),"#N/A")</f>
        <v>#N/A</v>
      </c>
    </row>
    <row r="1222" ht="15.75" customHeight="1">
      <c r="A1222" s="5" t="str">
        <f t="shared" si="1"/>
        <v>AD507-1220</v>
      </c>
      <c r="C1222" s="5"/>
      <c r="F1222" s="5"/>
      <c r="G1222" s="5" t="str">
        <f t="shared" si="2"/>
        <v/>
      </c>
      <c r="H1222" s="5" t="str">
        <f t="shared" si="3"/>
        <v/>
      </c>
      <c r="I1222" s="5" t="str">
        <f t="shared" si="4"/>
        <v/>
      </c>
      <c r="J1222" s="5" t="str">
        <f t="shared" si="5"/>
        <v/>
      </c>
      <c r="K1222" s="5" t="str">
        <f>IFERROR(__xludf.DUMMYFUNCTION("IF(C1222&lt;&gt;"""",HYPERLINK(""https://wa.me/507""&amp;REGEXREPLACE(C1222,""[^0-9]"","""")&amp;""?text=""&amp;ENCODEURL(""Ya llegue. Codigo: ""&amp;A1222&amp;"". Ubicacion: ""&amp;""https://www.google.com/maps/search/?api=1&amp;query=""&amp;SUBSTITUTE(F1222,"" "","""")),""📲 Avisar al clien"&amp;"te""),"""")"),"")</f>
        <v/>
      </c>
      <c r="L1222" s="5" t="str">
        <f>IFERROR(__xludf.DUMMYFUNCTION("IF(C1222&lt;&gt;"""",""https://api.qrserver.com/v1/create-qr-code/?size=200x200&amp;data=""&amp;ENCODEURL(""https://wa.me/507""&amp;REGEXREPLACE(C1222,""[^0-9]"","""")&amp;""?text=""&amp;ENCODEURL(""Ya llegue. Codigo: ""&amp;A1222&amp;"". Ubicacion: ""&amp;""https://www.google.com/maps/search"&amp;"/?api=1&amp;query=""&amp;SUBSTITUTE(F1222,"" "",""""))),"""")"),"")</f>
        <v/>
      </c>
      <c r="M1222" s="5" t="str">
        <f t="shared" si="6"/>
        <v/>
      </c>
      <c r="N1222" s="5" t="str">
        <f>IFERROR(__xludf.DUMMYFUNCTION("IF(AND(F1222&lt;&gt;"""",REGEXMATCH(SUBSTITUTE(F1222,"" "",""""),""^-?\d+(\.\d+)?,-?\d+(\.\d+)?$""),VALUE(REGEXEXTRACT(SUBSTITUTE(F1222,"" "",""""),""^-?\d+(\.\d+)?""))&gt;=-90,VALUE(REGEXEXTRACT(SUBSTITUTE(F1222,"" "",""""),""^-?\d+(\.\d+)?""))&lt;=90,VALUE(REGEXEXT"&amp;"RACT(SUBSTITUTE(F1222,"" "",""""),""-?\d+(\.\d+)?$""))&gt;=-180,VALUE(REGEXEXTRACT(SUBSTITUTE(F1222,"" "",""""),""-?\d+(\.\d+)?$""))&lt;=180),""OK"",""REVISAR"")"),"#N/A")</f>
        <v>#N/A</v>
      </c>
    </row>
    <row r="1223" ht="15.75" customHeight="1">
      <c r="A1223" s="5" t="str">
        <f t="shared" si="1"/>
        <v>AD507-1221</v>
      </c>
      <c r="C1223" s="5"/>
      <c r="F1223" s="5"/>
      <c r="G1223" s="5" t="str">
        <f t="shared" si="2"/>
        <v/>
      </c>
      <c r="H1223" s="5" t="str">
        <f t="shared" si="3"/>
        <v/>
      </c>
      <c r="I1223" s="5" t="str">
        <f t="shared" si="4"/>
        <v/>
      </c>
      <c r="J1223" s="5" t="str">
        <f t="shared" si="5"/>
        <v/>
      </c>
      <c r="K1223" s="5" t="str">
        <f>IFERROR(__xludf.DUMMYFUNCTION("IF(C1223&lt;&gt;"""",HYPERLINK(""https://wa.me/507""&amp;REGEXREPLACE(C1223,""[^0-9]"","""")&amp;""?text=""&amp;ENCODEURL(""Ya llegue. Codigo: ""&amp;A1223&amp;"". Ubicacion: ""&amp;""https://www.google.com/maps/search/?api=1&amp;query=""&amp;SUBSTITUTE(F1223,"" "","""")),""📲 Avisar al clien"&amp;"te""),"""")"),"")</f>
        <v/>
      </c>
      <c r="L1223" s="5" t="str">
        <f>IFERROR(__xludf.DUMMYFUNCTION("IF(C1223&lt;&gt;"""",""https://api.qrserver.com/v1/create-qr-code/?size=200x200&amp;data=""&amp;ENCODEURL(""https://wa.me/507""&amp;REGEXREPLACE(C1223,""[^0-9]"","""")&amp;""?text=""&amp;ENCODEURL(""Ya llegue. Codigo: ""&amp;A1223&amp;"". Ubicacion: ""&amp;""https://www.google.com/maps/search"&amp;"/?api=1&amp;query=""&amp;SUBSTITUTE(F1223,"" "",""""))),"""")"),"")</f>
        <v/>
      </c>
      <c r="M1223" s="5" t="str">
        <f t="shared" si="6"/>
        <v/>
      </c>
      <c r="N1223" s="5" t="str">
        <f>IFERROR(__xludf.DUMMYFUNCTION("IF(AND(F1223&lt;&gt;"""",REGEXMATCH(SUBSTITUTE(F1223,"" "",""""),""^-?\d+(\.\d+)?,-?\d+(\.\d+)?$""),VALUE(REGEXEXTRACT(SUBSTITUTE(F1223,"" "",""""),""^-?\d+(\.\d+)?""))&gt;=-90,VALUE(REGEXEXTRACT(SUBSTITUTE(F1223,"" "",""""),""^-?\d+(\.\d+)?""))&lt;=90,VALUE(REGEXEXT"&amp;"RACT(SUBSTITUTE(F1223,"" "",""""),""-?\d+(\.\d+)?$""))&gt;=-180,VALUE(REGEXEXTRACT(SUBSTITUTE(F1223,"" "",""""),""-?\d+(\.\d+)?$""))&lt;=180),""OK"",""REVISAR"")"),"#N/A")</f>
        <v>#N/A</v>
      </c>
    </row>
    <row r="1224" ht="15.75" customHeight="1">
      <c r="A1224" s="5" t="str">
        <f t="shared" si="1"/>
        <v>AD507-1222</v>
      </c>
      <c r="C1224" s="5"/>
      <c r="F1224" s="5"/>
      <c r="G1224" s="5" t="str">
        <f t="shared" si="2"/>
        <v/>
      </c>
      <c r="H1224" s="5" t="str">
        <f t="shared" si="3"/>
        <v/>
      </c>
      <c r="I1224" s="5" t="str">
        <f t="shared" si="4"/>
        <v/>
      </c>
      <c r="J1224" s="5" t="str">
        <f t="shared" si="5"/>
        <v/>
      </c>
      <c r="K1224" s="5" t="str">
        <f>IFERROR(__xludf.DUMMYFUNCTION("IF(C1224&lt;&gt;"""",HYPERLINK(""https://wa.me/507""&amp;REGEXREPLACE(C1224,""[^0-9]"","""")&amp;""?text=""&amp;ENCODEURL(""Ya llegue. Codigo: ""&amp;A1224&amp;"". Ubicacion: ""&amp;""https://www.google.com/maps/search/?api=1&amp;query=""&amp;SUBSTITUTE(F1224,"" "","""")),""📲 Avisar al clien"&amp;"te""),"""")"),"")</f>
        <v/>
      </c>
      <c r="L1224" s="5" t="str">
        <f>IFERROR(__xludf.DUMMYFUNCTION("IF(C1224&lt;&gt;"""",""https://api.qrserver.com/v1/create-qr-code/?size=200x200&amp;data=""&amp;ENCODEURL(""https://wa.me/507""&amp;REGEXREPLACE(C1224,""[^0-9]"","""")&amp;""?text=""&amp;ENCODEURL(""Ya llegue. Codigo: ""&amp;A1224&amp;"". Ubicacion: ""&amp;""https://www.google.com/maps/search"&amp;"/?api=1&amp;query=""&amp;SUBSTITUTE(F1224,"" "",""""))),"""")"),"")</f>
        <v/>
      </c>
      <c r="M1224" s="5" t="str">
        <f t="shared" si="6"/>
        <v/>
      </c>
      <c r="N1224" s="5" t="str">
        <f>IFERROR(__xludf.DUMMYFUNCTION("IF(AND(F1224&lt;&gt;"""",REGEXMATCH(SUBSTITUTE(F1224,"" "",""""),""^-?\d+(\.\d+)?,-?\d+(\.\d+)?$""),VALUE(REGEXEXTRACT(SUBSTITUTE(F1224,"" "",""""),""^-?\d+(\.\d+)?""))&gt;=-90,VALUE(REGEXEXTRACT(SUBSTITUTE(F1224,"" "",""""),""^-?\d+(\.\d+)?""))&lt;=90,VALUE(REGEXEXT"&amp;"RACT(SUBSTITUTE(F1224,"" "",""""),""-?\d+(\.\d+)?$""))&gt;=-180,VALUE(REGEXEXTRACT(SUBSTITUTE(F1224,"" "",""""),""-?\d+(\.\d+)?$""))&lt;=180),""OK"",""REVISAR"")"),"#N/A")</f>
        <v>#N/A</v>
      </c>
    </row>
    <row r="1225" ht="15.75" customHeight="1">
      <c r="A1225" s="5" t="str">
        <f t="shared" si="1"/>
        <v>AD507-1223</v>
      </c>
      <c r="C1225" s="5"/>
      <c r="F1225" s="5"/>
      <c r="G1225" s="5" t="str">
        <f t="shared" si="2"/>
        <v/>
      </c>
      <c r="H1225" s="5" t="str">
        <f t="shared" si="3"/>
        <v/>
      </c>
      <c r="I1225" s="5" t="str">
        <f t="shared" si="4"/>
        <v/>
      </c>
      <c r="J1225" s="5" t="str">
        <f t="shared" si="5"/>
        <v/>
      </c>
      <c r="K1225" s="5" t="str">
        <f>IFERROR(__xludf.DUMMYFUNCTION("IF(C1225&lt;&gt;"""",HYPERLINK(""https://wa.me/507""&amp;REGEXREPLACE(C1225,""[^0-9]"","""")&amp;""?text=""&amp;ENCODEURL(""Ya llegue. Codigo: ""&amp;A1225&amp;"". Ubicacion: ""&amp;""https://www.google.com/maps/search/?api=1&amp;query=""&amp;SUBSTITUTE(F1225,"" "","""")),""📲 Avisar al clien"&amp;"te""),"""")"),"")</f>
        <v/>
      </c>
      <c r="L1225" s="5" t="str">
        <f>IFERROR(__xludf.DUMMYFUNCTION("IF(C1225&lt;&gt;"""",""https://api.qrserver.com/v1/create-qr-code/?size=200x200&amp;data=""&amp;ENCODEURL(""https://wa.me/507""&amp;REGEXREPLACE(C1225,""[^0-9]"","""")&amp;""?text=""&amp;ENCODEURL(""Ya llegue. Codigo: ""&amp;A1225&amp;"". Ubicacion: ""&amp;""https://www.google.com/maps/search"&amp;"/?api=1&amp;query=""&amp;SUBSTITUTE(F1225,"" "",""""))),"""")"),"")</f>
        <v/>
      </c>
      <c r="M1225" s="5" t="str">
        <f t="shared" si="6"/>
        <v/>
      </c>
      <c r="N1225" s="5" t="str">
        <f>IFERROR(__xludf.DUMMYFUNCTION("IF(AND(F1225&lt;&gt;"""",REGEXMATCH(SUBSTITUTE(F1225,"" "",""""),""^-?\d+(\.\d+)?,-?\d+(\.\d+)?$""),VALUE(REGEXEXTRACT(SUBSTITUTE(F1225,"" "",""""),""^-?\d+(\.\d+)?""))&gt;=-90,VALUE(REGEXEXTRACT(SUBSTITUTE(F1225,"" "",""""),""^-?\d+(\.\d+)?""))&lt;=90,VALUE(REGEXEXT"&amp;"RACT(SUBSTITUTE(F1225,"" "",""""),""-?\d+(\.\d+)?$""))&gt;=-180,VALUE(REGEXEXTRACT(SUBSTITUTE(F1225,"" "",""""),""-?\d+(\.\d+)?$""))&lt;=180),""OK"",""REVISAR"")"),"#N/A")</f>
        <v>#N/A</v>
      </c>
    </row>
    <row r="1226" ht="15.75" customHeight="1">
      <c r="A1226" s="5" t="str">
        <f t="shared" si="1"/>
        <v>AD507-1224</v>
      </c>
      <c r="C1226" s="5"/>
      <c r="F1226" s="5"/>
      <c r="G1226" s="5" t="str">
        <f t="shared" si="2"/>
        <v/>
      </c>
      <c r="H1226" s="5" t="str">
        <f t="shared" si="3"/>
        <v/>
      </c>
      <c r="I1226" s="5" t="str">
        <f t="shared" si="4"/>
        <v/>
      </c>
      <c r="J1226" s="5" t="str">
        <f t="shared" si="5"/>
        <v/>
      </c>
      <c r="K1226" s="5" t="str">
        <f>IFERROR(__xludf.DUMMYFUNCTION("IF(C1226&lt;&gt;"""",HYPERLINK(""https://wa.me/507""&amp;REGEXREPLACE(C1226,""[^0-9]"","""")&amp;""?text=""&amp;ENCODEURL(""Ya llegue. Codigo: ""&amp;A1226&amp;"". Ubicacion: ""&amp;""https://www.google.com/maps/search/?api=1&amp;query=""&amp;SUBSTITUTE(F1226,"" "","""")),""📲 Avisar al clien"&amp;"te""),"""")"),"")</f>
        <v/>
      </c>
      <c r="L1226" s="5" t="str">
        <f>IFERROR(__xludf.DUMMYFUNCTION("IF(C1226&lt;&gt;"""",""https://api.qrserver.com/v1/create-qr-code/?size=200x200&amp;data=""&amp;ENCODEURL(""https://wa.me/507""&amp;REGEXREPLACE(C1226,""[^0-9]"","""")&amp;""?text=""&amp;ENCODEURL(""Ya llegue. Codigo: ""&amp;A1226&amp;"". Ubicacion: ""&amp;""https://www.google.com/maps/search"&amp;"/?api=1&amp;query=""&amp;SUBSTITUTE(F1226,"" "",""""))),"""")"),"")</f>
        <v/>
      </c>
      <c r="M1226" s="5" t="str">
        <f t="shared" si="6"/>
        <v/>
      </c>
      <c r="N1226" s="5" t="str">
        <f>IFERROR(__xludf.DUMMYFUNCTION("IF(AND(F1226&lt;&gt;"""",REGEXMATCH(SUBSTITUTE(F1226,"" "",""""),""^-?\d+(\.\d+)?,-?\d+(\.\d+)?$""),VALUE(REGEXEXTRACT(SUBSTITUTE(F1226,"" "",""""),""^-?\d+(\.\d+)?""))&gt;=-90,VALUE(REGEXEXTRACT(SUBSTITUTE(F1226,"" "",""""),""^-?\d+(\.\d+)?""))&lt;=90,VALUE(REGEXEXT"&amp;"RACT(SUBSTITUTE(F1226,"" "",""""),""-?\d+(\.\d+)?$""))&gt;=-180,VALUE(REGEXEXTRACT(SUBSTITUTE(F1226,"" "",""""),""-?\d+(\.\d+)?$""))&lt;=180),""OK"",""REVISAR"")"),"#N/A")</f>
        <v>#N/A</v>
      </c>
    </row>
    <row r="1227" ht="15.75" customHeight="1">
      <c r="A1227" s="5" t="str">
        <f t="shared" si="1"/>
        <v>AD507-1225</v>
      </c>
      <c r="C1227" s="5"/>
      <c r="F1227" s="5"/>
      <c r="G1227" s="5" t="str">
        <f t="shared" si="2"/>
        <v/>
      </c>
      <c r="H1227" s="5" t="str">
        <f t="shared" si="3"/>
        <v/>
      </c>
      <c r="I1227" s="5" t="str">
        <f t="shared" si="4"/>
        <v/>
      </c>
      <c r="J1227" s="5" t="str">
        <f t="shared" si="5"/>
        <v/>
      </c>
      <c r="K1227" s="5" t="str">
        <f>IFERROR(__xludf.DUMMYFUNCTION("IF(C1227&lt;&gt;"""",HYPERLINK(""https://wa.me/507""&amp;REGEXREPLACE(C1227,""[^0-9]"","""")&amp;""?text=""&amp;ENCODEURL(""Ya llegue. Codigo: ""&amp;A1227&amp;"". Ubicacion: ""&amp;""https://www.google.com/maps/search/?api=1&amp;query=""&amp;SUBSTITUTE(F1227,"" "","""")),""📲 Avisar al clien"&amp;"te""),"""")"),"")</f>
        <v/>
      </c>
      <c r="L1227" s="5" t="str">
        <f>IFERROR(__xludf.DUMMYFUNCTION("IF(C1227&lt;&gt;"""",""https://api.qrserver.com/v1/create-qr-code/?size=200x200&amp;data=""&amp;ENCODEURL(""https://wa.me/507""&amp;REGEXREPLACE(C1227,""[^0-9]"","""")&amp;""?text=""&amp;ENCODEURL(""Ya llegue. Codigo: ""&amp;A1227&amp;"". Ubicacion: ""&amp;""https://www.google.com/maps/search"&amp;"/?api=1&amp;query=""&amp;SUBSTITUTE(F1227,"" "",""""))),"""")"),"")</f>
        <v/>
      </c>
      <c r="M1227" s="5" t="str">
        <f t="shared" si="6"/>
        <v/>
      </c>
      <c r="N1227" s="5" t="str">
        <f>IFERROR(__xludf.DUMMYFUNCTION("IF(AND(F1227&lt;&gt;"""",REGEXMATCH(SUBSTITUTE(F1227,"" "",""""),""^-?\d+(\.\d+)?,-?\d+(\.\d+)?$""),VALUE(REGEXEXTRACT(SUBSTITUTE(F1227,"" "",""""),""^-?\d+(\.\d+)?""))&gt;=-90,VALUE(REGEXEXTRACT(SUBSTITUTE(F1227,"" "",""""),""^-?\d+(\.\d+)?""))&lt;=90,VALUE(REGEXEXT"&amp;"RACT(SUBSTITUTE(F1227,"" "",""""),""-?\d+(\.\d+)?$""))&gt;=-180,VALUE(REGEXEXTRACT(SUBSTITUTE(F1227,"" "",""""),""-?\d+(\.\d+)?$""))&lt;=180),""OK"",""REVISAR"")"),"#N/A")</f>
        <v>#N/A</v>
      </c>
    </row>
    <row r="1228" ht="15.75" customHeight="1">
      <c r="A1228" s="5" t="str">
        <f t="shared" si="1"/>
        <v>AD507-1226</v>
      </c>
      <c r="C1228" s="5"/>
      <c r="F1228" s="5"/>
      <c r="G1228" s="5" t="str">
        <f t="shared" si="2"/>
        <v/>
      </c>
      <c r="H1228" s="5" t="str">
        <f t="shared" si="3"/>
        <v/>
      </c>
      <c r="I1228" s="5" t="str">
        <f t="shared" si="4"/>
        <v/>
      </c>
      <c r="J1228" s="5" t="str">
        <f t="shared" si="5"/>
        <v/>
      </c>
      <c r="K1228" s="5" t="str">
        <f>IFERROR(__xludf.DUMMYFUNCTION("IF(C1228&lt;&gt;"""",HYPERLINK(""https://wa.me/507""&amp;REGEXREPLACE(C1228,""[^0-9]"","""")&amp;""?text=""&amp;ENCODEURL(""Ya llegue. Codigo: ""&amp;A1228&amp;"". Ubicacion: ""&amp;""https://www.google.com/maps/search/?api=1&amp;query=""&amp;SUBSTITUTE(F1228,"" "","""")),""📲 Avisar al clien"&amp;"te""),"""")"),"")</f>
        <v/>
      </c>
      <c r="L1228" s="5" t="str">
        <f>IFERROR(__xludf.DUMMYFUNCTION("IF(C1228&lt;&gt;"""",""https://api.qrserver.com/v1/create-qr-code/?size=200x200&amp;data=""&amp;ENCODEURL(""https://wa.me/507""&amp;REGEXREPLACE(C1228,""[^0-9]"","""")&amp;""?text=""&amp;ENCODEURL(""Ya llegue. Codigo: ""&amp;A1228&amp;"". Ubicacion: ""&amp;""https://www.google.com/maps/search"&amp;"/?api=1&amp;query=""&amp;SUBSTITUTE(F1228,"" "",""""))),"""")"),"")</f>
        <v/>
      </c>
      <c r="M1228" s="5" t="str">
        <f t="shared" si="6"/>
        <v/>
      </c>
      <c r="N1228" s="5" t="str">
        <f>IFERROR(__xludf.DUMMYFUNCTION("IF(AND(F1228&lt;&gt;"""",REGEXMATCH(SUBSTITUTE(F1228,"" "",""""),""^-?\d+(\.\d+)?,-?\d+(\.\d+)?$""),VALUE(REGEXEXTRACT(SUBSTITUTE(F1228,"" "",""""),""^-?\d+(\.\d+)?""))&gt;=-90,VALUE(REGEXEXTRACT(SUBSTITUTE(F1228,"" "",""""),""^-?\d+(\.\d+)?""))&lt;=90,VALUE(REGEXEXT"&amp;"RACT(SUBSTITUTE(F1228,"" "",""""),""-?\d+(\.\d+)?$""))&gt;=-180,VALUE(REGEXEXTRACT(SUBSTITUTE(F1228,"" "",""""),""-?\d+(\.\d+)?$""))&lt;=180),""OK"",""REVISAR"")"),"#N/A")</f>
        <v>#N/A</v>
      </c>
    </row>
    <row r="1229" ht="15.75" customHeight="1">
      <c r="A1229" s="5" t="str">
        <f t="shared" si="1"/>
        <v>AD507-1227</v>
      </c>
      <c r="C1229" s="5"/>
      <c r="F1229" s="5"/>
      <c r="G1229" s="5" t="str">
        <f t="shared" si="2"/>
        <v/>
      </c>
      <c r="H1229" s="5" t="str">
        <f t="shared" si="3"/>
        <v/>
      </c>
      <c r="I1229" s="5" t="str">
        <f t="shared" si="4"/>
        <v/>
      </c>
      <c r="J1229" s="5" t="str">
        <f t="shared" si="5"/>
        <v/>
      </c>
      <c r="K1229" s="5" t="str">
        <f>IFERROR(__xludf.DUMMYFUNCTION("IF(C1229&lt;&gt;"""",HYPERLINK(""https://wa.me/507""&amp;REGEXREPLACE(C1229,""[^0-9]"","""")&amp;""?text=""&amp;ENCODEURL(""Ya llegue. Codigo: ""&amp;A1229&amp;"". Ubicacion: ""&amp;""https://www.google.com/maps/search/?api=1&amp;query=""&amp;SUBSTITUTE(F1229,"" "","""")),""📲 Avisar al clien"&amp;"te""),"""")"),"")</f>
        <v/>
      </c>
      <c r="L1229" s="5" t="str">
        <f>IFERROR(__xludf.DUMMYFUNCTION("IF(C1229&lt;&gt;"""",""https://api.qrserver.com/v1/create-qr-code/?size=200x200&amp;data=""&amp;ENCODEURL(""https://wa.me/507""&amp;REGEXREPLACE(C1229,""[^0-9]"","""")&amp;""?text=""&amp;ENCODEURL(""Ya llegue. Codigo: ""&amp;A1229&amp;"". Ubicacion: ""&amp;""https://www.google.com/maps/search"&amp;"/?api=1&amp;query=""&amp;SUBSTITUTE(F1229,"" "",""""))),"""")"),"")</f>
        <v/>
      </c>
      <c r="M1229" s="5" t="str">
        <f t="shared" si="6"/>
        <v/>
      </c>
      <c r="N1229" s="5" t="str">
        <f>IFERROR(__xludf.DUMMYFUNCTION("IF(AND(F1229&lt;&gt;"""",REGEXMATCH(SUBSTITUTE(F1229,"" "",""""),""^-?\d+(\.\d+)?,-?\d+(\.\d+)?$""),VALUE(REGEXEXTRACT(SUBSTITUTE(F1229,"" "",""""),""^-?\d+(\.\d+)?""))&gt;=-90,VALUE(REGEXEXTRACT(SUBSTITUTE(F1229,"" "",""""),""^-?\d+(\.\d+)?""))&lt;=90,VALUE(REGEXEXT"&amp;"RACT(SUBSTITUTE(F1229,"" "",""""),""-?\d+(\.\d+)?$""))&gt;=-180,VALUE(REGEXEXTRACT(SUBSTITUTE(F1229,"" "",""""),""-?\d+(\.\d+)?$""))&lt;=180),""OK"",""REVISAR"")"),"#N/A")</f>
        <v>#N/A</v>
      </c>
    </row>
    <row r="1230" ht="15.75" customHeight="1">
      <c r="A1230" s="5" t="str">
        <f t="shared" si="1"/>
        <v>AD507-1228</v>
      </c>
      <c r="C1230" s="5"/>
      <c r="F1230" s="5"/>
      <c r="G1230" s="5" t="str">
        <f t="shared" si="2"/>
        <v/>
      </c>
      <c r="H1230" s="5" t="str">
        <f t="shared" si="3"/>
        <v/>
      </c>
      <c r="I1230" s="5" t="str">
        <f t="shared" si="4"/>
        <v/>
      </c>
      <c r="J1230" s="5" t="str">
        <f t="shared" si="5"/>
        <v/>
      </c>
      <c r="K1230" s="5" t="str">
        <f>IFERROR(__xludf.DUMMYFUNCTION("IF(C1230&lt;&gt;"""",HYPERLINK(""https://wa.me/507""&amp;REGEXREPLACE(C1230,""[^0-9]"","""")&amp;""?text=""&amp;ENCODEURL(""Ya llegue. Codigo: ""&amp;A1230&amp;"". Ubicacion: ""&amp;""https://www.google.com/maps/search/?api=1&amp;query=""&amp;SUBSTITUTE(F1230,"" "","""")),""📲 Avisar al clien"&amp;"te""),"""")"),"")</f>
        <v/>
      </c>
      <c r="L1230" s="5" t="str">
        <f>IFERROR(__xludf.DUMMYFUNCTION("IF(C1230&lt;&gt;"""",""https://api.qrserver.com/v1/create-qr-code/?size=200x200&amp;data=""&amp;ENCODEURL(""https://wa.me/507""&amp;REGEXREPLACE(C1230,""[^0-9]"","""")&amp;""?text=""&amp;ENCODEURL(""Ya llegue. Codigo: ""&amp;A1230&amp;"". Ubicacion: ""&amp;""https://www.google.com/maps/search"&amp;"/?api=1&amp;query=""&amp;SUBSTITUTE(F1230,"" "",""""))),"""")"),"")</f>
        <v/>
      </c>
      <c r="M1230" s="5" t="str">
        <f t="shared" si="6"/>
        <v/>
      </c>
      <c r="N1230" s="5" t="str">
        <f>IFERROR(__xludf.DUMMYFUNCTION("IF(AND(F1230&lt;&gt;"""",REGEXMATCH(SUBSTITUTE(F1230,"" "",""""),""^-?\d+(\.\d+)?,-?\d+(\.\d+)?$""),VALUE(REGEXEXTRACT(SUBSTITUTE(F1230,"" "",""""),""^-?\d+(\.\d+)?""))&gt;=-90,VALUE(REGEXEXTRACT(SUBSTITUTE(F1230,"" "",""""),""^-?\d+(\.\d+)?""))&lt;=90,VALUE(REGEXEXT"&amp;"RACT(SUBSTITUTE(F1230,"" "",""""),""-?\d+(\.\d+)?$""))&gt;=-180,VALUE(REGEXEXTRACT(SUBSTITUTE(F1230,"" "",""""),""-?\d+(\.\d+)?$""))&lt;=180),""OK"",""REVISAR"")"),"#N/A")</f>
        <v>#N/A</v>
      </c>
    </row>
    <row r="1231" ht="15.75" customHeight="1">
      <c r="A1231" s="5" t="str">
        <f t="shared" si="1"/>
        <v>AD507-1229</v>
      </c>
      <c r="C1231" s="5"/>
      <c r="F1231" s="5"/>
      <c r="G1231" s="5" t="str">
        <f t="shared" si="2"/>
        <v/>
      </c>
      <c r="H1231" s="5" t="str">
        <f t="shared" si="3"/>
        <v/>
      </c>
      <c r="I1231" s="5" t="str">
        <f t="shared" si="4"/>
        <v/>
      </c>
      <c r="J1231" s="5" t="str">
        <f t="shared" si="5"/>
        <v/>
      </c>
      <c r="K1231" s="5" t="str">
        <f>IFERROR(__xludf.DUMMYFUNCTION("IF(C1231&lt;&gt;"""",HYPERLINK(""https://wa.me/507""&amp;REGEXREPLACE(C1231,""[^0-9]"","""")&amp;""?text=""&amp;ENCODEURL(""Ya llegue. Codigo: ""&amp;A1231&amp;"". Ubicacion: ""&amp;""https://www.google.com/maps/search/?api=1&amp;query=""&amp;SUBSTITUTE(F1231,"" "","""")),""📲 Avisar al clien"&amp;"te""),"""")"),"")</f>
        <v/>
      </c>
      <c r="L1231" s="5" t="str">
        <f>IFERROR(__xludf.DUMMYFUNCTION("IF(C1231&lt;&gt;"""",""https://api.qrserver.com/v1/create-qr-code/?size=200x200&amp;data=""&amp;ENCODEURL(""https://wa.me/507""&amp;REGEXREPLACE(C1231,""[^0-9]"","""")&amp;""?text=""&amp;ENCODEURL(""Ya llegue. Codigo: ""&amp;A1231&amp;"". Ubicacion: ""&amp;""https://www.google.com/maps/search"&amp;"/?api=1&amp;query=""&amp;SUBSTITUTE(F1231,"" "",""""))),"""")"),"")</f>
        <v/>
      </c>
      <c r="M1231" s="5" t="str">
        <f t="shared" si="6"/>
        <v/>
      </c>
      <c r="N1231" s="5" t="str">
        <f>IFERROR(__xludf.DUMMYFUNCTION("IF(AND(F1231&lt;&gt;"""",REGEXMATCH(SUBSTITUTE(F1231,"" "",""""),""^-?\d+(\.\d+)?,-?\d+(\.\d+)?$""),VALUE(REGEXEXTRACT(SUBSTITUTE(F1231,"" "",""""),""^-?\d+(\.\d+)?""))&gt;=-90,VALUE(REGEXEXTRACT(SUBSTITUTE(F1231,"" "",""""),""^-?\d+(\.\d+)?""))&lt;=90,VALUE(REGEXEXT"&amp;"RACT(SUBSTITUTE(F1231,"" "",""""),""-?\d+(\.\d+)?$""))&gt;=-180,VALUE(REGEXEXTRACT(SUBSTITUTE(F1231,"" "",""""),""-?\d+(\.\d+)?$""))&lt;=180),""OK"",""REVISAR"")"),"#N/A")</f>
        <v>#N/A</v>
      </c>
    </row>
    <row r="1232" ht="15.75" customHeight="1">
      <c r="A1232" s="5" t="str">
        <f t="shared" si="1"/>
        <v>AD507-1230</v>
      </c>
      <c r="C1232" s="5"/>
      <c r="F1232" s="5"/>
      <c r="G1232" s="5" t="str">
        <f t="shared" si="2"/>
        <v/>
      </c>
      <c r="H1232" s="5" t="str">
        <f t="shared" si="3"/>
        <v/>
      </c>
      <c r="I1232" s="5" t="str">
        <f t="shared" si="4"/>
        <v/>
      </c>
      <c r="J1232" s="5" t="str">
        <f t="shared" si="5"/>
        <v/>
      </c>
      <c r="K1232" s="5" t="str">
        <f>IFERROR(__xludf.DUMMYFUNCTION("IF(C1232&lt;&gt;"""",HYPERLINK(""https://wa.me/507""&amp;REGEXREPLACE(C1232,""[^0-9]"","""")&amp;""?text=""&amp;ENCODEURL(""Ya llegue. Codigo: ""&amp;A1232&amp;"". Ubicacion: ""&amp;""https://www.google.com/maps/search/?api=1&amp;query=""&amp;SUBSTITUTE(F1232,"" "","""")),""📲 Avisar al clien"&amp;"te""),"""")"),"")</f>
        <v/>
      </c>
      <c r="L1232" s="5" t="str">
        <f>IFERROR(__xludf.DUMMYFUNCTION("IF(C1232&lt;&gt;"""",""https://api.qrserver.com/v1/create-qr-code/?size=200x200&amp;data=""&amp;ENCODEURL(""https://wa.me/507""&amp;REGEXREPLACE(C1232,""[^0-9]"","""")&amp;""?text=""&amp;ENCODEURL(""Ya llegue. Codigo: ""&amp;A1232&amp;"". Ubicacion: ""&amp;""https://www.google.com/maps/search"&amp;"/?api=1&amp;query=""&amp;SUBSTITUTE(F1232,"" "",""""))),"""")"),"")</f>
        <v/>
      </c>
      <c r="M1232" s="5" t="str">
        <f t="shared" si="6"/>
        <v/>
      </c>
      <c r="N1232" s="5" t="str">
        <f>IFERROR(__xludf.DUMMYFUNCTION("IF(AND(F1232&lt;&gt;"""",REGEXMATCH(SUBSTITUTE(F1232,"" "",""""),""^-?\d+(\.\d+)?,-?\d+(\.\d+)?$""),VALUE(REGEXEXTRACT(SUBSTITUTE(F1232,"" "",""""),""^-?\d+(\.\d+)?""))&gt;=-90,VALUE(REGEXEXTRACT(SUBSTITUTE(F1232,"" "",""""),""^-?\d+(\.\d+)?""))&lt;=90,VALUE(REGEXEXT"&amp;"RACT(SUBSTITUTE(F1232,"" "",""""),""-?\d+(\.\d+)?$""))&gt;=-180,VALUE(REGEXEXTRACT(SUBSTITUTE(F1232,"" "",""""),""-?\d+(\.\d+)?$""))&lt;=180),""OK"",""REVISAR"")"),"#N/A")</f>
        <v>#N/A</v>
      </c>
    </row>
    <row r="1233" ht="15.75" customHeight="1">
      <c r="A1233" s="5" t="str">
        <f t="shared" si="1"/>
        <v>AD507-1231</v>
      </c>
      <c r="C1233" s="5"/>
      <c r="F1233" s="5"/>
      <c r="G1233" s="5" t="str">
        <f t="shared" si="2"/>
        <v/>
      </c>
      <c r="H1233" s="5" t="str">
        <f t="shared" si="3"/>
        <v/>
      </c>
      <c r="I1233" s="5" t="str">
        <f t="shared" si="4"/>
        <v/>
      </c>
      <c r="J1233" s="5" t="str">
        <f t="shared" si="5"/>
        <v/>
      </c>
      <c r="K1233" s="5" t="str">
        <f>IFERROR(__xludf.DUMMYFUNCTION("IF(C1233&lt;&gt;"""",HYPERLINK(""https://wa.me/507""&amp;REGEXREPLACE(C1233,""[^0-9]"","""")&amp;""?text=""&amp;ENCODEURL(""Ya llegue. Codigo: ""&amp;A1233&amp;"". Ubicacion: ""&amp;""https://www.google.com/maps/search/?api=1&amp;query=""&amp;SUBSTITUTE(F1233,"" "","""")),""📲 Avisar al clien"&amp;"te""),"""")"),"")</f>
        <v/>
      </c>
      <c r="L1233" s="5" t="str">
        <f>IFERROR(__xludf.DUMMYFUNCTION("IF(C1233&lt;&gt;"""",""https://api.qrserver.com/v1/create-qr-code/?size=200x200&amp;data=""&amp;ENCODEURL(""https://wa.me/507""&amp;REGEXREPLACE(C1233,""[^0-9]"","""")&amp;""?text=""&amp;ENCODEURL(""Ya llegue. Codigo: ""&amp;A1233&amp;"". Ubicacion: ""&amp;""https://www.google.com/maps/search"&amp;"/?api=1&amp;query=""&amp;SUBSTITUTE(F1233,"" "",""""))),"""")"),"")</f>
        <v/>
      </c>
      <c r="M1233" s="5" t="str">
        <f t="shared" si="6"/>
        <v/>
      </c>
      <c r="N1233" s="5" t="str">
        <f>IFERROR(__xludf.DUMMYFUNCTION("IF(AND(F1233&lt;&gt;"""",REGEXMATCH(SUBSTITUTE(F1233,"" "",""""),""^-?\d+(\.\d+)?,-?\d+(\.\d+)?$""),VALUE(REGEXEXTRACT(SUBSTITUTE(F1233,"" "",""""),""^-?\d+(\.\d+)?""))&gt;=-90,VALUE(REGEXEXTRACT(SUBSTITUTE(F1233,"" "",""""),""^-?\d+(\.\d+)?""))&lt;=90,VALUE(REGEXEXT"&amp;"RACT(SUBSTITUTE(F1233,"" "",""""),""-?\d+(\.\d+)?$""))&gt;=-180,VALUE(REGEXEXTRACT(SUBSTITUTE(F1233,"" "",""""),""-?\d+(\.\d+)?$""))&lt;=180),""OK"",""REVISAR"")"),"#N/A")</f>
        <v>#N/A</v>
      </c>
    </row>
    <row r="1234" ht="15.75" customHeight="1">
      <c r="A1234" s="5" t="str">
        <f t="shared" si="1"/>
        <v>AD507-1232</v>
      </c>
      <c r="C1234" s="5"/>
      <c r="F1234" s="5"/>
      <c r="G1234" s="5" t="str">
        <f t="shared" si="2"/>
        <v/>
      </c>
      <c r="H1234" s="5" t="str">
        <f t="shared" si="3"/>
        <v/>
      </c>
      <c r="I1234" s="5" t="str">
        <f t="shared" si="4"/>
        <v/>
      </c>
      <c r="J1234" s="5" t="str">
        <f t="shared" si="5"/>
        <v/>
      </c>
      <c r="K1234" s="5" t="str">
        <f>IFERROR(__xludf.DUMMYFUNCTION("IF(C1234&lt;&gt;"""",HYPERLINK(""https://wa.me/507""&amp;REGEXREPLACE(C1234,""[^0-9]"","""")&amp;""?text=""&amp;ENCODEURL(""Ya llegue. Codigo: ""&amp;A1234&amp;"". Ubicacion: ""&amp;""https://www.google.com/maps/search/?api=1&amp;query=""&amp;SUBSTITUTE(F1234,"" "","""")),""📲 Avisar al clien"&amp;"te""),"""")"),"")</f>
        <v/>
      </c>
      <c r="L1234" s="5" t="str">
        <f>IFERROR(__xludf.DUMMYFUNCTION("IF(C1234&lt;&gt;"""",""https://api.qrserver.com/v1/create-qr-code/?size=200x200&amp;data=""&amp;ENCODEURL(""https://wa.me/507""&amp;REGEXREPLACE(C1234,""[^0-9]"","""")&amp;""?text=""&amp;ENCODEURL(""Ya llegue. Codigo: ""&amp;A1234&amp;"". Ubicacion: ""&amp;""https://www.google.com/maps/search"&amp;"/?api=1&amp;query=""&amp;SUBSTITUTE(F1234,"" "",""""))),"""")"),"")</f>
        <v/>
      </c>
      <c r="M1234" s="5" t="str">
        <f t="shared" si="6"/>
        <v/>
      </c>
      <c r="N1234" s="5" t="str">
        <f>IFERROR(__xludf.DUMMYFUNCTION("IF(AND(F1234&lt;&gt;"""",REGEXMATCH(SUBSTITUTE(F1234,"" "",""""),""^-?\d+(\.\d+)?,-?\d+(\.\d+)?$""),VALUE(REGEXEXTRACT(SUBSTITUTE(F1234,"" "",""""),""^-?\d+(\.\d+)?""))&gt;=-90,VALUE(REGEXEXTRACT(SUBSTITUTE(F1234,"" "",""""),""^-?\d+(\.\d+)?""))&lt;=90,VALUE(REGEXEXT"&amp;"RACT(SUBSTITUTE(F1234,"" "",""""),""-?\d+(\.\d+)?$""))&gt;=-180,VALUE(REGEXEXTRACT(SUBSTITUTE(F1234,"" "",""""),""-?\d+(\.\d+)?$""))&lt;=180),""OK"",""REVISAR"")"),"#N/A")</f>
        <v>#N/A</v>
      </c>
    </row>
    <row r="1235" ht="15.75" customHeight="1">
      <c r="A1235" s="5" t="str">
        <f t="shared" si="1"/>
        <v>AD507-1233</v>
      </c>
      <c r="C1235" s="5"/>
      <c r="F1235" s="5"/>
      <c r="G1235" s="5" t="str">
        <f t="shared" si="2"/>
        <v/>
      </c>
      <c r="H1235" s="5" t="str">
        <f t="shared" si="3"/>
        <v/>
      </c>
      <c r="I1235" s="5" t="str">
        <f t="shared" si="4"/>
        <v/>
      </c>
      <c r="J1235" s="5" t="str">
        <f t="shared" si="5"/>
        <v/>
      </c>
      <c r="K1235" s="5" t="str">
        <f>IFERROR(__xludf.DUMMYFUNCTION("IF(C1235&lt;&gt;"""",HYPERLINK(""https://wa.me/507""&amp;REGEXREPLACE(C1235,""[^0-9]"","""")&amp;""?text=""&amp;ENCODEURL(""Ya llegue. Codigo: ""&amp;A1235&amp;"". Ubicacion: ""&amp;""https://www.google.com/maps/search/?api=1&amp;query=""&amp;SUBSTITUTE(F1235,"" "","""")),""📲 Avisar al clien"&amp;"te""),"""")"),"")</f>
        <v/>
      </c>
      <c r="L1235" s="5" t="str">
        <f>IFERROR(__xludf.DUMMYFUNCTION("IF(C1235&lt;&gt;"""",""https://api.qrserver.com/v1/create-qr-code/?size=200x200&amp;data=""&amp;ENCODEURL(""https://wa.me/507""&amp;REGEXREPLACE(C1235,""[^0-9]"","""")&amp;""?text=""&amp;ENCODEURL(""Ya llegue. Codigo: ""&amp;A1235&amp;"". Ubicacion: ""&amp;""https://www.google.com/maps/search"&amp;"/?api=1&amp;query=""&amp;SUBSTITUTE(F1235,"" "",""""))),"""")"),"")</f>
        <v/>
      </c>
      <c r="M1235" s="5" t="str">
        <f t="shared" si="6"/>
        <v/>
      </c>
      <c r="N1235" s="5" t="str">
        <f>IFERROR(__xludf.DUMMYFUNCTION("IF(AND(F1235&lt;&gt;"""",REGEXMATCH(SUBSTITUTE(F1235,"" "",""""),""^-?\d+(\.\d+)?,-?\d+(\.\d+)?$""),VALUE(REGEXEXTRACT(SUBSTITUTE(F1235,"" "",""""),""^-?\d+(\.\d+)?""))&gt;=-90,VALUE(REGEXEXTRACT(SUBSTITUTE(F1235,"" "",""""),""^-?\d+(\.\d+)?""))&lt;=90,VALUE(REGEXEXT"&amp;"RACT(SUBSTITUTE(F1235,"" "",""""),""-?\d+(\.\d+)?$""))&gt;=-180,VALUE(REGEXEXTRACT(SUBSTITUTE(F1235,"" "",""""),""-?\d+(\.\d+)?$""))&lt;=180),""OK"",""REVISAR"")"),"#N/A")</f>
        <v>#N/A</v>
      </c>
    </row>
    <row r="1236" ht="15.75" customHeight="1">
      <c r="A1236" s="5" t="str">
        <f t="shared" si="1"/>
        <v>AD507-1234</v>
      </c>
      <c r="C1236" s="5"/>
      <c r="F1236" s="5"/>
      <c r="G1236" s="5" t="str">
        <f t="shared" si="2"/>
        <v/>
      </c>
      <c r="H1236" s="5" t="str">
        <f t="shared" si="3"/>
        <v/>
      </c>
      <c r="I1236" s="5" t="str">
        <f t="shared" si="4"/>
        <v/>
      </c>
      <c r="J1236" s="5" t="str">
        <f t="shared" si="5"/>
        <v/>
      </c>
      <c r="K1236" s="5" t="str">
        <f>IFERROR(__xludf.DUMMYFUNCTION("IF(C1236&lt;&gt;"""",HYPERLINK(""https://wa.me/507""&amp;REGEXREPLACE(C1236,""[^0-9]"","""")&amp;""?text=""&amp;ENCODEURL(""Ya llegue. Codigo: ""&amp;A1236&amp;"". Ubicacion: ""&amp;""https://www.google.com/maps/search/?api=1&amp;query=""&amp;SUBSTITUTE(F1236,"" "","""")),""📲 Avisar al clien"&amp;"te""),"""")"),"")</f>
        <v/>
      </c>
      <c r="L1236" s="5" t="str">
        <f>IFERROR(__xludf.DUMMYFUNCTION("IF(C1236&lt;&gt;"""",""https://api.qrserver.com/v1/create-qr-code/?size=200x200&amp;data=""&amp;ENCODEURL(""https://wa.me/507""&amp;REGEXREPLACE(C1236,""[^0-9]"","""")&amp;""?text=""&amp;ENCODEURL(""Ya llegue. Codigo: ""&amp;A1236&amp;"". Ubicacion: ""&amp;""https://www.google.com/maps/search"&amp;"/?api=1&amp;query=""&amp;SUBSTITUTE(F1236,"" "",""""))),"""")"),"")</f>
        <v/>
      </c>
      <c r="M1236" s="5" t="str">
        <f t="shared" si="6"/>
        <v/>
      </c>
      <c r="N1236" s="5" t="str">
        <f>IFERROR(__xludf.DUMMYFUNCTION("IF(AND(F1236&lt;&gt;"""",REGEXMATCH(SUBSTITUTE(F1236,"" "",""""),""^-?\d+(\.\d+)?,-?\d+(\.\d+)?$""),VALUE(REGEXEXTRACT(SUBSTITUTE(F1236,"" "",""""),""^-?\d+(\.\d+)?""))&gt;=-90,VALUE(REGEXEXTRACT(SUBSTITUTE(F1236,"" "",""""),""^-?\d+(\.\d+)?""))&lt;=90,VALUE(REGEXEXT"&amp;"RACT(SUBSTITUTE(F1236,"" "",""""),""-?\d+(\.\d+)?$""))&gt;=-180,VALUE(REGEXEXTRACT(SUBSTITUTE(F1236,"" "",""""),""-?\d+(\.\d+)?$""))&lt;=180),""OK"",""REVISAR"")"),"#N/A")</f>
        <v>#N/A</v>
      </c>
    </row>
    <row r="1237" ht="15.75" customHeight="1">
      <c r="A1237" s="5" t="str">
        <f t="shared" si="1"/>
        <v>AD507-1235</v>
      </c>
      <c r="C1237" s="5"/>
      <c r="F1237" s="5"/>
      <c r="G1237" s="5" t="str">
        <f t="shared" si="2"/>
        <v/>
      </c>
      <c r="H1237" s="5" t="str">
        <f t="shared" si="3"/>
        <v/>
      </c>
      <c r="I1237" s="5" t="str">
        <f t="shared" si="4"/>
        <v/>
      </c>
      <c r="J1237" s="5" t="str">
        <f t="shared" si="5"/>
        <v/>
      </c>
      <c r="K1237" s="5" t="str">
        <f>IFERROR(__xludf.DUMMYFUNCTION("IF(C1237&lt;&gt;"""",HYPERLINK(""https://wa.me/507""&amp;REGEXREPLACE(C1237,""[^0-9]"","""")&amp;""?text=""&amp;ENCODEURL(""Ya llegue. Codigo: ""&amp;A1237&amp;"". Ubicacion: ""&amp;""https://www.google.com/maps/search/?api=1&amp;query=""&amp;SUBSTITUTE(F1237,"" "","""")),""📲 Avisar al clien"&amp;"te""),"""")"),"")</f>
        <v/>
      </c>
      <c r="L1237" s="5" t="str">
        <f>IFERROR(__xludf.DUMMYFUNCTION("IF(C1237&lt;&gt;"""",""https://api.qrserver.com/v1/create-qr-code/?size=200x200&amp;data=""&amp;ENCODEURL(""https://wa.me/507""&amp;REGEXREPLACE(C1237,""[^0-9]"","""")&amp;""?text=""&amp;ENCODEURL(""Ya llegue. Codigo: ""&amp;A1237&amp;"". Ubicacion: ""&amp;""https://www.google.com/maps/search"&amp;"/?api=1&amp;query=""&amp;SUBSTITUTE(F1237,"" "",""""))),"""")"),"")</f>
        <v/>
      </c>
      <c r="M1237" s="5" t="str">
        <f t="shared" si="6"/>
        <v/>
      </c>
      <c r="N1237" s="5" t="str">
        <f>IFERROR(__xludf.DUMMYFUNCTION("IF(AND(F1237&lt;&gt;"""",REGEXMATCH(SUBSTITUTE(F1237,"" "",""""),""^-?\d+(\.\d+)?,-?\d+(\.\d+)?$""),VALUE(REGEXEXTRACT(SUBSTITUTE(F1237,"" "",""""),""^-?\d+(\.\d+)?""))&gt;=-90,VALUE(REGEXEXTRACT(SUBSTITUTE(F1237,"" "",""""),""^-?\d+(\.\d+)?""))&lt;=90,VALUE(REGEXEXT"&amp;"RACT(SUBSTITUTE(F1237,"" "",""""),""-?\d+(\.\d+)?$""))&gt;=-180,VALUE(REGEXEXTRACT(SUBSTITUTE(F1237,"" "",""""),""-?\d+(\.\d+)?$""))&lt;=180),""OK"",""REVISAR"")"),"#N/A")</f>
        <v>#N/A</v>
      </c>
    </row>
    <row r="1238" ht="15.75" customHeight="1">
      <c r="A1238" s="5" t="str">
        <f t="shared" si="1"/>
        <v>AD507-1236</v>
      </c>
      <c r="C1238" s="5"/>
      <c r="F1238" s="5"/>
      <c r="G1238" s="5" t="str">
        <f t="shared" si="2"/>
        <v/>
      </c>
      <c r="H1238" s="5" t="str">
        <f t="shared" si="3"/>
        <v/>
      </c>
      <c r="I1238" s="5" t="str">
        <f t="shared" si="4"/>
        <v/>
      </c>
      <c r="J1238" s="5" t="str">
        <f t="shared" si="5"/>
        <v/>
      </c>
      <c r="K1238" s="5" t="str">
        <f>IFERROR(__xludf.DUMMYFUNCTION("IF(C1238&lt;&gt;"""",HYPERLINK(""https://wa.me/507""&amp;REGEXREPLACE(C1238,""[^0-9]"","""")&amp;""?text=""&amp;ENCODEURL(""Ya llegue. Codigo: ""&amp;A1238&amp;"". Ubicacion: ""&amp;""https://www.google.com/maps/search/?api=1&amp;query=""&amp;SUBSTITUTE(F1238,"" "","""")),""📲 Avisar al clien"&amp;"te""),"""")"),"")</f>
        <v/>
      </c>
      <c r="L1238" s="5" t="str">
        <f>IFERROR(__xludf.DUMMYFUNCTION("IF(C1238&lt;&gt;"""",""https://api.qrserver.com/v1/create-qr-code/?size=200x200&amp;data=""&amp;ENCODEURL(""https://wa.me/507""&amp;REGEXREPLACE(C1238,""[^0-9]"","""")&amp;""?text=""&amp;ENCODEURL(""Ya llegue. Codigo: ""&amp;A1238&amp;"". Ubicacion: ""&amp;""https://www.google.com/maps/search"&amp;"/?api=1&amp;query=""&amp;SUBSTITUTE(F1238,"" "",""""))),"""")"),"")</f>
        <v/>
      </c>
      <c r="M1238" s="5" t="str">
        <f t="shared" si="6"/>
        <v/>
      </c>
      <c r="N1238" s="5" t="str">
        <f>IFERROR(__xludf.DUMMYFUNCTION("IF(AND(F1238&lt;&gt;"""",REGEXMATCH(SUBSTITUTE(F1238,"" "",""""),""^-?\d+(\.\d+)?,-?\d+(\.\d+)?$""),VALUE(REGEXEXTRACT(SUBSTITUTE(F1238,"" "",""""),""^-?\d+(\.\d+)?""))&gt;=-90,VALUE(REGEXEXTRACT(SUBSTITUTE(F1238,"" "",""""),""^-?\d+(\.\d+)?""))&lt;=90,VALUE(REGEXEXT"&amp;"RACT(SUBSTITUTE(F1238,"" "",""""),""-?\d+(\.\d+)?$""))&gt;=-180,VALUE(REGEXEXTRACT(SUBSTITUTE(F1238,"" "",""""),""-?\d+(\.\d+)?$""))&lt;=180),""OK"",""REVISAR"")"),"#N/A")</f>
        <v>#N/A</v>
      </c>
    </row>
    <row r="1239" ht="15.75" customHeight="1">
      <c r="A1239" s="5" t="str">
        <f t="shared" si="1"/>
        <v>AD507-1237</v>
      </c>
      <c r="C1239" s="5"/>
      <c r="F1239" s="5"/>
      <c r="G1239" s="5" t="str">
        <f t="shared" si="2"/>
        <v/>
      </c>
      <c r="H1239" s="5" t="str">
        <f t="shared" si="3"/>
        <v/>
      </c>
      <c r="I1239" s="5" t="str">
        <f t="shared" si="4"/>
        <v/>
      </c>
      <c r="J1239" s="5" t="str">
        <f t="shared" si="5"/>
        <v/>
      </c>
      <c r="K1239" s="5" t="str">
        <f>IFERROR(__xludf.DUMMYFUNCTION("IF(C1239&lt;&gt;"""",HYPERLINK(""https://wa.me/507""&amp;REGEXREPLACE(C1239,""[^0-9]"","""")&amp;""?text=""&amp;ENCODEURL(""Ya llegue. Codigo: ""&amp;A1239&amp;"". Ubicacion: ""&amp;""https://www.google.com/maps/search/?api=1&amp;query=""&amp;SUBSTITUTE(F1239,"" "","""")),""📲 Avisar al clien"&amp;"te""),"""")"),"")</f>
        <v/>
      </c>
      <c r="L1239" s="5" t="str">
        <f>IFERROR(__xludf.DUMMYFUNCTION("IF(C1239&lt;&gt;"""",""https://api.qrserver.com/v1/create-qr-code/?size=200x200&amp;data=""&amp;ENCODEURL(""https://wa.me/507""&amp;REGEXREPLACE(C1239,""[^0-9]"","""")&amp;""?text=""&amp;ENCODEURL(""Ya llegue. Codigo: ""&amp;A1239&amp;"". Ubicacion: ""&amp;""https://www.google.com/maps/search"&amp;"/?api=1&amp;query=""&amp;SUBSTITUTE(F1239,"" "",""""))),"""")"),"")</f>
        <v/>
      </c>
      <c r="M1239" s="5" t="str">
        <f t="shared" si="6"/>
        <v/>
      </c>
      <c r="N1239" s="5" t="str">
        <f>IFERROR(__xludf.DUMMYFUNCTION("IF(AND(F1239&lt;&gt;"""",REGEXMATCH(SUBSTITUTE(F1239,"" "",""""),""^-?\d+(\.\d+)?,-?\d+(\.\d+)?$""),VALUE(REGEXEXTRACT(SUBSTITUTE(F1239,"" "",""""),""^-?\d+(\.\d+)?""))&gt;=-90,VALUE(REGEXEXTRACT(SUBSTITUTE(F1239,"" "",""""),""^-?\d+(\.\d+)?""))&lt;=90,VALUE(REGEXEXT"&amp;"RACT(SUBSTITUTE(F1239,"" "",""""),""-?\d+(\.\d+)?$""))&gt;=-180,VALUE(REGEXEXTRACT(SUBSTITUTE(F1239,"" "",""""),""-?\d+(\.\d+)?$""))&lt;=180),""OK"",""REVISAR"")"),"#N/A")</f>
        <v>#N/A</v>
      </c>
    </row>
    <row r="1240" ht="15.75" customHeight="1">
      <c r="A1240" s="5" t="str">
        <f t="shared" si="1"/>
        <v>AD507-1238</v>
      </c>
      <c r="C1240" s="5"/>
      <c r="F1240" s="5"/>
      <c r="G1240" s="5" t="str">
        <f t="shared" si="2"/>
        <v/>
      </c>
      <c r="H1240" s="5" t="str">
        <f t="shared" si="3"/>
        <v/>
      </c>
      <c r="I1240" s="5" t="str">
        <f t="shared" si="4"/>
        <v/>
      </c>
      <c r="J1240" s="5" t="str">
        <f t="shared" si="5"/>
        <v/>
      </c>
      <c r="K1240" s="5" t="str">
        <f>IFERROR(__xludf.DUMMYFUNCTION("IF(C1240&lt;&gt;"""",HYPERLINK(""https://wa.me/507""&amp;REGEXREPLACE(C1240,""[^0-9]"","""")&amp;""?text=""&amp;ENCODEURL(""Ya llegue. Codigo: ""&amp;A1240&amp;"". Ubicacion: ""&amp;""https://www.google.com/maps/search/?api=1&amp;query=""&amp;SUBSTITUTE(F1240,"" "","""")),""📲 Avisar al clien"&amp;"te""),"""")"),"")</f>
        <v/>
      </c>
      <c r="L1240" s="5" t="str">
        <f>IFERROR(__xludf.DUMMYFUNCTION("IF(C1240&lt;&gt;"""",""https://api.qrserver.com/v1/create-qr-code/?size=200x200&amp;data=""&amp;ENCODEURL(""https://wa.me/507""&amp;REGEXREPLACE(C1240,""[^0-9]"","""")&amp;""?text=""&amp;ENCODEURL(""Ya llegue. Codigo: ""&amp;A1240&amp;"". Ubicacion: ""&amp;""https://www.google.com/maps/search"&amp;"/?api=1&amp;query=""&amp;SUBSTITUTE(F1240,"" "",""""))),"""")"),"")</f>
        <v/>
      </c>
      <c r="M1240" s="5" t="str">
        <f t="shared" si="6"/>
        <v/>
      </c>
      <c r="N1240" s="5" t="str">
        <f>IFERROR(__xludf.DUMMYFUNCTION("IF(AND(F1240&lt;&gt;"""",REGEXMATCH(SUBSTITUTE(F1240,"" "",""""),""^-?\d+(\.\d+)?,-?\d+(\.\d+)?$""),VALUE(REGEXEXTRACT(SUBSTITUTE(F1240,"" "",""""),""^-?\d+(\.\d+)?""))&gt;=-90,VALUE(REGEXEXTRACT(SUBSTITUTE(F1240,"" "",""""),""^-?\d+(\.\d+)?""))&lt;=90,VALUE(REGEXEXT"&amp;"RACT(SUBSTITUTE(F1240,"" "",""""),""-?\d+(\.\d+)?$""))&gt;=-180,VALUE(REGEXEXTRACT(SUBSTITUTE(F1240,"" "",""""),""-?\d+(\.\d+)?$""))&lt;=180),""OK"",""REVISAR"")"),"#N/A")</f>
        <v>#N/A</v>
      </c>
    </row>
    <row r="1241" ht="15.75" customHeight="1">
      <c r="A1241" s="5" t="str">
        <f t="shared" si="1"/>
        <v>AD507-1239</v>
      </c>
      <c r="C1241" s="5"/>
      <c r="F1241" s="5"/>
      <c r="G1241" s="5" t="str">
        <f t="shared" si="2"/>
        <v/>
      </c>
      <c r="H1241" s="5" t="str">
        <f t="shared" si="3"/>
        <v/>
      </c>
      <c r="I1241" s="5" t="str">
        <f t="shared" si="4"/>
        <v/>
      </c>
      <c r="J1241" s="5" t="str">
        <f t="shared" si="5"/>
        <v/>
      </c>
      <c r="K1241" s="5" t="str">
        <f>IFERROR(__xludf.DUMMYFUNCTION("IF(C1241&lt;&gt;"""",HYPERLINK(""https://wa.me/507""&amp;REGEXREPLACE(C1241,""[^0-9]"","""")&amp;""?text=""&amp;ENCODEURL(""Ya llegue. Codigo: ""&amp;A1241&amp;"". Ubicacion: ""&amp;""https://www.google.com/maps/search/?api=1&amp;query=""&amp;SUBSTITUTE(F1241,"" "","""")),""📲 Avisar al clien"&amp;"te""),"""")"),"")</f>
        <v/>
      </c>
      <c r="L1241" s="5" t="str">
        <f>IFERROR(__xludf.DUMMYFUNCTION("IF(C1241&lt;&gt;"""",""https://api.qrserver.com/v1/create-qr-code/?size=200x200&amp;data=""&amp;ENCODEURL(""https://wa.me/507""&amp;REGEXREPLACE(C1241,""[^0-9]"","""")&amp;""?text=""&amp;ENCODEURL(""Ya llegue. Codigo: ""&amp;A1241&amp;"". Ubicacion: ""&amp;""https://www.google.com/maps/search"&amp;"/?api=1&amp;query=""&amp;SUBSTITUTE(F1241,"" "",""""))),"""")"),"")</f>
        <v/>
      </c>
      <c r="M1241" s="5" t="str">
        <f t="shared" si="6"/>
        <v/>
      </c>
      <c r="N1241" s="5" t="str">
        <f>IFERROR(__xludf.DUMMYFUNCTION("IF(AND(F1241&lt;&gt;"""",REGEXMATCH(SUBSTITUTE(F1241,"" "",""""),""^-?\d+(\.\d+)?,-?\d+(\.\d+)?$""),VALUE(REGEXEXTRACT(SUBSTITUTE(F1241,"" "",""""),""^-?\d+(\.\d+)?""))&gt;=-90,VALUE(REGEXEXTRACT(SUBSTITUTE(F1241,"" "",""""),""^-?\d+(\.\d+)?""))&lt;=90,VALUE(REGEXEXT"&amp;"RACT(SUBSTITUTE(F1241,"" "",""""),""-?\d+(\.\d+)?$""))&gt;=-180,VALUE(REGEXEXTRACT(SUBSTITUTE(F1241,"" "",""""),""-?\d+(\.\d+)?$""))&lt;=180),""OK"",""REVISAR"")"),"#N/A")</f>
        <v>#N/A</v>
      </c>
    </row>
    <row r="1242" ht="15.75" customHeight="1">
      <c r="A1242" s="5" t="str">
        <f t="shared" si="1"/>
        <v>AD507-1240</v>
      </c>
      <c r="C1242" s="5"/>
      <c r="F1242" s="5"/>
      <c r="G1242" s="5" t="str">
        <f t="shared" si="2"/>
        <v/>
      </c>
      <c r="H1242" s="5" t="str">
        <f t="shared" si="3"/>
        <v/>
      </c>
      <c r="I1242" s="5" t="str">
        <f t="shared" si="4"/>
        <v/>
      </c>
      <c r="J1242" s="5" t="str">
        <f t="shared" si="5"/>
        <v/>
      </c>
      <c r="K1242" s="5" t="str">
        <f>IFERROR(__xludf.DUMMYFUNCTION("IF(C1242&lt;&gt;"""",HYPERLINK(""https://wa.me/507""&amp;REGEXREPLACE(C1242,""[^0-9]"","""")&amp;""?text=""&amp;ENCODEURL(""Ya llegue. Codigo: ""&amp;A1242&amp;"". Ubicacion: ""&amp;""https://www.google.com/maps/search/?api=1&amp;query=""&amp;SUBSTITUTE(F1242,"" "","""")),""📲 Avisar al clien"&amp;"te""),"""")"),"")</f>
        <v/>
      </c>
      <c r="L1242" s="5" t="str">
        <f>IFERROR(__xludf.DUMMYFUNCTION("IF(C1242&lt;&gt;"""",""https://api.qrserver.com/v1/create-qr-code/?size=200x200&amp;data=""&amp;ENCODEURL(""https://wa.me/507""&amp;REGEXREPLACE(C1242,""[^0-9]"","""")&amp;""?text=""&amp;ENCODEURL(""Ya llegue. Codigo: ""&amp;A1242&amp;"". Ubicacion: ""&amp;""https://www.google.com/maps/search"&amp;"/?api=1&amp;query=""&amp;SUBSTITUTE(F1242,"" "",""""))),"""")"),"")</f>
        <v/>
      </c>
      <c r="M1242" s="5" t="str">
        <f t="shared" si="6"/>
        <v/>
      </c>
      <c r="N1242" s="5" t="str">
        <f>IFERROR(__xludf.DUMMYFUNCTION("IF(AND(F1242&lt;&gt;"""",REGEXMATCH(SUBSTITUTE(F1242,"" "",""""),""^-?\d+(\.\d+)?,-?\d+(\.\d+)?$""),VALUE(REGEXEXTRACT(SUBSTITUTE(F1242,"" "",""""),""^-?\d+(\.\d+)?""))&gt;=-90,VALUE(REGEXEXTRACT(SUBSTITUTE(F1242,"" "",""""),""^-?\d+(\.\d+)?""))&lt;=90,VALUE(REGEXEXT"&amp;"RACT(SUBSTITUTE(F1242,"" "",""""),""-?\d+(\.\d+)?$""))&gt;=-180,VALUE(REGEXEXTRACT(SUBSTITUTE(F1242,"" "",""""),""-?\d+(\.\d+)?$""))&lt;=180),""OK"",""REVISAR"")"),"#N/A")</f>
        <v>#N/A</v>
      </c>
    </row>
    <row r="1243" ht="15.75" customHeight="1">
      <c r="A1243" s="5" t="str">
        <f t="shared" si="1"/>
        <v>AD507-1241</v>
      </c>
      <c r="C1243" s="5"/>
      <c r="F1243" s="5"/>
      <c r="G1243" s="5" t="str">
        <f t="shared" si="2"/>
        <v/>
      </c>
      <c r="H1243" s="5" t="str">
        <f t="shared" si="3"/>
        <v/>
      </c>
      <c r="I1243" s="5" t="str">
        <f t="shared" si="4"/>
        <v/>
      </c>
      <c r="J1243" s="5" t="str">
        <f t="shared" si="5"/>
        <v/>
      </c>
      <c r="K1243" s="5" t="str">
        <f>IFERROR(__xludf.DUMMYFUNCTION("IF(C1243&lt;&gt;"""",HYPERLINK(""https://wa.me/507""&amp;REGEXREPLACE(C1243,""[^0-9]"","""")&amp;""?text=""&amp;ENCODEURL(""Ya llegue. Codigo: ""&amp;A1243&amp;"". Ubicacion: ""&amp;""https://www.google.com/maps/search/?api=1&amp;query=""&amp;SUBSTITUTE(F1243,"" "","""")),""📲 Avisar al clien"&amp;"te""),"""")"),"")</f>
        <v/>
      </c>
      <c r="L1243" s="5" t="str">
        <f>IFERROR(__xludf.DUMMYFUNCTION("IF(C1243&lt;&gt;"""",""https://api.qrserver.com/v1/create-qr-code/?size=200x200&amp;data=""&amp;ENCODEURL(""https://wa.me/507""&amp;REGEXREPLACE(C1243,""[^0-9]"","""")&amp;""?text=""&amp;ENCODEURL(""Ya llegue. Codigo: ""&amp;A1243&amp;"". Ubicacion: ""&amp;""https://www.google.com/maps/search"&amp;"/?api=1&amp;query=""&amp;SUBSTITUTE(F1243,"" "",""""))),"""")"),"")</f>
        <v/>
      </c>
      <c r="M1243" s="5" t="str">
        <f t="shared" si="6"/>
        <v/>
      </c>
      <c r="N1243" s="5" t="str">
        <f>IFERROR(__xludf.DUMMYFUNCTION("IF(AND(F1243&lt;&gt;"""",REGEXMATCH(SUBSTITUTE(F1243,"" "",""""),""^-?\d+(\.\d+)?,-?\d+(\.\d+)?$""),VALUE(REGEXEXTRACT(SUBSTITUTE(F1243,"" "",""""),""^-?\d+(\.\d+)?""))&gt;=-90,VALUE(REGEXEXTRACT(SUBSTITUTE(F1243,"" "",""""),""^-?\d+(\.\d+)?""))&lt;=90,VALUE(REGEXEXT"&amp;"RACT(SUBSTITUTE(F1243,"" "",""""),""-?\d+(\.\d+)?$""))&gt;=-180,VALUE(REGEXEXTRACT(SUBSTITUTE(F1243,"" "",""""),""-?\d+(\.\d+)?$""))&lt;=180),""OK"",""REVISAR"")"),"#N/A")</f>
        <v>#N/A</v>
      </c>
    </row>
    <row r="1244" ht="15.75" customHeight="1">
      <c r="A1244" s="5" t="str">
        <f t="shared" si="1"/>
        <v>AD507-1242</v>
      </c>
      <c r="C1244" s="5"/>
      <c r="F1244" s="5"/>
      <c r="G1244" s="5" t="str">
        <f t="shared" si="2"/>
        <v/>
      </c>
      <c r="H1244" s="5" t="str">
        <f t="shared" si="3"/>
        <v/>
      </c>
      <c r="I1244" s="5" t="str">
        <f t="shared" si="4"/>
        <v/>
      </c>
      <c r="J1244" s="5" t="str">
        <f t="shared" si="5"/>
        <v/>
      </c>
      <c r="K1244" s="5" t="str">
        <f>IFERROR(__xludf.DUMMYFUNCTION("IF(C1244&lt;&gt;"""",HYPERLINK(""https://wa.me/507""&amp;REGEXREPLACE(C1244,""[^0-9]"","""")&amp;""?text=""&amp;ENCODEURL(""Ya llegue. Codigo: ""&amp;A1244&amp;"". Ubicacion: ""&amp;""https://www.google.com/maps/search/?api=1&amp;query=""&amp;SUBSTITUTE(F1244,"" "","""")),""📲 Avisar al clien"&amp;"te""),"""")"),"")</f>
        <v/>
      </c>
      <c r="L1244" s="5" t="str">
        <f>IFERROR(__xludf.DUMMYFUNCTION("IF(C1244&lt;&gt;"""",""https://api.qrserver.com/v1/create-qr-code/?size=200x200&amp;data=""&amp;ENCODEURL(""https://wa.me/507""&amp;REGEXREPLACE(C1244,""[^0-9]"","""")&amp;""?text=""&amp;ENCODEURL(""Ya llegue. Codigo: ""&amp;A1244&amp;"". Ubicacion: ""&amp;""https://www.google.com/maps/search"&amp;"/?api=1&amp;query=""&amp;SUBSTITUTE(F1244,"" "",""""))),"""")"),"")</f>
        <v/>
      </c>
      <c r="M1244" s="5" t="str">
        <f t="shared" si="6"/>
        <v/>
      </c>
      <c r="N1244" s="5" t="str">
        <f>IFERROR(__xludf.DUMMYFUNCTION("IF(AND(F1244&lt;&gt;"""",REGEXMATCH(SUBSTITUTE(F1244,"" "",""""),""^-?\d+(\.\d+)?,-?\d+(\.\d+)?$""),VALUE(REGEXEXTRACT(SUBSTITUTE(F1244,"" "",""""),""^-?\d+(\.\d+)?""))&gt;=-90,VALUE(REGEXEXTRACT(SUBSTITUTE(F1244,"" "",""""),""^-?\d+(\.\d+)?""))&lt;=90,VALUE(REGEXEXT"&amp;"RACT(SUBSTITUTE(F1244,"" "",""""),""-?\d+(\.\d+)?$""))&gt;=-180,VALUE(REGEXEXTRACT(SUBSTITUTE(F1244,"" "",""""),""-?\d+(\.\d+)?$""))&lt;=180),""OK"",""REVISAR"")"),"#N/A")</f>
        <v>#N/A</v>
      </c>
    </row>
    <row r="1245" ht="15.75" customHeight="1">
      <c r="A1245" s="5" t="str">
        <f t="shared" si="1"/>
        <v>AD507-1243</v>
      </c>
      <c r="C1245" s="5"/>
      <c r="F1245" s="5"/>
      <c r="G1245" s="5" t="str">
        <f t="shared" si="2"/>
        <v/>
      </c>
      <c r="H1245" s="5" t="str">
        <f t="shared" si="3"/>
        <v/>
      </c>
      <c r="I1245" s="5" t="str">
        <f t="shared" si="4"/>
        <v/>
      </c>
      <c r="J1245" s="5" t="str">
        <f t="shared" si="5"/>
        <v/>
      </c>
      <c r="K1245" s="5" t="str">
        <f>IFERROR(__xludf.DUMMYFUNCTION("IF(C1245&lt;&gt;"""",HYPERLINK(""https://wa.me/507""&amp;REGEXREPLACE(C1245,""[^0-9]"","""")&amp;""?text=""&amp;ENCODEURL(""Ya llegue. Codigo: ""&amp;A1245&amp;"". Ubicacion: ""&amp;""https://www.google.com/maps/search/?api=1&amp;query=""&amp;SUBSTITUTE(F1245,"" "","""")),""📲 Avisar al clien"&amp;"te""),"""")"),"")</f>
        <v/>
      </c>
      <c r="L1245" s="5" t="str">
        <f>IFERROR(__xludf.DUMMYFUNCTION("IF(C1245&lt;&gt;"""",""https://api.qrserver.com/v1/create-qr-code/?size=200x200&amp;data=""&amp;ENCODEURL(""https://wa.me/507""&amp;REGEXREPLACE(C1245,""[^0-9]"","""")&amp;""?text=""&amp;ENCODEURL(""Ya llegue. Codigo: ""&amp;A1245&amp;"". Ubicacion: ""&amp;""https://www.google.com/maps/search"&amp;"/?api=1&amp;query=""&amp;SUBSTITUTE(F1245,"" "",""""))),"""")"),"")</f>
        <v/>
      </c>
      <c r="M1245" s="5" t="str">
        <f t="shared" si="6"/>
        <v/>
      </c>
      <c r="N1245" s="5" t="str">
        <f>IFERROR(__xludf.DUMMYFUNCTION("IF(AND(F1245&lt;&gt;"""",REGEXMATCH(SUBSTITUTE(F1245,"" "",""""),""^-?\d+(\.\d+)?,-?\d+(\.\d+)?$""),VALUE(REGEXEXTRACT(SUBSTITUTE(F1245,"" "",""""),""^-?\d+(\.\d+)?""))&gt;=-90,VALUE(REGEXEXTRACT(SUBSTITUTE(F1245,"" "",""""),""^-?\d+(\.\d+)?""))&lt;=90,VALUE(REGEXEXT"&amp;"RACT(SUBSTITUTE(F1245,"" "",""""),""-?\d+(\.\d+)?$""))&gt;=-180,VALUE(REGEXEXTRACT(SUBSTITUTE(F1245,"" "",""""),""-?\d+(\.\d+)?$""))&lt;=180),""OK"",""REVISAR"")"),"#N/A")</f>
        <v>#N/A</v>
      </c>
    </row>
    <row r="1246" ht="15.75" customHeight="1">
      <c r="A1246" s="5" t="str">
        <f t="shared" si="1"/>
        <v>AD507-1244</v>
      </c>
      <c r="C1246" s="5"/>
      <c r="F1246" s="5"/>
      <c r="G1246" s="5" t="str">
        <f t="shared" si="2"/>
        <v/>
      </c>
      <c r="H1246" s="5" t="str">
        <f t="shared" si="3"/>
        <v/>
      </c>
      <c r="I1246" s="5" t="str">
        <f t="shared" si="4"/>
        <v/>
      </c>
      <c r="J1246" s="5" t="str">
        <f t="shared" si="5"/>
        <v/>
      </c>
      <c r="K1246" s="5" t="str">
        <f>IFERROR(__xludf.DUMMYFUNCTION("IF(C1246&lt;&gt;"""",HYPERLINK(""https://wa.me/507""&amp;REGEXREPLACE(C1246,""[^0-9]"","""")&amp;""?text=""&amp;ENCODEURL(""Ya llegue. Codigo: ""&amp;A1246&amp;"". Ubicacion: ""&amp;""https://www.google.com/maps/search/?api=1&amp;query=""&amp;SUBSTITUTE(F1246,"" "","""")),""📲 Avisar al clien"&amp;"te""),"""")"),"")</f>
        <v/>
      </c>
      <c r="L1246" s="5" t="str">
        <f>IFERROR(__xludf.DUMMYFUNCTION("IF(C1246&lt;&gt;"""",""https://api.qrserver.com/v1/create-qr-code/?size=200x200&amp;data=""&amp;ENCODEURL(""https://wa.me/507""&amp;REGEXREPLACE(C1246,""[^0-9]"","""")&amp;""?text=""&amp;ENCODEURL(""Ya llegue. Codigo: ""&amp;A1246&amp;"". Ubicacion: ""&amp;""https://www.google.com/maps/search"&amp;"/?api=1&amp;query=""&amp;SUBSTITUTE(F1246,"" "",""""))),"""")"),"")</f>
        <v/>
      </c>
      <c r="M1246" s="5" t="str">
        <f t="shared" si="6"/>
        <v/>
      </c>
      <c r="N1246" s="5" t="str">
        <f>IFERROR(__xludf.DUMMYFUNCTION("IF(AND(F1246&lt;&gt;"""",REGEXMATCH(SUBSTITUTE(F1246,"" "",""""),""^-?\d+(\.\d+)?,-?\d+(\.\d+)?$""),VALUE(REGEXEXTRACT(SUBSTITUTE(F1246,"" "",""""),""^-?\d+(\.\d+)?""))&gt;=-90,VALUE(REGEXEXTRACT(SUBSTITUTE(F1246,"" "",""""),""^-?\d+(\.\d+)?""))&lt;=90,VALUE(REGEXEXT"&amp;"RACT(SUBSTITUTE(F1246,"" "",""""),""-?\d+(\.\d+)?$""))&gt;=-180,VALUE(REGEXEXTRACT(SUBSTITUTE(F1246,"" "",""""),""-?\d+(\.\d+)?$""))&lt;=180),""OK"",""REVISAR"")"),"#N/A")</f>
        <v>#N/A</v>
      </c>
    </row>
    <row r="1247" ht="15.75" customHeight="1">
      <c r="A1247" s="5" t="str">
        <f t="shared" si="1"/>
        <v>AD507-1245</v>
      </c>
      <c r="C1247" s="5"/>
      <c r="F1247" s="5"/>
      <c r="G1247" s="5" t="str">
        <f t="shared" si="2"/>
        <v/>
      </c>
      <c r="H1247" s="5" t="str">
        <f t="shared" si="3"/>
        <v/>
      </c>
      <c r="I1247" s="5" t="str">
        <f t="shared" si="4"/>
        <v/>
      </c>
      <c r="J1247" s="5" t="str">
        <f t="shared" si="5"/>
        <v/>
      </c>
      <c r="K1247" s="5" t="str">
        <f>IFERROR(__xludf.DUMMYFUNCTION("IF(C1247&lt;&gt;"""",HYPERLINK(""https://wa.me/507""&amp;REGEXREPLACE(C1247,""[^0-9]"","""")&amp;""?text=""&amp;ENCODEURL(""Ya llegue. Codigo: ""&amp;A1247&amp;"". Ubicacion: ""&amp;""https://www.google.com/maps/search/?api=1&amp;query=""&amp;SUBSTITUTE(F1247,"" "","""")),""📲 Avisar al clien"&amp;"te""),"""")"),"")</f>
        <v/>
      </c>
      <c r="L1247" s="5" t="str">
        <f>IFERROR(__xludf.DUMMYFUNCTION("IF(C1247&lt;&gt;"""",""https://api.qrserver.com/v1/create-qr-code/?size=200x200&amp;data=""&amp;ENCODEURL(""https://wa.me/507""&amp;REGEXREPLACE(C1247,""[^0-9]"","""")&amp;""?text=""&amp;ENCODEURL(""Ya llegue. Codigo: ""&amp;A1247&amp;"". Ubicacion: ""&amp;""https://www.google.com/maps/search"&amp;"/?api=1&amp;query=""&amp;SUBSTITUTE(F1247,"" "",""""))),"""")"),"")</f>
        <v/>
      </c>
      <c r="M1247" s="5" t="str">
        <f t="shared" si="6"/>
        <v/>
      </c>
      <c r="N1247" s="5" t="str">
        <f>IFERROR(__xludf.DUMMYFUNCTION("IF(AND(F1247&lt;&gt;"""",REGEXMATCH(SUBSTITUTE(F1247,"" "",""""),""^-?\d+(\.\d+)?,-?\d+(\.\d+)?$""),VALUE(REGEXEXTRACT(SUBSTITUTE(F1247,"" "",""""),""^-?\d+(\.\d+)?""))&gt;=-90,VALUE(REGEXEXTRACT(SUBSTITUTE(F1247,"" "",""""),""^-?\d+(\.\d+)?""))&lt;=90,VALUE(REGEXEXT"&amp;"RACT(SUBSTITUTE(F1247,"" "",""""),""-?\d+(\.\d+)?$""))&gt;=-180,VALUE(REGEXEXTRACT(SUBSTITUTE(F1247,"" "",""""),""-?\d+(\.\d+)?$""))&lt;=180),""OK"",""REVISAR"")"),"#N/A")</f>
        <v>#N/A</v>
      </c>
    </row>
    <row r="1248" ht="15.75" customHeight="1">
      <c r="A1248" s="5" t="str">
        <f t="shared" si="1"/>
        <v>AD507-1246</v>
      </c>
      <c r="C1248" s="5"/>
      <c r="F1248" s="5"/>
      <c r="G1248" s="5" t="str">
        <f t="shared" si="2"/>
        <v/>
      </c>
      <c r="H1248" s="5" t="str">
        <f t="shared" si="3"/>
        <v/>
      </c>
      <c r="I1248" s="5" t="str">
        <f t="shared" si="4"/>
        <v/>
      </c>
      <c r="J1248" s="5" t="str">
        <f t="shared" si="5"/>
        <v/>
      </c>
      <c r="K1248" s="5" t="str">
        <f>IFERROR(__xludf.DUMMYFUNCTION("IF(C1248&lt;&gt;"""",HYPERLINK(""https://wa.me/507""&amp;REGEXREPLACE(C1248,""[^0-9]"","""")&amp;""?text=""&amp;ENCODEURL(""Ya llegue. Codigo: ""&amp;A1248&amp;"". Ubicacion: ""&amp;""https://www.google.com/maps/search/?api=1&amp;query=""&amp;SUBSTITUTE(F1248,"" "","""")),""📲 Avisar al clien"&amp;"te""),"""")"),"")</f>
        <v/>
      </c>
      <c r="L1248" s="5" t="str">
        <f>IFERROR(__xludf.DUMMYFUNCTION("IF(C1248&lt;&gt;"""",""https://api.qrserver.com/v1/create-qr-code/?size=200x200&amp;data=""&amp;ENCODEURL(""https://wa.me/507""&amp;REGEXREPLACE(C1248,""[^0-9]"","""")&amp;""?text=""&amp;ENCODEURL(""Ya llegue. Codigo: ""&amp;A1248&amp;"". Ubicacion: ""&amp;""https://www.google.com/maps/search"&amp;"/?api=1&amp;query=""&amp;SUBSTITUTE(F1248,"" "",""""))),"""")"),"")</f>
        <v/>
      </c>
      <c r="M1248" s="5" t="str">
        <f t="shared" si="6"/>
        <v/>
      </c>
      <c r="N1248" s="5" t="str">
        <f>IFERROR(__xludf.DUMMYFUNCTION("IF(AND(F1248&lt;&gt;"""",REGEXMATCH(SUBSTITUTE(F1248,"" "",""""),""^-?\d+(\.\d+)?,-?\d+(\.\d+)?$""),VALUE(REGEXEXTRACT(SUBSTITUTE(F1248,"" "",""""),""^-?\d+(\.\d+)?""))&gt;=-90,VALUE(REGEXEXTRACT(SUBSTITUTE(F1248,"" "",""""),""^-?\d+(\.\d+)?""))&lt;=90,VALUE(REGEXEXT"&amp;"RACT(SUBSTITUTE(F1248,"" "",""""),""-?\d+(\.\d+)?$""))&gt;=-180,VALUE(REGEXEXTRACT(SUBSTITUTE(F1248,"" "",""""),""-?\d+(\.\d+)?$""))&lt;=180),""OK"",""REVISAR"")"),"#N/A")</f>
        <v>#N/A</v>
      </c>
    </row>
    <row r="1249" ht="15.75" customHeight="1">
      <c r="A1249" s="5" t="str">
        <f t="shared" si="1"/>
        <v>AD507-1247</v>
      </c>
      <c r="C1249" s="5"/>
      <c r="F1249" s="5"/>
      <c r="G1249" s="5" t="str">
        <f t="shared" si="2"/>
        <v/>
      </c>
      <c r="H1249" s="5" t="str">
        <f t="shared" si="3"/>
        <v/>
      </c>
      <c r="I1249" s="5" t="str">
        <f t="shared" si="4"/>
        <v/>
      </c>
      <c r="J1249" s="5" t="str">
        <f t="shared" si="5"/>
        <v/>
      </c>
      <c r="K1249" s="5" t="str">
        <f>IFERROR(__xludf.DUMMYFUNCTION("IF(C1249&lt;&gt;"""",HYPERLINK(""https://wa.me/507""&amp;REGEXREPLACE(C1249,""[^0-9]"","""")&amp;""?text=""&amp;ENCODEURL(""Ya llegue. Codigo: ""&amp;A1249&amp;"". Ubicacion: ""&amp;""https://www.google.com/maps/search/?api=1&amp;query=""&amp;SUBSTITUTE(F1249,"" "","""")),""📲 Avisar al clien"&amp;"te""),"""")"),"")</f>
        <v/>
      </c>
      <c r="L1249" s="5" t="str">
        <f>IFERROR(__xludf.DUMMYFUNCTION("IF(C1249&lt;&gt;"""",""https://api.qrserver.com/v1/create-qr-code/?size=200x200&amp;data=""&amp;ENCODEURL(""https://wa.me/507""&amp;REGEXREPLACE(C1249,""[^0-9]"","""")&amp;""?text=""&amp;ENCODEURL(""Ya llegue. Codigo: ""&amp;A1249&amp;"". Ubicacion: ""&amp;""https://www.google.com/maps/search"&amp;"/?api=1&amp;query=""&amp;SUBSTITUTE(F1249,"" "",""""))),"""")"),"")</f>
        <v/>
      </c>
      <c r="M1249" s="5" t="str">
        <f t="shared" si="6"/>
        <v/>
      </c>
      <c r="N1249" s="5" t="str">
        <f>IFERROR(__xludf.DUMMYFUNCTION("IF(AND(F1249&lt;&gt;"""",REGEXMATCH(SUBSTITUTE(F1249,"" "",""""),""^-?\d+(\.\d+)?,-?\d+(\.\d+)?$""),VALUE(REGEXEXTRACT(SUBSTITUTE(F1249,"" "",""""),""^-?\d+(\.\d+)?""))&gt;=-90,VALUE(REGEXEXTRACT(SUBSTITUTE(F1249,"" "",""""),""^-?\d+(\.\d+)?""))&lt;=90,VALUE(REGEXEXT"&amp;"RACT(SUBSTITUTE(F1249,"" "",""""),""-?\d+(\.\d+)?$""))&gt;=-180,VALUE(REGEXEXTRACT(SUBSTITUTE(F1249,"" "",""""),""-?\d+(\.\d+)?$""))&lt;=180),""OK"",""REVISAR"")"),"#N/A")</f>
        <v>#N/A</v>
      </c>
    </row>
    <row r="1250" ht="15.75" customHeight="1">
      <c r="A1250" s="5" t="str">
        <f t="shared" si="1"/>
        <v>AD507-1248</v>
      </c>
      <c r="C1250" s="5"/>
      <c r="F1250" s="5"/>
      <c r="G1250" s="5" t="str">
        <f t="shared" si="2"/>
        <v/>
      </c>
      <c r="H1250" s="5" t="str">
        <f t="shared" si="3"/>
        <v/>
      </c>
      <c r="I1250" s="5" t="str">
        <f t="shared" si="4"/>
        <v/>
      </c>
      <c r="J1250" s="5" t="str">
        <f t="shared" si="5"/>
        <v/>
      </c>
      <c r="K1250" s="5" t="str">
        <f>IFERROR(__xludf.DUMMYFUNCTION("IF(C1250&lt;&gt;"""",HYPERLINK(""https://wa.me/507""&amp;REGEXREPLACE(C1250,""[^0-9]"","""")&amp;""?text=""&amp;ENCODEURL(""Ya llegue. Codigo: ""&amp;A1250&amp;"". Ubicacion: ""&amp;""https://www.google.com/maps/search/?api=1&amp;query=""&amp;SUBSTITUTE(F1250,"" "","""")),""📲 Avisar al clien"&amp;"te""),"""")"),"")</f>
        <v/>
      </c>
      <c r="L1250" s="5" t="str">
        <f>IFERROR(__xludf.DUMMYFUNCTION("IF(C1250&lt;&gt;"""",""https://api.qrserver.com/v1/create-qr-code/?size=200x200&amp;data=""&amp;ENCODEURL(""https://wa.me/507""&amp;REGEXREPLACE(C1250,""[^0-9]"","""")&amp;""?text=""&amp;ENCODEURL(""Ya llegue. Codigo: ""&amp;A1250&amp;"". Ubicacion: ""&amp;""https://www.google.com/maps/search"&amp;"/?api=1&amp;query=""&amp;SUBSTITUTE(F1250,"" "",""""))),"""")"),"")</f>
        <v/>
      </c>
      <c r="M1250" s="5" t="str">
        <f t="shared" si="6"/>
        <v/>
      </c>
      <c r="N1250" s="5" t="str">
        <f>IFERROR(__xludf.DUMMYFUNCTION("IF(AND(F1250&lt;&gt;"""",REGEXMATCH(SUBSTITUTE(F1250,"" "",""""),""^-?\d+(\.\d+)?,-?\d+(\.\d+)?$""),VALUE(REGEXEXTRACT(SUBSTITUTE(F1250,"" "",""""),""^-?\d+(\.\d+)?""))&gt;=-90,VALUE(REGEXEXTRACT(SUBSTITUTE(F1250,"" "",""""),""^-?\d+(\.\d+)?""))&lt;=90,VALUE(REGEXEXT"&amp;"RACT(SUBSTITUTE(F1250,"" "",""""),""-?\d+(\.\d+)?$""))&gt;=-180,VALUE(REGEXEXTRACT(SUBSTITUTE(F1250,"" "",""""),""-?\d+(\.\d+)?$""))&lt;=180),""OK"",""REVISAR"")"),"#N/A")</f>
        <v>#N/A</v>
      </c>
    </row>
    <row r="1251" ht="15.75" customHeight="1">
      <c r="A1251" s="5" t="str">
        <f t="shared" si="1"/>
        <v>AD507-1249</v>
      </c>
      <c r="C1251" s="5"/>
      <c r="F1251" s="5"/>
      <c r="G1251" s="5" t="str">
        <f t="shared" si="2"/>
        <v/>
      </c>
      <c r="H1251" s="5" t="str">
        <f t="shared" si="3"/>
        <v/>
      </c>
      <c r="I1251" s="5" t="str">
        <f t="shared" si="4"/>
        <v/>
      </c>
      <c r="J1251" s="5" t="str">
        <f t="shared" si="5"/>
        <v/>
      </c>
      <c r="K1251" s="5" t="str">
        <f>IFERROR(__xludf.DUMMYFUNCTION("IF(C1251&lt;&gt;"""",HYPERLINK(""https://wa.me/507""&amp;REGEXREPLACE(C1251,""[^0-9]"","""")&amp;""?text=""&amp;ENCODEURL(""Ya llegue. Codigo: ""&amp;A1251&amp;"". Ubicacion: ""&amp;""https://www.google.com/maps/search/?api=1&amp;query=""&amp;SUBSTITUTE(F1251,"" "","""")),""📲 Avisar al clien"&amp;"te""),"""")"),"")</f>
        <v/>
      </c>
      <c r="L1251" s="5" t="str">
        <f>IFERROR(__xludf.DUMMYFUNCTION("IF(C1251&lt;&gt;"""",""https://api.qrserver.com/v1/create-qr-code/?size=200x200&amp;data=""&amp;ENCODEURL(""https://wa.me/507""&amp;REGEXREPLACE(C1251,""[^0-9]"","""")&amp;""?text=""&amp;ENCODEURL(""Ya llegue. Codigo: ""&amp;A1251&amp;"". Ubicacion: ""&amp;""https://www.google.com/maps/search"&amp;"/?api=1&amp;query=""&amp;SUBSTITUTE(F1251,"" "",""""))),"""")"),"")</f>
        <v/>
      </c>
      <c r="M1251" s="5" t="str">
        <f t="shared" si="6"/>
        <v/>
      </c>
      <c r="N1251" s="5" t="str">
        <f>IFERROR(__xludf.DUMMYFUNCTION("IF(AND(F1251&lt;&gt;"""",REGEXMATCH(SUBSTITUTE(F1251,"" "",""""),""^-?\d+(\.\d+)?,-?\d+(\.\d+)?$""),VALUE(REGEXEXTRACT(SUBSTITUTE(F1251,"" "",""""),""^-?\d+(\.\d+)?""))&gt;=-90,VALUE(REGEXEXTRACT(SUBSTITUTE(F1251,"" "",""""),""^-?\d+(\.\d+)?""))&lt;=90,VALUE(REGEXEXT"&amp;"RACT(SUBSTITUTE(F1251,"" "",""""),""-?\d+(\.\d+)?$""))&gt;=-180,VALUE(REGEXEXTRACT(SUBSTITUTE(F1251,"" "",""""),""-?\d+(\.\d+)?$""))&lt;=180),""OK"",""REVISAR"")"),"#N/A")</f>
        <v>#N/A</v>
      </c>
    </row>
    <row r="1252" ht="15.75" customHeight="1">
      <c r="A1252" s="5" t="str">
        <f t="shared" si="1"/>
        <v>AD507-1250</v>
      </c>
      <c r="C1252" s="5"/>
      <c r="F1252" s="5"/>
      <c r="G1252" s="5" t="str">
        <f t="shared" si="2"/>
        <v/>
      </c>
      <c r="H1252" s="5" t="str">
        <f t="shared" si="3"/>
        <v/>
      </c>
      <c r="I1252" s="5" t="str">
        <f t="shared" si="4"/>
        <v/>
      </c>
      <c r="J1252" s="5" t="str">
        <f t="shared" si="5"/>
        <v/>
      </c>
      <c r="K1252" s="5" t="str">
        <f>IFERROR(__xludf.DUMMYFUNCTION("IF(C1252&lt;&gt;"""",HYPERLINK(""https://wa.me/507""&amp;REGEXREPLACE(C1252,""[^0-9]"","""")&amp;""?text=""&amp;ENCODEURL(""Ya llegue. Codigo: ""&amp;A1252&amp;"". Ubicacion: ""&amp;""https://www.google.com/maps/search/?api=1&amp;query=""&amp;SUBSTITUTE(F1252,"" "","""")),""📲 Avisar al clien"&amp;"te""),"""")"),"")</f>
        <v/>
      </c>
      <c r="L1252" s="5" t="str">
        <f>IFERROR(__xludf.DUMMYFUNCTION("IF(C1252&lt;&gt;"""",""https://api.qrserver.com/v1/create-qr-code/?size=200x200&amp;data=""&amp;ENCODEURL(""https://wa.me/507""&amp;REGEXREPLACE(C1252,""[^0-9]"","""")&amp;""?text=""&amp;ENCODEURL(""Ya llegue. Codigo: ""&amp;A1252&amp;"". Ubicacion: ""&amp;""https://www.google.com/maps/search"&amp;"/?api=1&amp;query=""&amp;SUBSTITUTE(F1252,"" "",""""))),"""")"),"")</f>
        <v/>
      </c>
      <c r="M1252" s="5" t="str">
        <f t="shared" si="6"/>
        <v/>
      </c>
      <c r="N1252" s="5" t="str">
        <f>IFERROR(__xludf.DUMMYFUNCTION("IF(AND(F1252&lt;&gt;"""",REGEXMATCH(SUBSTITUTE(F1252,"" "",""""),""^-?\d+(\.\d+)?,-?\d+(\.\d+)?$""),VALUE(REGEXEXTRACT(SUBSTITUTE(F1252,"" "",""""),""^-?\d+(\.\d+)?""))&gt;=-90,VALUE(REGEXEXTRACT(SUBSTITUTE(F1252,"" "",""""),""^-?\d+(\.\d+)?""))&lt;=90,VALUE(REGEXEXT"&amp;"RACT(SUBSTITUTE(F1252,"" "",""""),""-?\d+(\.\d+)?$""))&gt;=-180,VALUE(REGEXEXTRACT(SUBSTITUTE(F1252,"" "",""""),""-?\d+(\.\d+)?$""))&lt;=180),""OK"",""REVISAR"")"),"#N/A")</f>
        <v>#N/A</v>
      </c>
    </row>
    <row r="1253" ht="15.75" customHeight="1">
      <c r="A1253" s="5" t="str">
        <f t="shared" si="1"/>
        <v>AD507-1251</v>
      </c>
      <c r="C1253" s="5"/>
      <c r="F1253" s="5"/>
      <c r="G1253" s="5" t="str">
        <f t="shared" si="2"/>
        <v/>
      </c>
      <c r="H1253" s="5" t="str">
        <f t="shared" si="3"/>
        <v/>
      </c>
      <c r="I1253" s="5" t="str">
        <f t="shared" si="4"/>
        <v/>
      </c>
      <c r="J1253" s="5" t="str">
        <f t="shared" si="5"/>
        <v/>
      </c>
      <c r="K1253" s="5" t="str">
        <f>IFERROR(__xludf.DUMMYFUNCTION("IF(C1253&lt;&gt;"""",HYPERLINK(""https://wa.me/507""&amp;REGEXREPLACE(C1253,""[^0-9]"","""")&amp;""?text=""&amp;ENCODEURL(""Ya llegue. Codigo: ""&amp;A1253&amp;"". Ubicacion: ""&amp;""https://www.google.com/maps/search/?api=1&amp;query=""&amp;SUBSTITUTE(F1253,"" "","""")),""📲 Avisar al clien"&amp;"te""),"""")"),"")</f>
        <v/>
      </c>
      <c r="L1253" s="5" t="str">
        <f>IFERROR(__xludf.DUMMYFUNCTION("IF(C1253&lt;&gt;"""",""https://api.qrserver.com/v1/create-qr-code/?size=200x200&amp;data=""&amp;ENCODEURL(""https://wa.me/507""&amp;REGEXREPLACE(C1253,""[^0-9]"","""")&amp;""?text=""&amp;ENCODEURL(""Ya llegue. Codigo: ""&amp;A1253&amp;"". Ubicacion: ""&amp;""https://www.google.com/maps/search"&amp;"/?api=1&amp;query=""&amp;SUBSTITUTE(F1253,"" "",""""))),"""")"),"")</f>
        <v/>
      </c>
      <c r="M1253" s="5" t="str">
        <f t="shared" si="6"/>
        <v/>
      </c>
      <c r="N1253" s="5" t="str">
        <f>IFERROR(__xludf.DUMMYFUNCTION("IF(AND(F1253&lt;&gt;"""",REGEXMATCH(SUBSTITUTE(F1253,"" "",""""),""^-?\d+(\.\d+)?,-?\d+(\.\d+)?$""),VALUE(REGEXEXTRACT(SUBSTITUTE(F1253,"" "",""""),""^-?\d+(\.\d+)?""))&gt;=-90,VALUE(REGEXEXTRACT(SUBSTITUTE(F1253,"" "",""""),""^-?\d+(\.\d+)?""))&lt;=90,VALUE(REGEXEXT"&amp;"RACT(SUBSTITUTE(F1253,"" "",""""),""-?\d+(\.\d+)?$""))&gt;=-180,VALUE(REGEXEXTRACT(SUBSTITUTE(F1253,"" "",""""),""-?\d+(\.\d+)?$""))&lt;=180),""OK"",""REVISAR"")"),"#N/A")</f>
        <v>#N/A</v>
      </c>
    </row>
    <row r="1254" ht="15.75" customHeight="1">
      <c r="A1254" s="5" t="str">
        <f t="shared" si="1"/>
        <v>AD507-1252</v>
      </c>
      <c r="C1254" s="5"/>
      <c r="F1254" s="5"/>
      <c r="G1254" s="5" t="str">
        <f t="shared" si="2"/>
        <v/>
      </c>
      <c r="H1254" s="5" t="str">
        <f t="shared" si="3"/>
        <v/>
      </c>
      <c r="I1254" s="5" t="str">
        <f t="shared" si="4"/>
        <v/>
      </c>
      <c r="J1254" s="5" t="str">
        <f t="shared" si="5"/>
        <v/>
      </c>
      <c r="K1254" s="5" t="str">
        <f>IFERROR(__xludf.DUMMYFUNCTION("IF(C1254&lt;&gt;"""",HYPERLINK(""https://wa.me/507""&amp;REGEXREPLACE(C1254,""[^0-9]"","""")&amp;""?text=""&amp;ENCODEURL(""Ya llegue. Codigo: ""&amp;A1254&amp;"". Ubicacion: ""&amp;""https://www.google.com/maps/search/?api=1&amp;query=""&amp;SUBSTITUTE(F1254,"" "","""")),""📲 Avisar al clien"&amp;"te""),"""")"),"")</f>
        <v/>
      </c>
      <c r="L1254" s="5" t="str">
        <f>IFERROR(__xludf.DUMMYFUNCTION("IF(C1254&lt;&gt;"""",""https://api.qrserver.com/v1/create-qr-code/?size=200x200&amp;data=""&amp;ENCODEURL(""https://wa.me/507""&amp;REGEXREPLACE(C1254,""[^0-9]"","""")&amp;""?text=""&amp;ENCODEURL(""Ya llegue. Codigo: ""&amp;A1254&amp;"". Ubicacion: ""&amp;""https://www.google.com/maps/search"&amp;"/?api=1&amp;query=""&amp;SUBSTITUTE(F1254,"" "",""""))),"""")"),"")</f>
        <v/>
      </c>
      <c r="M1254" s="5" t="str">
        <f t="shared" si="6"/>
        <v/>
      </c>
      <c r="N1254" s="5" t="str">
        <f>IFERROR(__xludf.DUMMYFUNCTION("IF(AND(F1254&lt;&gt;"""",REGEXMATCH(SUBSTITUTE(F1254,"" "",""""),""^-?\d+(\.\d+)?,-?\d+(\.\d+)?$""),VALUE(REGEXEXTRACT(SUBSTITUTE(F1254,"" "",""""),""^-?\d+(\.\d+)?""))&gt;=-90,VALUE(REGEXEXTRACT(SUBSTITUTE(F1254,"" "",""""),""^-?\d+(\.\d+)?""))&lt;=90,VALUE(REGEXEXT"&amp;"RACT(SUBSTITUTE(F1254,"" "",""""),""-?\d+(\.\d+)?$""))&gt;=-180,VALUE(REGEXEXTRACT(SUBSTITUTE(F1254,"" "",""""),""-?\d+(\.\d+)?$""))&lt;=180),""OK"",""REVISAR"")"),"#N/A")</f>
        <v>#N/A</v>
      </c>
    </row>
    <row r="1255" ht="15.75" customHeight="1">
      <c r="A1255" s="5" t="str">
        <f t="shared" si="1"/>
        <v>AD507-1253</v>
      </c>
      <c r="C1255" s="5"/>
      <c r="F1255" s="5"/>
      <c r="G1255" s="5" t="str">
        <f t="shared" si="2"/>
        <v/>
      </c>
      <c r="H1255" s="5" t="str">
        <f t="shared" si="3"/>
        <v/>
      </c>
      <c r="I1255" s="5" t="str">
        <f t="shared" si="4"/>
        <v/>
      </c>
      <c r="J1255" s="5" t="str">
        <f t="shared" si="5"/>
        <v/>
      </c>
      <c r="K1255" s="5" t="str">
        <f>IFERROR(__xludf.DUMMYFUNCTION("IF(C1255&lt;&gt;"""",HYPERLINK(""https://wa.me/507""&amp;REGEXREPLACE(C1255,""[^0-9]"","""")&amp;""?text=""&amp;ENCODEURL(""Ya llegue. Codigo: ""&amp;A1255&amp;"". Ubicacion: ""&amp;""https://www.google.com/maps/search/?api=1&amp;query=""&amp;SUBSTITUTE(F1255,"" "","""")),""📲 Avisar al clien"&amp;"te""),"""")"),"")</f>
        <v/>
      </c>
      <c r="L1255" s="5" t="str">
        <f>IFERROR(__xludf.DUMMYFUNCTION("IF(C1255&lt;&gt;"""",""https://api.qrserver.com/v1/create-qr-code/?size=200x200&amp;data=""&amp;ENCODEURL(""https://wa.me/507""&amp;REGEXREPLACE(C1255,""[^0-9]"","""")&amp;""?text=""&amp;ENCODEURL(""Ya llegue. Codigo: ""&amp;A1255&amp;"". Ubicacion: ""&amp;""https://www.google.com/maps/search"&amp;"/?api=1&amp;query=""&amp;SUBSTITUTE(F1255,"" "",""""))),"""")"),"")</f>
        <v/>
      </c>
      <c r="M1255" s="5" t="str">
        <f t="shared" si="6"/>
        <v/>
      </c>
      <c r="N1255" s="5" t="str">
        <f>IFERROR(__xludf.DUMMYFUNCTION("IF(AND(F1255&lt;&gt;"""",REGEXMATCH(SUBSTITUTE(F1255,"" "",""""),""^-?\d+(\.\d+)?,-?\d+(\.\d+)?$""),VALUE(REGEXEXTRACT(SUBSTITUTE(F1255,"" "",""""),""^-?\d+(\.\d+)?""))&gt;=-90,VALUE(REGEXEXTRACT(SUBSTITUTE(F1255,"" "",""""),""^-?\d+(\.\d+)?""))&lt;=90,VALUE(REGEXEXT"&amp;"RACT(SUBSTITUTE(F1255,"" "",""""),""-?\d+(\.\d+)?$""))&gt;=-180,VALUE(REGEXEXTRACT(SUBSTITUTE(F1255,"" "",""""),""-?\d+(\.\d+)?$""))&lt;=180),""OK"",""REVISAR"")"),"#N/A")</f>
        <v>#N/A</v>
      </c>
    </row>
    <row r="1256" ht="15.75" customHeight="1">
      <c r="A1256" s="5" t="str">
        <f t="shared" si="1"/>
        <v>AD507-1254</v>
      </c>
      <c r="C1256" s="5"/>
      <c r="F1256" s="5"/>
      <c r="G1256" s="5" t="str">
        <f t="shared" si="2"/>
        <v/>
      </c>
      <c r="H1256" s="5" t="str">
        <f t="shared" si="3"/>
        <v/>
      </c>
      <c r="I1256" s="5" t="str">
        <f t="shared" si="4"/>
        <v/>
      </c>
      <c r="J1256" s="5" t="str">
        <f t="shared" si="5"/>
        <v/>
      </c>
      <c r="K1256" s="5" t="str">
        <f>IFERROR(__xludf.DUMMYFUNCTION("IF(C1256&lt;&gt;"""",HYPERLINK(""https://wa.me/507""&amp;REGEXREPLACE(C1256,""[^0-9]"","""")&amp;""?text=""&amp;ENCODEURL(""Ya llegue. Codigo: ""&amp;A1256&amp;"". Ubicacion: ""&amp;""https://www.google.com/maps/search/?api=1&amp;query=""&amp;SUBSTITUTE(F1256,"" "","""")),""📲 Avisar al clien"&amp;"te""),"""")"),"")</f>
        <v/>
      </c>
      <c r="L1256" s="5" t="str">
        <f>IFERROR(__xludf.DUMMYFUNCTION("IF(C1256&lt;&gt;"""",""https://api.qrserver.com/v1/create-qr-code/?size=200x200&amp;data=""&amp;ENCODEURL(""https://wa.me/507""&amp;REGEXREPLACE(C1256,""[^0-9]"","""")&amp;""?text=""&amp;ENCODEURL(""Ya llegue. Codigo: ""&amp;A1256&amp;"". Ubicacion: ""&amp;""https://www.google.com/maps/search"&amp;"/?api=1&amp;query=""&amp;SUBSTITUTE(F1256,"" "",""""))),"""")"),"")</f>
        <v/>
      </c>
      <c r="M1256" s="5" t="str">
        <f t="shared" si="6"/>
        <v/>
      </c>
      <c r="N1256" s="5" t="str">
        <f>IFERROR(__xludf.DUMMYFUNCTION("IF(AND(F1256&lt;&gt;"""",REGEXMATCH(SUBSTITUTE(F1256,"" "",""""),""^-?\d+(\.\d+)?,-?\d+(\.\d+)?$""),VALUE(REGEXEXTRACT(SUBSTITUTE(F1256,"" "",""""),""^-?\d+(\.\d+)?""))&gt;=-90,VALUE(REGEXEXTRACT(SUBSTITUTE(F1256,"" "",""""),""^-?\d+(\.\d+)?""))&lt;=90,VALUE(REGEXEXT"&amp;"RACT(SUBSTITUTE(F1256,"" "",""""),""-?\d+(\.\d+)?$""))&gt;=-180,VALUE(REGEXEXTRACT(SUBSTITUTE(F1256,"" "",""""),""-?\d+(\.\d+)?$""))&lt;=180),""OK"",""REVISAR"")"),"#N/A")</f>
        <v>#N/A</v>
      </c>
    </row>
    <row r="1257" ht="15.75" customHeight="1">
      <c r="A1257" s="5" t="str">
        <f t="shared" si="1"/>
        <v>AD507-1255</v>
      </c>
      <c r="C1257" s="5"/>
      <c r="F1257" s="5"/>
      <c r="G1257" s="5" t="str">
        <f t="shared" si="2"/>
        <v/>
      </c>
      <c r="H1257" s="5" t="str">
        <f t="shared" si="3"/>
        <v/>
      </c>
      <c r="I1257" s="5" t="str">
        <f t="shared" si="4"/>
        <v/>
      </c>
      <c r="J1257" s="5" t="str">
        <f t="shared" si="5"/>
        <v/>
      </c>
      <c r="K1257" s="5" t="str">
        <f>IFERROR(__xludf.DUMMYFUNCTION("IF(C1257&lt;&gt;"""",HYPERLINK(""https://wa.me/507""&amp;REGEXREPLACE(C1257,""[^0-9]"","""")&amp;""?text=""&amp;ENCODEURL(""Ya llegue. Codigo: ""&amp;A1257&amp;"". Ubicacion: ""&amp;""https://www.google.com/maps/search/?api=1&amp;query=""&amp;SUBSTITUTE(F1257,"" "","""")),""📲 Avisar al clien"&amp;"te""),"""")"),"")</f>
        <v/>
      </c>
      <c r="L1257" s="5" t="str">
        <f>IFERROR(__xludf.DUMMYFUNCTION("IF(C1257&lt;&gt;"""",""https://api.qrserver.com/v1/create-qr-code/?size=200x200&amp;data=""&amp;ENCODEURL(""https://wa.me/507""&amp;REGEXREPLACE(C1257,""[^0-9]"","""")&amp;""?text=""&amp;ENCODEURL(""Ya llegue. Codigo: ""&amp;A1257&amp;"". Ubicacion: ""&amp;""https://www.google.com/maps/search"&amp;"/?api=1&amp;query=""&amp;SUBSTITUTE(F1257,"" "",""""))),"""")"),"")</f>
        <v/>
      </c>
      <c r="M1257" s="5" t="str">
        <f t="shared" si="6"/>
        <v/>
      </c>
      <c r="N1257" s="5" t="str">
        <f>IFERROR(__xludf.DUMMYFUNCTION("IF(AND(F1257&lt;&gt;"""",REGEXMATCH(SUBSTITUTE(F1257,"" "",""""),""^-?\d+(\.\d+)?,-?\d+(\.\d+)?$""),VALUE(REGEXEXTRACT(SUBSTITUTE(F1257,"" "",""""),""^-?\d+(\.\d+)?""))&gt;=-90,VALUE(REGEXEXTRACT(SUBSTITUTE(F1257,"" "",""""),""^-?\d+(\.\d+)?""))&lt;=90,VALUE(REGEXEXT"&amp;"RACT(SUBSTITUTE(F1257,"" "",""""),""-?\d+(\.\d+)?$""))&gt;=-180,VALUE(REGEXEXTRACT(SUBSTITUTE(F1257,"" "",""""),""-?\d+(\.\d+)?$""))&lt;=180),""OK"",""REVISAR"")"),"#N/A")</f>
        <v>#N/A</v>
      </c>
    </row>
    <row r="1258" ht="15.75" customHeight="1">
      <c r="A1258" s="5" t="str">
        <f t="shared" si="1"/>
        <v>AD507-1256</v>
      </c>
      <c r="C1258" s="5"/>
      <c r="F1258" s="5"/>
      <c r="G1258" s="5" t="str">
        <f t="shared" si="2"/>
        <v/>
      </c>
      <c r="H1258" s="5" t="str">
        <f t="shared" si="3"/>
        <v/>
      </c>
      <c r="I1258" s="5" t="str">
        <f t="shared" si="4"/>
        <v/>
      </c>
      <c r="J1258" s="5" t="str">
        <f t="shared" si="5"/>
        <v/>
      </c>
      <c r="K1258" s="5" t="str">
        <f>IFERROR(__xludf.DUMMYFUNCTION("IF(C1258&lt;&gt;"""",HYPERLINK(""https://wa.me/507""&amp;REGEXREPLACE(C1258,""[^0-9]"","""")&amp;""?text=""&amp;ENCODEURL(""Ya llegue. Codigo: ""&amp;A1258&amp;"". Ubicacion: ""&amp;""https://www.google.com/maps/search/?api=1&amp;query=""&amp;SUBSTITUTE(F1258,"" "","""")),""📲 Avisar al clien"&amp;"te""),"""")"),"")</f>
        <v/>
      </c>
      <c r="L1258" s="5" t="str">
        <f>IFERROR(__xludf.DUMMYFUNCTION("IF(C1258&lt;&gt;"""",""https://api.qrserver.com/v1/create-qr-code/?size=200x200&amp;data=""&amp;ENCODEURL(""https://wa.me/507""&amp;REGEXREPLACE(C1258,""[^0-9]"","""")&amp;""?text=""&amp;ENCODEURL(""Ya llegue. Codigo: ""&amp;A1258&amp;"". Ubicacion: ""&amp;""https://www.google.com/maps/search"&amp;"/?api=1&amp;query=""&amp;SUBSTITUTE(F1258,"" "",""""))),"""")"),"")</f>
        <v/>
      </c>
      <c r="M1258" s="5" t="str">
        <f t="shared" si="6"/>
        <v/>
      </c>
      <c r="N1258" s="5" t="str">
        <f>IFERROR(__xludf.DUMMYFUNCTION("IF(AND(F1258&lt;&gt;"""",REGEXMATCH(SUBSTITUTE(F1258,"" "",""""),""^-?\d+(\.\d+)?,-?\d+(\.\d+)?$""),VALUE(REGEXEXTRACT(SUBSTITUTE(F1258,"" "",""""),""^-?\d+(\.\d+)?""))&gt;=-90,VALUE(REGEXEXTRACT(SUBSTITUTE(F1258,"" "",""""),""^-?\d+(\.\d+)?""))&lt;=90,VALUE(REGEXEXT"&amp;"RACT(SUBSTITUTE(F1258,"" "",""""),""-?\d+(\.\d+)?$""))&gt;=-180,VALUE(REGEXEXTRACT(SUBSTITUTE(F1258,"" "",""""),""-?\d+(\.\d+)?$""))&lt;=180),""OK"",""REVISAR"")"),"#N/A")</f>
        <v>#N/A</v>
      </c>
    </row>
    <row r="1259" ht="15.75" customHeight="1">
      <c r="A1259" s="5" t="str">
        <f t="shared" si="1"/>
        <v>AD507-1257</v>
      </c>
      <c r="C1259" s="5"/>
      <c r="F1259" s="5"/>
      <c r="G1259" s="5" t="str">
        <f t="shared" si="2"/>
        <v/>
      </c>
      <c r="H1259" s="5" t="str">
        <f t="shared" si="3"/>
        <v/>
      </c>
      <c r="I1259" s="5" t="str">
        <f t="shared" si="4"/>
        <v/>
      </c>
      <c r="J1259" s="5" t="str">
        <f t="shared" si="5"/>
        <v/>
      </c>
      <c r="K1259" s="5" t="str">
        <f>IFERROR(__xludf.DUMMYFUNCTION("IF(C1259&lt;&gt;"""",HYPERLINK(""https://wa.me/507""&amp;REGEXREPLACE(C1259,""[^0-9]"","""")&amp;""?text=""&amp;ENCODEURL(""Ya llegue. Codigo: ""&amp;A1259&amp;"". Ubicacion: ""&amp;""https://www.google.com/maps/search/?api=1&amp;query=""&amp;SUBSTITUTE(F1259,"" "","""")),""📲 Avisar al clien"&amp;"te""),"""")"),"")</f>
        <v/>
      </c>
      <c r="L1259" s="5" t="str">
        <f>IFERROR(__xludf.DUMMYFUNCTION("IF(C1259&lt;&gt;"""",""https://api.qrserver.com/v1/create-qr-code/?size=200x200&amp;data=""&amp;ENCODEURL(""https://wa.me/507""&amp;REGEXREPLACE(C1259,""[^0-9]"","""")&amp;""?text=""&amp;ENCODEURL(""Ya llegue. Codigo: ""&amp;A1259&amp;"". Ubicacion: ""&amp;""https://www.google.com/maps/search"&amp;"/?api=1&amp;query=""&amp;SUBSTITUTE(F1259,"" "",""""))),"""")"),"")</f>
        <v/>
      </c>
      <c r="M1259" s="5" t="str">
        <f t="shared" si="6"/>
        <v/>
      </c>
      <c r="N1259" s="5" t="str">
        <f>IFERROR(__xludf.DUMMYFUNCTION("IF(AND(F1259&lt;&gt;"""",REGEXMATCH(SUBSTITUTE(F1259,"" "",""""),""^-?\d+(\.\d+)?,-?\d+(\.\d+)?$""),VALUE(REGEXEXTRACT(SUBSTITUTE(F1259,"" "",""""),""^-?\d+(\.\d+)?""))&gt;=-90,VALUE(REGEXEXTRACT(SUBSTITUTE(F1259,"" "",""""),""^-?\d+(\.\d+)?""))&lt;=90,VALUE(REGEXEXT"&amp;"RACT(SUBSTITUTE(F1259,"" "",""""),""-?\d+(\.\d+)?$""))&gt;=-180,VALUE(REGEXEXTRACT(SUBSTITUTE(F1259,"" "",""""),""-?\d+(\.\d+)?$""))&lt;=180),""OK"",""REVISAR"")"),"#N/A")</f>
        <v>#N/A</v>
      </c>
    </row>
    <row r="1260" ht="15.75" customHeight="1">
      <c r="A1260" s="5" t="str">
        <f t="shared" si="1"/>
        <v>AD507-1258</v>
      </c>
      <c r="C1260" s="5"/>
      <c r="F1260" s="5"/>
      <c r="G1260" s="5" t="str">
        <f t="shared" si="2"/>
        <v/>
      </c>
      <c r="H1260" s="5" t="str">
        <f t="shared" si="3"/>
        <v/>
      </c>
      <c r="I1260" s="5" t="str">
        <f t="shared" si="4"/>
        <v/>
      </c>
      <c r="J1260" s="5" t="str">
        <f t="shared" si="5"/>
        <v/>
      </c>
      <c r="K1260" s="5" t="str">
        <f>IFERROR(__xludf.DUMMYFUNCTION("IF(C1260&lt;&gt;"""",HYPERLINK(""https://wa.me/507""&amp;REGEXREPLACE(C1260,""[^0-9]"","""")&amp;""?text=""&amp;ENCODEURL(""Ya llegue. Codigo: ""&amp;A1260&amp;"". Ubicacion: ""&amp;""https://www.google.com/maps/search/?api=1&amp;query=""&amp;SUBSTITUTE(F1260,"" "","""")),""📲 Avisar al clien"&amp;"te""),"""")"),"")</f>
        <v/>
      </c>
      <c r="L1260" s="5" t="str">
        <f>IFERROR(__xludf.DUMMYFUNCTION("IF(C1260&lt;&gt;"""",""https://api.qrserver.com/v1/create-qr-code/?size=200x200&amp;data=""&amp;ENCODEURL(""https://wa.me/507""&amp;REGEXREPLACE(C1260,""[^0-9]"","""")&amp;""?text=""&amp;ENCODEURL(""Ya llegue. Codigo: ""&amp;A1260&amp;"". Ubicacion: ""&amp;""https://www.google.com/maps/search"&amp;"/?api=1&amp;query=""&amp;SUBSTITUTE(F1260,"" "",""""))),"""")"),"")</f>
        <v/>
      </c>
      <c r="M1260" s="5" t="str">
        <f t="shared" si="6"/>
        <v/>
      </c>
      <c r="N1260" s="5" t="str">
        <f>IFERROR(__xludf.DUMMYFUNCTION("IF(AND(F1260&lt;&gt;"""",REGEXMATCH(SUBSTITUTE(F1260,"" "",""""),""^-?\d+(\.\d+)?,-?\d+(\.\d+)?$""),VALUE(REGEXEXTRACT(SUBSTITUTE(F1260,"" "",""""),""^-?\d+(\.\d+)?""))&gt;=-90,VALUE(REGEXEXTRACT(SUBSTITUTE(F1260,"" "",""""),""^-?\d+(\.\d+)?""))&lt;=90,VALUE(REGEXEXT"&amp;"RACT(SUBSTITUTE(F1260,"" "",""""),""-?\d+(\.\d+)?$""))&gt;=-180,VALUE(REGEXEXTRACT(SUBSTITUTE(F1260,"" "",""""),""-?\d+(\.\d+)?$""))&lt;=180),""OK"",""REVISAR"")"),"#N/A")</f>
        <v>#N/A</v>
      </c>
    </row>
    <row r="1261" ht="15.75" customHeight="1">
      <c r="A1261" s="5" t="str">
        <f t="shared" si="1"/>
        <v>AD507-1259</v>
      </c>
      <c r="C1261" s="5"/>
      <c r="F1261" s="5"/>
      <c r="G1261" s="5" t="str">
        <f t="shared" si="2"/>
        <v/>
      </c>
      <c r="H1261" s="5" t="str">
        <f t="shared" si="3"/>
        <v/>
      </c>
      <c r="I1261" s="5" t="str">
        <f t="shared" si="4"/>
        <v/>
      </c>
      <c r="J1261" s="5" t="str">
        <f t="shared" si="5"/>
        <v/>
      </c>
      <c r="K1261" s="5" t="str">
        <f>IFERROR(__xludf.DUMMYFUNCTION("IF(C1261&lt;&gt;"""",HYPERLINK(""https://wa.me/507""&amp;REGEXREPLACE(C1261,""[^0-9]"","""")&amp;""?text=""&amp;ENCODEURL(""Ya llegue. Codigo: ""&amp;A1261&amp;"". Ubicacion: ""&amp;""https://www.google.com/maps/search/?api=1&amp;query=""&amp;SUBSTITUTE(F1261,"" "","""")),""📲 Avisar al clien"&amp;"te""),"""")"),"")</f>
        <v/>
      </c>
      <c r="L1261" s="5" t="str">
        <f>IFERROR(__xludf.DUMMYFUNCTION("IF(C1261&lt;&gt;"""",""https://api.qrserver.com/v1/create-qr-code/?size=200x200&amp;data=""&amp;ENCODEURL(""https://wa.me/507""&amp;REGEXREPLACE(C1261,""[^0-9]"","""")&amp;""?text=""&amp;ENCODEURL(""Ya llegue. Codigo: ""&amp;A1261&amp;"". Ubicacion: ""&amp;""https://www.google.com/maps/search"&amp;"/?api=1&amp;query=""&amp;SUBSTITUTE(F1261,"" "",""""))),"""")"),"")</f>
        <v/>
      </c>
      <c r="M1261" s="5" t="str">
        <f t="shared" si="6"/>
        <v/>
      </c>
      <c r="N1261" s="5" t="str">
        <f>IFERROR(__xludf.DUMMYFUNCTION("IF(AND(F1261&lt;&gt;"""",REGEXMATCH(SUBSTITUTE(F1261,"" "",""""),""^-?\d+(\.\d+)?,-?\d+(\.\d+)?$""),VALUE(REGEXEXTRACT(SUBSTITUTE(F1261,"" "",""""),""^-?\d+(\.\d+)?""))&gt;=-90,VALUE(REGEXEXTRACT(SUBSTITUTE(F1261,"" "",""""),""^-?\d+(\.\d+)?""))&lt;=90,VALUE(REGEXEXT"&amp;"RACT(SUBSTITUTE(F1261,"" "",""""),""-?\d+(\.\d+)?$""))&gt;=-180,VALUE(REGEXEXTRACT(SUBSTITUTE(F1261,"" "",""""),""-?\d+(\.\d+)?$""))&lt;=180),""OK"",""REVISAR"")"),"#N/A")</f>
        <v>#N/A</v>
      </c>
    </row>
    <row r="1262" ht="15.75" customHeight="1">
      <c r="A1262" s="5" t="str">
        <f t="shared" si="1"/>
        <v>AD507-1260</v>
      </c>
      <c r="C1262" s="5"/>
      <c r="F1262" s="5"/>
      <c r="G1262" s="5" t="str">
        <f t="shared" si="2"/>
        <v/>
      </c>
      <c r="H1262" s="5" t="str">
        <f t="shared" si="3"/>
        <v/>
      </c>
      <c r="I1262" s="5" t="str">
        <f t="shared" si="4"/>
        <v/>
      </c>
      <c r="J1262" s="5" t="str">
        <f t="shared" si="5"/>
        <v/>
      </c>
      <c r="K1262" s="5" t="str">
        <f>IFERROR(__xludf.DUMMYFUNCTION("IF(C1262&lt;&gt;"""",HYPERLINK(""https://wa.me/507""&amp;REGEXREPLACE(C1262,""[^0-9]"","""")&amp;""?text=""&amp;ENCODEURL(""Ya llegue. Codigo: ""&amp;A1262&amp;"". Ubicacion: ""&amp;""https://www.google.com/maps/search/?api=1&amp;query=""&amp;SUBSTITUTE(F1262,"" "","""")),""📲 Avisar al clien"&amp;"te""),"""")"),"")</f>
        <v/>
      </c>
      <c r="L1262" s="5" t="str">
        <f>IFERROR(__xludf.DUMMYFUNCTION("IF(C1262&lt;&gt;"""",""https://api.qrserver.com/v1/create-qr-code/?size=200x200&amp;data=""&amp;ENCODEURL(""https://wa.me/507""&amp;REGEXREPLACE(C1262,""[^0-9]"","""")&amp;""?text=""&amp;ENCODEURL(""Ya llegue. Codigo: ""&amp;A1262&amp;"". Ubicacion: ""&amp;""https://www.google.com/maps/search"&amp;"/?api=1&amp;query=""&amp;SUBSTITUTE(F1262,"" "",""""))),"""")"),"")</f>
        <v/>
      </c>
      <c r="M1262" s="5" t="str">
        <f t="shared" si="6"/>
        <v/>
      </c>
      <c r="N1262" s="5" t="str">
        <f>IFERROR(__xludf.DUMMYFUNCTION("IF(AND(F1262&lt;&gt;"""",REGEXMATCH(SUBSTITUTE(F1262,"" "",""""),""^-?\d+(\.\d+)?,-?\d+(\.\d+)?$""),VALUE(REGEXEXTRACT(SUBSTITUTE(F1262,"" "",""""),""^-?\d+(\.\d+)?""))&gt;=-90,VALUE(REGEXEXTRACT(SUBSTITUTE(F1262,"" "",""""),""^-?\d+(\.\d+)?""))&lt;=90,VALUE(REGEXEXT"&amp;"RACT(SUBSTITUTE(F1262,"" "",""""),""-?\d+(\.\d+)?$""))&gt;=-180,VALUE(REGEXEXTRACT(SUBSTITUTE(F1262,"" "",""""),""-?\d+(\.\d+)?$""))&lt;=180),""OK"",""REVISAR"")"),"#N/A")</f>
        <v>#N/A</v>
      </c>
    </row>
    <row r="1263" ht="15.75" customHeight="1">
      <c r="A1263" s="5" t="str">
        <f t="shared" si="1"/>
        <v>AD507-1261</v>
      </c>
      <c r="C1263" s="5"/>
      <c r="F1263" s="5"/>
      <c r="G1263" s="5" t="str">
        <f t="shared" si="2"/>
        <v/>
      </c>
      <c r="H1263" s="5" t="str">
        <f t="shared" si="3"/>
        <v/>
      </c>
      <c r="I1263" s="5" t="str">
        <f t="shared" si="4"/>
        <v/>
      </c>
      <c r="J1263" s="5" t="str">
        <f t="shared" si="5"/>
        <v/>
      </c>
      <c r="K1263" s="5" t="str">
        <f>IFERROR(__xludf.DUMMYFUNCTION("IF(C1263&lt;&gt;"""",HYPERLINK(""https://wa.me/507""&amp;REGEXREPLACE(C1263,""[^0-9]"","""")&amp;""?text=""&amp;ENCODEURL(""Ya llegue. Codigo: ""&amp;A1263&amp;"". Ubicacion: ""&amp;""https://www.google.com/maps/search/?api=1&amp;query=""&amp;SUBSTITUTE(F1263,"" "","""")),""📲 Avisar al clien"&amp;"te""),"""")"),"")</f>
        <v/>
      </c>
      <c r="L1263" s="5" t="str">
        <f>IFERROR(__xludf.DUMMYFUNCTION("IF(C1263&lt;&gt;"""",""https://api.qrserver.com/v1/create-qr-code/?size=200x200&amp;data=""&amp;ENCODEURL(""https://wa.me/507""&amp;REGEXREPLACE(C1263,""[^0-9]"","""")&amp;""?text=""&amp;ENCODEURL(""Ya llegue. Codigo: ""&amp;A1263&amp;"". Ubicacion: ""&amp;""https://www.google.com/maps/search"&amp;"/?api=1&amp;query=""&amp;SUBSTITUTE(F1263,"" "",""""))),"""")"),"")</f>
        <v/>
      </c>
      <c r="M1263" s="5" t="str">
        <f t="shared" si="6"/>
        <v/>
      </c>
      <c r="N1263" s="5" t="str">
        <f>IFERROR(__xludf.DUMMYFUNCTION("IF(AND(F1263&lt;&gt;"""",REGEXMATCH(SUBSTITUTE(F1263,"" "",""""),""^-?\d+(\.\d+)?,-?\d+(\.\d+)?$""),VALUE(REGEXEXTRACT(SUBSTITUTE(F1263,"" "",""""),""^-?\d+(\.\d+)?""))&gt;=-90,VALUE(REGEXEXTRACT(SUBSTITUTE(F1263,"" "",""""),""^-?\d+(\.\d+)?""))&lt;=90,VALUE(REGEXEXT"&amp;"RACT(SUBSTITUTE(F1263,"" "",""""),""-?\d+(\.\d+)?$""))&gt;=-180,VALUE(REGEXEXTRACT(SUBSTITUTE(F1263,"" "",""""),""-?\d+(\.\d+)?$""))&lt;=180),""OK"",""REVISAR"")"),"#N/A")</f>
        <v>#N/A</v>
      </c>
    </row>
    <row r="1264" ht="15.75" customHeight="1">
      <c r="A1264" s="5" t="str">
        <f t="shared" si="1"/>
        <v>AD507-1262</v>
      </c>
      <c r="C1264" s="5"/>
      <c r="F1264" s="5"/>
      <c r="G1264" s="5" t="str">
        <f t="shared" si="2"/>
        <v/>
      </c>
      <c r="H1264" s="5" t="str">
        <f t="shared" si="3"/>
        <v/>
      </c>
      <c r="I1264" s="5" t="str">
        <f t="shared" si="4"/>
        <v/>
      </c>
      <c r="J1264" s="5" t="str">
        <f t="shared" si="5"/>
        <v/>
      </c>
      <c r="K1264" s="5" t="str">
        <f>IFERROR(__xludf.DUMMYFUNCTION("IF(C1264&lt;&gt;"""",HYPERLINK(""https://wa.me/507""&amp;REGEXREPLACE(C1264,""[^0-9]"","""")&amp;""?text=""&amp;ENCODEURL(""Ya llegue. Codigo: ""&amp;A1264&amp;"". Ubicacion: ""&amp;""https://www.google.com/maps/search/?api=1&amp;query=""&amp;SUBSTITUTE(F1264,"" "","""")),""📲 Avisar al clien"&amp;"te""),"""")"),"")</f>
        <v/>
      </c>
      <c r="L1264" s="5" t="str">
        <f>IFERROR(__xludf.DUMMYFUNCTION("IF(C1264&lt;&gt;"""",""https://api.qrserver.com/v1/create-qr-code/?size=200x200&amp;data=""&amp;ENCODEURL(""https://wa.me/507""&amp;REGEXREPLACE(C1264,""[^0-9]"","""")&amp;""?text=""&amp;ENCODEURL(""Ya llegue. Codigo: ""&amp;A1264&amp;"". Ubicacion: ""&amp;""https://www.google.com/maps/search"&amp;"/?api=1&amp;query=""&amp;SUBSTITUTE(F1264,"" "",""""))),"""")"),"")</f>
        <v/>
      </c>
      <c r="M1264" s="5" t="str">
        <f t="shared" si="6"/>
        <v/>
      </c>
      <c r="N1264" s="5" t="str">
        <f>IFERROR(__xludf.DUMMYFUNCTION("IF(AND(F1264&lt;&gt;"""",REGEXMATCH(SUBSTITUTE(F1264,"" "",""""),""^-?\d+(\.\d+)?,-?\d+(\.\d+)?$""),VALUE(REGEXEXTRACT(SUBSTITUTE(F1264,"" "",""""),""^-?\d+(\.\d+)?""))&gt;=-90,VALUE(REGEXEXTRACT(SUBSTITUTE(F1264,"" "",""""),""^-?\d+(\.\d+)?""))&lt;=90,VALUE(REGEXEXT"&amp;"RACT(SUBSTITUTE(F1264,"" "",""""),""-?\d+(\.\d+)?$""))&gt;=-180,VALUE(REGEXEXTRACT(SUBSTITUTE(F1264,"" "",""""),""-?\d+(\.\d+)?$""))&lt;=180),""OK"",""REVISAR"")"),"#N/A")</f>
        <v>#N/A</v>
      </c>
    </row>
    <row r="1265" ht="15.75" customHeight="1">
      <c r="A1265" s="5" t="str">
        <f t="shared" si="1"/>
        <v>AD507-1263</v>
      </c>
      <c r="C1265" s="5"/>
      <c r="F1265" s="5"/>
      <c r="G1265" s="5" t="str">
        <f t="shared" si="2"/>
        <v/>
      </c>
      <c r="H1265" s="5" t="str">
        <f t="shared" si="3"/>
        <v/>
      </c>
      <c r="I1265" s="5" t="str">
        <f t="shared" si="4"/>
        <v/>
      </c>
      <c r="J1265" s="5" t="str">
        <f t="shared" si="5"/>
        <v/>
      </c>
      <c r="K1265" s="5" t="str">
        <f>IFERROR(__xludf.DUMMYFUNCTION("IF(C1265&lt;&gt;"""",HYPERLINK(""https://wa.me/507""&amp;REGEXREPLACE(C1265,""[^0-9]"","""")&amp;""?text=""&amp;ENCODEURL(""Ya llegue. Codigo: ""&amp;A1265&amp;"". Ubicacion: ""&amp;""https://www.google.com/maps/search/?api=1&amp;query=""&amp;SUBSTITUTE(F1265,"" "","""")),""📲 Avisar al clien"&amp;"te""),"""")"),"")</f>
        <v/>
      </c>
      <c r="L1265" s="5" t="str">
        <f>IFERROR(__xludf.DUMMYFUNCTION("IF(C1265&lt;&gt;"""",""https://api.qrserver.com/v1/create-qr-code/?size=200x200&amp;data=""&amp;ENCODEURL(""https://wa.me/507""&amp;REGEXREPLACE(C1265,""[^0-9]"","""")&amp;""?text=""&amp;ENCODEURL(""Ya llegue. Codigo: ""&amp;A1265&amp;"". Ubicacion: ""&amp;""https://www.google.com/maps/search"&amp;"/?api=1&amp;query=""&amp;SUBSTITUTE(F1265,"" "",""""))),"""")"),"")</f>
        <v/>
      </c>
      <c r="M1265" s="5" t="str">
        <f t="shared" si="6"/>
        <v/>
      </c>
      <c r="N1265" s="5" t="str">
        <f>IFERROR(__xludf.DUMMYFUNCTION("IF(AND(F1265&lt;&gt;"""",REGEXMATCH(SUBSTITUTE(F1265,"" "",""""),""^-?\d+(\.\d+)?,-?\d+(\.\d+)?$""),VALUE(REGEXEXTRACT(SUBSTITUTE(F1265,"" "",""""),""^-?\d+(\.\d+)?""))&gt;=-90,VALUE(REGEXEXTRACT(SUBSTITUTE(F1265,"" "",""""),""^-?\d+(\.\d+)?""))&lt;=90,VALUE(REGEXEXT"&amp;"RACT(SUBSTITUTE(F1265,"" "",""""),""-?\d+(\.\d+)?$""))&gt;=-180,VALUE(REGEXEXTRACT(SUBSTITUTE(F1265,"" "",""""),""-?\d+(\.\d+)?$""))&lt;=180),""OK"",""REVISAR"")"),"#N/A")</f>
        <v>#N/A</v>
      </c>
    </row>
    <row r="1266" ht="15.75" customHeight="1">
      <c r="A1266" s="5" t="str">
        <f t="shared" si="1"/>
        <v>AD507-1264</v>
      </c>
      <c r="C1266" s="5"/>
      <c r="F1266" s="5"/>
      <c r="G1266" s="5" t="str">
        <f t="shared" si="2"/>
        <v/>
      </c>
      <c r="H1266" s="5" t="str">
        <f t="shared" si="3"/>
        <v/>
      </c>
      <c r="I1266" s="5" t="str">
        <f t="shared" si="4"/>
        <v/>
      </c>
      <c r="J1266" s="5" t="str">
        <f t="shared" si="5"/>
        <v/>
      </c>
      <c r="K1266" s="5" t="str">
        <f>IFERROR(__xludf.DUMMYFUNCTION("IF(C1266&lt;&gt;"""",HYPERLINK(""https://wa.me/507""&amp;REGEXREPLACE(C1266,""[^0-9]"","""")&amp;""?text=""&amp;ENCODEURL(""Ya llegue. Codigo: ""&amp;A1266&amp;"". Ubicacion: ""&amp;""https://www.google.com/maps/search/?api=1&amp;query=""&amp;SUBSTITUTE(F1266,"" "","""")),""📲 Avisar al clien"&amp;"te""),"""")"),"")</f>
        <v/>
      </c>
      <c r="L1266" s="5" t="str">
        <f>IFERROR(__xludf.DUMMYFUNCTION("IF(C1266&lt;&gt;"""",""https://api.qrserver.com/v1/create-qr-code/?size=200x200&amp;data=""&amp;ENCODEURL(""https://wa.me/507""&amp;REGEXREPLACE(C1266,""[^0-9]"","""")&amp;""?text=""&amp;ENCODEURL(""Ya llegue. Codigo: ""&amp;A1266&amp;"". Ubicacion: ""&amp;""https://www.google.com/maps/search"&amp;"/?api=1&amp;query=""&amp;SUBSTITUTE(F1266,"" "",""""))),"""")"),"")</f>
        <v/>
      </c>
      <c r="M1266" s="5" t="str">
        <f t="shared" si="6"/>
        <v/>
      </c>
      <c r="N1266" s="5" t="str">
        <f>IFERROR(__xludf.DUMMYFUNCTION("IF(AND(F1266&lt;&gt;"""",REGEXMATCH(SUBSTITUTE(F1266,"" "",""""),""^-?\d+(\.\d+)?,-?\d+(\.\d+)?$""),VALUE(REGEXEXTRACT(SUBSTITUTE(F1266,"" "",""""),""^-?\d+(\.\d+)?""))&gt;=-90,VALUE(REGEXEXTRACT(SUBSTITUTE(F1266,"" "",""""),""^-?\d+(\.\d+)?""))&lt;=90,VALUE(REGEXEXT"&amp;"RACT(SUBSTITUTE(F1266,"" "",""""),""-?\d+(\.\d+)?$""))&gt;=-180,VALUE(REGEXEXTRACT(SUBSTITUTE(F1266,"" "",""""),""-?\d+(\.\d+)?$""))&lt;=180),""OK"",""REVISAR"")"),"#N/A")</f>
        <v>#N/A</v>
      </c>
    </row>
    <row r="1267" ht="15.75" customHeight="1">
      <c r="A1267" s="5" t="str">
        <f t="shared" si="1"/>
        <v>AD507-1265</v>
      </c>
      <c r="C1267" s="5"/>
      <c r="F1267" s="5"/>
      <c r="G1267" s="5" t="str">
        <f t="shared" si="2"/>
        <v/>
      </c>
      <c r="H1267" s="5" t="str">
        <f t="shared" si="3"/>
        <v/>
      </c>
      <c r="I1267" s="5" t="str">
        <f t="shared" si="4"/>
        <v/>
      </c>
      <c r="J1267" s="5" t="str">
        <f t="shared" si="5"/>
        <v/>
      </c>
      <c r="K1267" s="5" t="str">
        <f>IFERROR(__xludf.DUMMYFUNCTION("IF(C1267&lt;&gt;"""",HYPERLINK(""https://wa.me/507""&amp;REGEXREPLACE(C1267,""[^0-9]"","""")&amp;""?text=""&amp;ENCODEURL(""Ya llegue. Codigo: ""&amp;A1267&amp;"". Ubicacion: ""&amp;""https://www.google.com/maps/search/?api=1&amp;query=""&amp;SUBSTITUTE(F1267,"" "","""")),""📲 Avisar al clien"&amp;"te""),"""")"),"")</f>
        <v/>
      </c>
      <c r="L1267" s="5" t="str">
        <f>IFERROR(__xludf.DUMMYFUNCTION("IF(C1267&lt;&gt;"""",""https://api.qrserver.com/v1/create-qr-code/?size=200x200&amp;data=""&amp;ENCODEURL(""https://wa.me/507""&amp;REGEXREPLACE(C1267,""[^0-9]"","""")&amp;""?text=""&amp;ENCODEURL(""Ya llegue. Codigo: ""&amp;A1267&amp;"". Ubicacion: ""&amp;""https://www.google.com/maps/search"&amp;"/?api=1&amp;query=""&amp;SUBSTITUTE(F1267,"" "",""""))),"""")"),"")</f>
        <v/>
      </c>
      <c r="M1267" s="5" t="str">
        <f t="shared" si="6"/>
        <v/>
      </c>
      <c r="N1267" s="5" t="str">
        <f>IFERROR(__xludf.DUMMYFUNCTION("IF(AND(F1267&lt;&gt;"""",REGEXMATCH(SUBSTITUTE(F1267,"" "",""""),""^-?\d+(\.\d+)?,-?\d+(\.\d+)?$""),VALUE(REGEXEXTRACT(SUBSTITUTE(F1267,"" "",""""),""^-?\d+(\.\d+)?""))&gt;=-90,VALUE(REGEXEXTRACT(SUBSTITUTE(F1267,"" "",""""),""^-?\d+(\.\d+)?""))&lt;=90,VALUE(REGEXEXT"&amp;"RACT(SUBSTITUTE(F1267,"" "",""""),""-?\d+(\.\d+)?$""))&gt;=-180,VALUE(REGEXEXTRACT(SUBSTITUTE(F1267,"" "",""""),""-?\d+(\.\d+)?$""))&lt;=180),""OK"",""REVISAR"")"),"#N/A")</f>
        <v>#N/A</v>
      </c>
    </row>
    <row r="1268" ht="15.75" customHeight="1">
      <c r="A1268" s="5" t="str">
        <f t="shared" si="1"/>
        <v>AD507-1266</v>
      </c>
      <c r="C1268" s="5"/>
      <c r="F1268" s="5"/>
      <c r="G1268" s="5" t="str">
        <f t="shared" si="2"/>
        <v/>
      </c>
      <c r="H1268" s="5" t="str">
        <f t="shared" si="3"/>
        <v/>
      </c>
      <c r="I1268" s="5" t="str">
        <f t="shared" si="4"/>
        <v/>
      </c>
      <c r="J1268" s="5" t="str">
        <f t="shared" si="5"/>
        <v/>
      </c>
      <c r="K1268" s="5" t="str">
        <f>IFERROR(__xludf.DUMMYFUNCTION("IF(C1268&lt;&gt;"""",HYPERLINK(""https://wa.me/507""&amp;REGEXREPLACE(C1268,""[^0-9]"","""")&amp;""?text=""&amp;ENCODEURL(""Ya llegue. Codigo: ""&amp;A1268&amp;"". Ubicacion: ""&amp;""https://www.google.com/maps/search/?api=1&amp;query=""&amp;SUBSTITUTE(F1268,"" "","""")),""📲 Avisar al clien"&amp;"te""),"""")"),"")</f>
        <v/>
      </c>
      <c r="L1268" s="5" t="str">
        <f>IFERROR(__xludf.DUMMYFUNCTION("IF(C1268&lt;&gt;"""",""https://api.qrserver.com/v1/create-qr-code/?size=200x200&amp;data=""&amp;ENCODEURL(""https://wa.me/507""&amp;REGEXREPLACE(C1268,""[^0-9]"","""")&amp;""?text=""&amp;ENCODEURL(""Ya llegue. Codigo: ""&amp;A1268&amp;"". Ubicacion: ""&amp;""https://www.google.com/maps/search"&amp;"/?api=1&amp;query=""&amp;SUBSTITUTE(F1268,"" "",""""))),"""")"),"")</f>
        <v/>
      </c>
      <c r="M1268" s="5" t="str">
        <f t="shared" si="6"/>
        <v/>
      </c>
      <c r="N1268" s="5" t="str">
        <f>IFERROR(__xludf.DUMMYFUNCTION("IF(AND(F1268&lt;&gt;"""",REGEXMATCH(SUBSTITUTE(F1268,"" "",""""),""^-?\d+(\.\d+)?,-?\d+(\.\d+)?$""),VALUE(REGEXEXTRACT(SUBSTITUTE(F1268,"" "",""""),""^-?\d+(\.\d+)?""))&gt;=-90,VALUE(REGEXEXTRACT(SUBSTITUTE(F1268,"" "",""""),""^-?\d+(\.\d+)?""))&lt;=90,VALUE(REGEXEXT"&amp;"RACT(SUBSTITUTE(F1268,"" "",""""),""-?\d+(\.\d+)?$""))&gt;=-180,VALUE(REGEXEXTRACT(SUBSTITUTE(F1268,"" "",""""),""-?\d+(\.\d+)?$""))&lt;=180),""OK"",""REVISAR"")"),"#N/A")</f>
        <v>#N/A</v>
      </c>
    </row>
    <row r="1269" ht="15.75" customHeight="1">
      <c r="A1269" s="5" t="str">
        <f t="shared" si="1"/>
        <v>AD507-1267</v>
      </c>
      <c r="C1269" s="5"/>
      <c r="F1269" s="5"/>
      <c r="G1269" s="5" t="str">
        <f t="shared" si="2"/>
        <v/>
      </c>
      <c r="H1269" s="5" t="str">
        <f t="shared" si="3"/>
        <v/>
      </c>
      <c r="I1269" s="5" t="str">
        <f t="shared" si="4"/>
        <v/>
      </c>
      <c r="J1269" s="5" t="str">
        <f t="shared" si="5"/>
        <v/>
      </c>
      <c r="K1269" s="5" t="str">
        <f>IFERROR(__xludf.DUMMYFUNCTION("IF(C1269&lt;&gt;"""",HYPERLINK(""https://wa.me/507""&amp;REGEXREPLACE(C1269,""[^0-9]"","""")&amp;""?text=""&amp;ENCODEURL(""Ya llegue. Codigo: ""&amp;A1269&amp;"". Ubicacion: ""&amp;""https://www.google.com/maps/search/?api=1&amp;query=""&amp;SUBSTITUTE(F1269,"" "","""")),""📲 Avisar al clien"&amp;"te""),"""")"),"")</f>
        <v/>
      </c>
      <c r="L1269" s="5" t="str">
        <f>IFERROR(__xludf.DUMMYFUNCTION("IF(C1269&lt;&gt;"""",""https://api.qrserver.com/v1/create-qr-code/?size=200x200&amp;data=""&amp;ENCODEURL(""https://wa.me/507""&amp;REGEXREPLACE(C1269,""[^0-9]"","""")&amp;""?text=""&amp;ENCODEURL(""Ya llegue. Codigo: ""&amp;A1269&amp;"". Ubicacion: ""&amp;""https://www.google.com/maps/search"&amp;"/?api=1&amp;query=""&amp;SUBSTITUTE(F1269,"" "",""""))),"""")"),"")</f>
        <v/>
      </c>
      <c r="M1269" s="5" t="str">
        <f t="shared" si="6"/>
        <v/>
      </c>
      <c r="N1269" s="5" t="str">
        <f>IFERROR(__xludf.DUMMYFUNCTION("IF(AND(F1269&lt;&gt;"""",REGEXMATCH(SUBSTITUTE(F1269,"" "",""""),""^-?\d+(\.\d+)?,-?\d+(\.\d+)?$""),VALUE(REGEXEXTRACT(SUBSTITUTE(F1269,"" "",""""),""^-?\d+(\.\d+)?""))&gt;=-90,VALUE(REGEXEXTRACT(SUBSTITUTE(F1269,"" "",""""),""^-?\d+(\.\d+)?""))&lt;=90,VALUE(REGEXEXT"&amp;"RACT(SUBSTITUTE(F1269,"" "",""""),""-?\d+(\.\d+)?$""))&gt;=-180,VALUE(REGEXEXTRACT(SUBSTITUTE(F1269,"" "",""""),""-?\d+(\.\d+)?$""))&lt;=180),""OK"",""REVISAR"")"),"#N/A")</f>
        <v>#N/A</v>
      </c>
    </row>
    <row r="1270" ht="15.75" customHeight="1">
      <c r="A1270" s="5" t="str">
        <f t="shared" si="1"/>
        <v>AD507-1268</v>
      </c>
      <c r="C1270" s="5"/>
      <c r="F1270" s="5"/>
      <c r="G1270" s="5" t="str">
        <f t="shared" si="2"/>
        <v/>
      </c>
      <c r="H1270" s="5" t="str">
        <f t="shared" si="3"/>
        <v/>
      </c>
      <c r="I1270" s="5" t="str">
        <f t="shared" si="4"/>
        <v/>
      </c>
      <c r="J1270" s="5" t="str">
        <f t="shared" si="5"/>
        <v/>
      </c>
      <c r="K1270" s="5" t="str">
        <f>IFERROR(__xludf.DUMMYFUNCTION("IF(C1270&lt;&gt;"""",HYPERLINK(""https://wa.me/507""&amp;REGEXREPLACE(C1270,""[^0-9]"","""")&amp;""?text=""&amp;ENCODEURL(""Ya llegue. Codigo: ""&amp;A1270&amp;"". Ubicacion: ""&amp;""https://www.google.com/maps/search/?api=1&amp;query=""&amp;SUBSTITUTE(F1270,"" "","""")),""📲 Avisar al clien"&amp;"te""),"""")"),"")</f>
        <v/>
      </c>
      <c r="L1270" s="5" t="str">
        <f>IFERROR(__xludf.DUMMYFUNCTION("IF(C1270&lt;&gt;"""",""https://api.qrserver.com/v1/create-qr-code/?size=200x200&amp;data=""&amp;ENCODEURL(""https://wa.me/507""&amp;REGEXREPLACE(C1270,""[^0-9]"","""")&amp;""?text=""&amp;ENCODEURL(""Ya llegue. Codigo: ""&amp;A1270&amp;"". Ubicacion: ""&amp;""https://www.google.com/maps/search"&amp;"/?api=1&amp;query=""&amp;SUBSTITUTE(F1270,"" "",""""))),"""")"),"")</f>
        <v/>
      </c>
      <c r="M1270" s="5" t="str">
        <f t="shared" si="6"/>
        <v/>
      </c>
      <c r="N1270" s="5" t="str">
        <f>IFERROR(__xludf.DUMMYFUNCTION("IF(AND(F1270&lt;&gt;"""",REGEXMATCH(SUBSTITUTE(F1270,"" "",""""),""^-?\d+(\.\d+)?,-?\d+(\.\d+)?$""),VALUE(REGEXEXTRACT(SUBSTITUTE(F1270,"" "",""""),""^-?\d+(\.\d+)?""))&gt;=-90,VALUE(REGEXEXTRACT(SUBSTITUTE(F1270,"" "",""""),""^-?\d+(\.\d+)?""))&lt;=90,VALUE(REGEXEXT"&amp;"RACT(SUBSTITUTE(F1270,"" "",""""),""-?\d+(\.\d+)?$""))&gt;=-180,VALUE(REGEXEXTRACT(SUBSTITUTE(F1270,"" "",""""),""-?\d+(\.\d+)?$""))&lt;=180),""OK"",""REVISAR"")"),"#N/A")</f>
        <v>#N/A</v>
      </c>
    </row>
    <row r="1271" ht="15.75" customHeight="1">
      <c r="A1271" s="5" t="str">
        <f t="shared" si="1"/>
        <v>AD507-1269</v>
      </c>
      <c r="C1271" s="5"/>
      <c r="F1271" s="5"/>
      <c r="G1271" s="5" t="str">
        <f t="shared" si="2"/>
        <v/>
      </c>
      <c r="H1271" s="5" t="str">
        <f t="shared" si="3"/>
        <v/>
      </c>
      <c r="I1271" s="5" t="str">
        <f t="shared" si="4"/>
        <v/>
      </c>
      <c r="J1271" s="5" t="str">
        <f t="shared" si="5"/>
        <v/>
      </c>
      <c r="K1271" s="5" t="str">
        <f>IFERROR(__xludf.DUMMYFUNCTION("IF(C1271&lt;&gt;"""",HYPERLINK(""https://wa.me/507""&amp;REGEXREPLACE(C1271,""[^0-9]"","""")&amp;""?text=""&amp;ENCODEURL(""Ya llegue. Codigo: ""&amp;A1271&amp;"". Ubicacion: ""&amp;""https://www.google.com/maps/search/?api=1&amp;query=""&amp;SUBSTITUTE(F1271,"" "","""")),""📲 Avisar al clien"&amp;"te""),"""")"),"")</f>
        <v/>
      </c>
      <c r="L1271" s="5" t="str">
        <f>IFERROR(__xludf.DUMMYFUNCTION("IF(C1271&lt;&gt;"""",""https://api.qrserver.com/v1/create-qr-code/?size=200x200&amp;data=""&amp;ENCODEURL(""https://wa.me/507""&amp;REGEXREPLACE(C1271,""[^0-9]"","""")&amp;""?text=""&amp;ENCODEURL(""Ya llegue. Codigo: ""&amp;A1271&amp;"". Ubicacion: ""&amp;""https://www.google.com/maps/search"&amp;"/?api=1&amp;query=""&amp;SUBSTITUTE(F1271,"" "",""""))),"""")"),"")</f>
        <v/>
      </c>
      <c r="M1271" s="5" t="str">
        <f t="shared" si="6"/>
        <v/>
      </c>
      <c r="N1271" s="5" t="str">
        <f>IFERROR(__xludf.DUMMYFUNCTION("IF(AND(F1271&lt;&gt;"""",REGEXMATCH(SUBSTITUTE(F1271,"" "",""""),""^-?\d+(\.\d+)?,-?\d+(\.\d+)?$""),VALUE(REGEXEXTRACT(SUBSTITUTE(F1271,"" "",""""),""^-?\d+(\.\d+)?""))&gt;=-90,VALUE(REGEXEXTRACT(SUBSTITUTE(F1271,"" "",""""),""^-?\d+(\.\d+)?""))&lt;=90,VALUE(REGEXEXT"&amp;"RACT(SUBSTITUTE(F1271,"" "",""""),""-?\d+(\.\d+)?$""))&gt;=-180,VALUE(REGEXEXTRACT(SUBSTITUTE(F1271,"" "",""""),""-?\d+(\.\d+)?$""))&lt;=180),""OK"",""REVISAR"")"),"#N/A")</f>
        <v>#N/A</v>
      </c>
    </row>
    <row r="1272" ht="15.75" customHeight="1">
      <c r="A1272" s="5" t="str">
        <f t="shared" si="1"/>
        <v>AD507-1270</v>
      </c>
      <c r="C1272" s="5"/>
      <c r="F1272" s="5"/>
      <c r="G1272" s="5" t="str">
        <f t="shared" si="2"/>
        <v/>
      </c>
      <c r="H1272" s="5" t="str">
        <f t="shared" si="3"/>
        <v/>
      </c>
      <c r="I1272" s="5" t="str">
        <f t="shared" si="4"/>
        <v/>
      </c>
      <c r="J1272" s="5" t="str">
        <f t="shared" si="5"/>
        <v/>
      </c>
      <c r="K1272" s="5" t="str">
        <f>IFERROR(__xludf.DUMMYFUNCTION("IF(C1272&lt;&gt;"""",HYPERLINK(""https://wa.me/507""&amp;REGEXREPLACE(C1272,""[^0-9]"","""")&amp;""?text=""&amp;ENCODEURL(""Ya llegue. Codigo: ""&amp;A1272&amp;"". Ubicacion: ""&amp;""https://www.google.com/maps/search/?api=1&amp;query=""&amp;SUBSTITUTE(F1272,"" "","""")),""📲 Avisar al clien"&amp;"te""),"""")"),"")</f>
        <v/>
      </c>
      <c r="L1272" s="5" t="str">
        <f>IFERROR(__xludf.DUMMYFUNCTION("IF(C1272&lt;&gt;"""",""https://api.qrserver.com/v1/create-qr-code/?size=200x200&amp;data=""&amp;ENCODEURL(""https://wa.me/507""&amp;REGEXREPLACE(C1272,""[^0-9]"","""")&amp;""?text=""&amp;ENCODEURL(""Ya llegue. Codigo: ""&amp;A1272&amp;"". Ubicacion: ""&amp;""https://www.google.com/maps/search"&amp;"/?api=1&amp;query=""&amp;SUBSTITUTE(F1272,"" "",""""))),"""")"),"")</f>
        <v/>
      </c>
      <c r="M1272" s="5" t="str">
        <f t="shared" si="6"/>
        <v/>
      </c>
      <c r="N1272" s="5" t="str">
        <f>IFERROR(__xludf.DUMMYFUNCTION("IF(AND(F1272&lt;&gt;"""",REGEXMATCH(SUBSTITUTE(F1272,"" "",""""),""^-?\d+(\.\d+)?,-?\d+(\.\d+)?$""),VALUE(REGEXEXTRACT(SUBSTITUTE(F1272,"" "",""""),""^-?\d+(\.\d+)?""))&gt;=-90,VALUE(REGEXEXTRACT(SUBSTITUTE(F1272,"" "",""""),""^-?\d+(\.\d+)?""))&lt;=90,VALUE(REGEXEXT"&amp;"RACT(SUBSTITUTE(F1272,"" "",""""),""-?\d+(\.\d+)?$""))&gt;=-180,VALUE(REGEXEXTRACT(SUBSTITUTE(F1272,"" "",""""),""-?\d+(\.\d+)?$""))&lt;=180),""OK"",""REVISAR"")"),"#N/A")</f>
        <v>#N/A</v>
      </c>
    </row>
    <row r="1273" ht="15.75" customHeight="1">
      <c r="A1273" s="5" t="str">
        <f t="shared" si="1"/>
        <v>AD507-1271</v>
      </c>
      <c r="C1273" s="5"/>
      <c r="F1273" s="5"/>
      <c r="G1273" s="5" t="str">
        <f t="shared" si="2"/>
        <v/>
      </c>
      <c r="H1273" s="5" t="str">
        <f t="shared" si="3"/>
        <v/>
      </c>
      <c r="I1273" s="5" t="str">
        <f t="shared" si="4"/>
        <v/>
      </c>
      <c r="J1273" s="5" t="str">
        <f t="shared" si="5"/>
        <v/>
      </c>
      <c r="K1273" s="5" t="str">
        <f>IFERROR(__xludf.DUMMYFUNCTION("IF(C1273&lt;&gt;"""",HYPERLINK(""https://wa.me/507""&amp;REGEXREPLACE(C1273,""[^0-9]"","""")&amp;""?text=""&amp;ENCODEURL(""Ya llegue. Codigo: ""&amp;A1273&amp;"". Ubicacion: ""&amp;""https://www.google.com/maps/search/?api=1&amp;query=""&amp;SUBSTITUTE(F1273,"" "","""")),""📲 Avisar al clien"&amp;"te""),"""")"),"")</f>
        <v/>
      </c>
      <c r="L1273" s="5" t="str">
        <f>IFERROR(__xludf.DUMMYFUNCTION("IF(C1273&lt;&gt;"""",""https://api.qrserver.com/v1/create-qr-code/?size=200x200&amp;data=""&amp;ENCODEURL(""https://wa.me/507""&amp;REGEXREPLACE(C1273,""[^0-9]"","""")&amp;""?text=""&amp;ENCODEURL(""Ya llegue. Codigo: ""&amp;A1273&amp;"". Ubicacion: ""&amp;""https://www.google.com/maps/search"&amp;"/?api=1&amp;query=""&amp;SUBSTITUTE(F1273,"" "",""""))),"""")"),"")</f>
        <v/>
      </c>
      <c r="M1273" s="5" t="str">
        <f t="shared" si="6"/>
        <v/>
      </c>
      <c r="N1273" s="5" t="str">
        <f>IFERROR(__xludf.DUMMYFUNCTION("IF(AND(F1273&lt;&gt;"""",REGEXMATCH(SUBSTITUTE(F1273,"" "",""""),""^-?\d+(\.\d+)?,-?\d+(\.\d+)?$""),VALUE(REGEXEXTRACT(SUBSTITUTE(F1273,"" "",""""),""^-?\d+(\.\d+)?""))&gt;=-90,VALUE(REGEXEXTRACT(SUBSTITUTE(F1273,"" "",""""),""^-?\d+(\.\d+)?""))&lt;=90,VALUE(REGEXEXT"&amp;"RACT(SUBSTITUTE(F1273,"" "",""""),""-?\d+(\.\d+)?$""))&gt;=-180,VALUE(REGEXEXTRACT(SUBSTITUTE(F1273,"" "",""""),""-?\d+(\.\d+)?$""))&lt;=180),""OK"",""REVISAR"")"),"#N/A")</f>
        <v>#N/A</v>
      </c>
    </row>
    <row r="1274" ht="15.75" customHeight="1">
      <c r="A1274" s="5" t="str">
        <f t="shared" si="1"/>
        <v>AD507-1272</v>
      </c>
      <c r="C1274" s="5"/>
      <c r="F1274" s="5"/>
      <c r="G1274" s="5" t="str">
        <f t="shared" si="2"/>
        <v/>
      </c>
      <c r="H1274" s="5" t="str">
        <f t="shared" si="3"/>
        <v/>
      </c>
      <c r="I1274" s="5" t="str">
        <f t="shared" si="4"/>
        <v/>
      </c>
      <c r="J1274" s="5" t="str">
        <f t="shared" si="5"/>
        <v/>
      </c>
      <c r="K1274" s="5" t="str">
        <f>IFERROR(__xludf.DUMMYFUNCTION("IF(C1274&lt;&gt;"""",HYPERLINK(""https://wa.me/507""&amp;REGEXREPLACE(C1274,""[^0-9]"","""")&amp;""?text=""&amp;ENCODEURL(""Ya llegue. Codigo: ""&amp;A1274&amp;"". Ubicacion: ""&amp;""https://www.google.com/maps/search/?api=1&amp;query=""&amp;SUBSTITUTE(F1274,"" "","""")),""📲 Avisar al clien"&amp;"te""),"""")"),"")</f>
        <v/>
      </c>
      <c r="L1274" s="5" t="str">
        <f>IFERROR(__xludf.DUMMYFUNCTION("IF(C1274&lt;&gt;"""",""https://api.qrserver.com/v1/create-qr-code/?size=200x200&amp;data=""&amp;ENCODEURL(""https://wa.me/507""&amp;REGEXREPLACE(C1274,""[^0-9]"","""")&amp;""?text=""&amp;ENCODEURL(""Ya llegue. Codigo: ""&amp;A1274&amp;"". Ubicacion: ""&amp;""https://www.google.com/maps/search"&amp;"/?api=1&amp;query=""&amp;SUBSTITUTE(F1274,"" "",""""))),"""")"),"")</f>
        <v/>
      </c>
      <c r="M1274" s="5" t="str">
        <f t="shared" si="6"/>
        <v/>
      </c>
      <c r="N1274" s="5" t="str">
        <f>IFERROR(__xludf.DUMMYFUNCTION("IF(AND(F1274&lt;&gt;"""",REGEXMATCH(SUBSTITUTE(F1274,"" "",""""),""^-?\d+(\.\d+)?,-?\d+(\.\d+)?$""),VALUE(REGEXEXTRACT(SUBSTITUTE(F1274,"" "",""""),""^-?\d+(\.\d+)?""))&gt;=-90,VALUE(REGEXEXTRACT(SUBSTITUTE(F1274,"" "",""""),""^-?\d+(\.\d+)?""))&lt;=90,VALUE(REGEXEXT"&amp;"RACT(SUBSTITUTE(F1274,"" "",""""),""-?\d+(\.\d+)?$""))&gt;=-180,VALUE(REGEXEXTRACT(SUBSTITUTE(F1274,"" "",""""),""-?\d+(\.\d+)?$""))&lt;=180),""OK"",""REVISAR"")"),"#N/A")</f>
        <v>#N/A</v>
      </c>
    </row>
    <row r="1275" ht="15.75" customHeight="1">
      <c r="A1275" s="5" t="str">
        <f t="shared" si="1"/>
        <v>AD507-1273</v>
      </c>
      <c r="C1275" s="5"/>
      <c r="F1275" s="5"/>
      <c r="G1275" s="5" t="str">
        <f t="shared" si="2"/>
        <v/>
      </c>
      <c r="H1275" s="5" t="str">
        <f t="shared" si="3"/>
        <v/>
      </c>
      <c r="I1275" s="5" t="str">
        <f t="shared" si="4"/>
        <v/>
      </c>
      <c r="J1275" s="5" t="str">
        <f t="shared" si="5"/>
        <v/>
      </c>
      <c r="K1275" s="5" t="str">
        <f>IFERROR(__xludf.DUMMYFUNCTION("IF(C1275&lt;&gt;"""",HYPERLINK(""https://wa.me/507""&amp;REGEXREPLACE(C1275,""[^0-9]"","""")&amp;""?text=""&amp;ENCODEURL(""Ya llegue. Codigo: ""&amp;A1275&amp;"". Ubicacion: ""&amp;""https://www.google.com/maps/search/?api=1&amp;query=""&amp;SUBSTITUTE(F1275,"" "","""")),""📲 Avisar al clien"&amp;"te""),"""")"),"")</f>
        <v/>
      </c>
      <c r="L1275" s="5" t="str">
        <f>IFERROR(__xludf.DUMMYFUNCTION("IF(C1275&lt;&gt;"""",""https://api.qrserver.com/v1/create-qr-code/?size=200x200&amp;data=""&amp;ENCODEURL(""https://wa.me/507""&amp;REGEXREPLACE(C1275,""[^0-9]"","""")&amp;""?text=""&amp;ENCODEURL(""Ya llegue. Codigo: ""&amp;A1275&amp;"". Ubicacion: ""&amp;""https://www.google.com/maps/search"&amp;"/?api=1&amp;query=""&amp;SUBSTITUTE(F1275,"" "",""""))),"""")"),"")</f>
        <v/>
      </c>
      <c r="M1275" s="5" t="str">
        <f t="shared" si="6"/>
        <v/>
      </c>
      <c r="N1275" s="5" t="str">
        <f>IFERROR(__xludf.DUMMYFUNCTION("IF(AND(F1275&lt;&gt;"""",REGEXMATCH(SUBSTITUTE(F1275,"" "",""""),""^-?\d+(\.\d+)?,-?\d+(\.\d+)?$""),VALUE(REGEXEXTRACT(SUBSTITUTE(F1275,"" "",""""),""^-?\d+(\.\d+)?""))&gt;=-90,VALUE(REGEXEXTRACT(SUBSTITUTE(F1275,"" "",""""),""^-?\d+(\.\d+)?""))&lt;=90,VALUE(REGEXEXT"&amp;"RACT(SUBSTITUTE(F1275,"" "",""""),""-?\d+(\.\d+)?$""))&gt;=-180,VALUE(REGEXEXTRACT(SUBSTITUTE(F1275,"" "",""""),""-?\d+(\.\d+)?$""))&lt;=180),""OK"",""REVISAR"")"),"#N/A")</f>
        <v>#N/A</v>
      </c>
    </row>
    <row r="1276" ht="15.75" customHeight="1">
      <c r="A1276" s="5" t="str">
        <f t="shared" si="1"/>
        <v>AD507-1274</v>
      </c>
      <c r="C1276" s="5"/>
      <c r="F1276" s="5"/>
      <c r="G1276" s="5" t="str">
        <f t="shared" si="2"/>
        <v/>
      </c>
      <c r="H1276" s="5" t="str">
        <f t="shared" si="3"/>
        <v/>
      </c>
      <c r="I1276" s="5" t="str">
        <f t="shared" si="4"/>
        <v/>
      </c>
      <c r="J1276" s="5" t="str">
        <f t="shared" si="5"/>
        <v/>
      </c>
      <c r="K1276" s="5" t="str">
        <f>IFERROR(__xludf.DUMMYFUNCTION("IF(C1276&lt;&gt;"""",HYPERLINK(""https://wa.me/507""&amp;REGEXREPLACE(C1276,""[^0-9]"","""")&amp;""?text=""&amp;ENCODEURL(""Ya llegue. Codigo: ""&amp;A1276&amp;"". Ubicacion: ""&amp;""https://www.google.com/maps/search/?api=1&amp;query=""&amp;SUBSTITUTE(F1276,"" "","""")),""📲 Avisar al clien"&amp;"te""),"""")"),"")</f>
        <v/>
      </c>
      <c r="L1276" s="5" t="str">
        <f>IFERROR(__xludf.DUMMYFUNCTION("IF(C1276&lt;&gt;"""",""https://api.qrserver.com/v1/create-qr-code/?size=200x200&amp;data=""&amp;ENCODEURL(""https://wa.me/507""&amp;REGEXREPLACE(C1276,""[^0-9]"","""")&amp;""?text=""&amp;ENCODEURL(""Ya llegue. Codigo: ""&amp;A1276&amp;"". Ubicacion: ""&amp;""https://www.google.com/maps/search"&amp;"/?api=1&amp;query=""&amp;SUBSTITUTE(F1276,"" "",""""))),"""")"),"")</f>
        <v/>
      </c>
      <c r="M1276" s="5" t="str">
        <f t="shared" si="6"/>
        <v/>
      </c>
      <c r="N1276" s="5" t="str">
        <f>IFERROR(__xludf.DUMMYFUNCTION("IF(AND(F1276&lt;&gt;"""",REGEXMATCH(SUBSTITUTE(F1276,"" "",""""),""^-?\d+(\.\d+)?,-?\d+(\.\d+)?$""),VALUE(REGEXEXTRACT(SUBSTITUTE(F1276,"" "",""""),""^-?\d+(\.\d+)?""))&gt;=-90,VALUE(REGEXEXTRACT(SUBSTITUTE(F1276,"" "",""""),""^-?\d+(\.\d+)?""))&lt;=90,VALUE(REGEXEXT"&amp;"RACT(SUBSTITUTE(F1276,"" "",""""),""-?\d+(\.\d+)?$""))&gt;=-180,VALUE(REGEXEXTRACT(SUBSTITUTE(F1276,"" "",""""),""-?\d+(\.\d+)?$""))&lt;=180),""OK"",""REVISAR"")"),"#N/A")</f>
        <v>#N/A</v>
      </c>
    </row>
    <row r="1277" ht="15.75" customHeight="1">
      <c r="A1277" s="5" t="str">
        <f t="shared" si="1"/>
        <v>AD507-1275</v>
      </c>
      <c r="C1277" s="5"/>
      <c r="F1277" s="5"/>
      <c r="G1277" s="5" t="str">
        <f t="shared" si="2"/>
        <v/>
      </c>
      <c r="H1277" s="5" t="str">
        <f t="shared" si="3"/>
        <v/>
      </c>
      <c r="I1277" s="5" t="str">
        <f t="shared" si="4"/>
        <v/>
      </c>
      <c r="J1277" s="5" t="str">
        <f t="shared" si="5"/>
        <v/>
      </c>
      <c r="K1277" s="5" t="str">
        <f>IFERROR(__xludf.DUMMYFUNCTION("IF(C1277&lt;&gt;"""",HYPERLINK(""https://wa.me/507""&amp;REGEXREPLACE(C1277,""[^0-9]"","""")&amp;""?text=""&amp;ENCODEURL(""Ya llegue. Codigo: ""&amp;A1277&amp;"". Ubicacion: ""&amp;""https://www.google.com/maps/search/?api=1&amp;query=""&amp;SUBSTITUTE(F1277,"" "","""")),""📲 Avisar al clien"&amp;"te""),"""")"),"")</f>
        <v/>
      </c>
      <c r="L1277" s="5" t="str">
        <f>IFERROR(__xludf.DUMMYFUNCTION("IF(C1277&lt;&gt;"""",""https://api.qrserver.com/v1/create-qr-code/?size=200x200&amp;data=""&amp;ENCODEURL(""https://wa.me/507""&amp;REGEXREPLACE(C1277,""[^0-9]"","""")&amp;""?text=""&amp;ENCODEURL(""Ya llegue. Codigo: ""&amp;A1277&amp;"". Ubicacion: ""&amp;""https://www.google.com/maps/search"&amp;"/?api=1&amp;query=""&amp;SUBSTITUTE(F1277,"" "",""""))),"""")"),"")</f>
        <v/>
      </c>
      <c r="M1277" s="5" t="str">
        <f t="shared" si="6"/>
        <v/>
      </c>
      <c r="N1277" s="5" t="str">
        <f>IFERROR(__xludf.DUMMYFUNCTION("IF(AND(F1277&lt;&gt;"""",REGEXMATCH(SUBSTITUTE(F1277,"" "",""""),""^-?\d+(\.\d+)?,-?\d+(\.\d+)?$""),VALUE(REGEXEXTRACT(SUBSTITUTE(F1277,"" "",""""),""^-?\d+(\.\d+)?""))&gt;=-90,VALUE(REGEXEXTRACT(SUBSTITUTE(F1277,"" "",""""),""^-?\d+(\.\d+)?""))&lt;=90,VALUE(REGEXEXT"&amp;"RACT(SUBSTITUTE(F1277,"" "",""""),""-?\d+(\.\d+)?$""))&gt;=-180,VALUE(REGEXEXTRACT(SUBSTITUTE(F1277,"" "",""""),""-?\d+(\.\d+)?$""))&lt;=180),""OK"",""REVISAR"")"),"#N/A")</f>
        <v>#N/A</v>
      </c>
    </row>
    <row r="1278" ht="15.75" customHeight="1">
      <c r="A1278" s="5" t="str">
        <f t="shared" si="1"/>
        <v>AD507-1276</v>
      </c>
      <c r="C1278" s="5"/>
      <c r="F1278" s="5"/>
      <c r="G1278" s="5" t="str">
        <f t="shared" si="2"/>
        <v/>
      </c>
      <c r="H1278" s="5" t="str">
        <f t="shared" si="3"/>
        <v/>
      </c>
      <c r="I1278" s="5" t="str">
        <f t="shared" si="4"/>
        <v/>
      </c>
      <c r="J1278" s="5" t="str">
        <f t="shared" si="5"/>
        <v/>
      </c>
      <c r="K1278" s="5" t="str">
        <f>IFERROR(__xludf.DUMMYFUNCTION("IF(C1278&lt;&gt;"""",HYPERLINK(""https://wa.me/507""&amp;REGEXREPLACE(C1278,""[^0-9]"","""")&amp;""?text=""&amp;ENCODEURL(""Ya llegue. Codigo: ""&amp;A1278&amp;"". Ubicacion: ""&amp;""https://www.google.com/maps/search/?api=1&amp;query=""&amp;SUBSTITUTE(F1278,"" "","""")),""📲 Avisar al clien"&amp;"te""),"""")"),"")</f>
        <v/>
      </c>
      <c r="L1278" s="5" t="str">
        <f>IFERROR(__xludf.DUMMYFUNCTION("IF(C1278&lt;&gt;"""",""https://api.qrserver.com/v1/create-qr-code/?size=200x200&amp;data=""&amp;ENCODEURL(""https://wa.me/507""&amp;REGEXREPLACE(C1278,""[^0-9]"","""")&amp;""?text=""&amp;ENCODEURL(""Ya llegue. Codigo: ""&amp;A1278&amp;"". Ubicacion: ""&amp;""https://www.google.com/maps/search"&amp;"/?api=1&amp;query=""&amp;SUBSTITUTE(F1278,"" "",""""))),"""")"),"")</f>
        <v/>
      </c>
      <c r="M1278" s="5" t="str">
        <f t="shared" si="6"/>
        <v/>
      </c>
      <c r="N1278" s="5" t="str">
        <f>IFERROR(__xludf.DUMMYFUNCTION("IF(AND(F1278&lt;&gt;"""",REGEXMATCH(SUBSTITUTE(F1278,"" "",""""),""^-?\d+(\.\d+)?,-?\d+(\.\d+)?$""),VALUE(REGEXEXTRACT(SUBSTITUTE(F1278,"" "",""""),""^-?\d+(\.\d+)?""))&gt;=-90,VALUE(REGEXEXTRACT(SUBSTITUTE(F1278,"" "",""""),""^-?\d+(\.\d+)?""))&lt;=90,VALUE(REGEXEXT"&amp;"RACT(SUBSTITUTE(F1278,"" "",""""),""-?\d+(\.\d+)?$""))&gt;=-180,VALUE(REGEXEXTRACT(SUBSTITUTE(F1278,"" "",""""),""-?\d+(\.\d+)?$""))&lt;=180),""OK"",""REVISAR"")"),"#N/A")</f>
        <v>#N/A</v>
      </c>
    </row>
    <row r="1279" ht="15.75" customHeight="1">
      <c r="A1279" s="5" t="str">
        <f t="shared" si="1"/>
        <v>AD507-1277</v>
      </c>
      <c r="C1279" s="5"/>
      <c r="F1279" s="5"/>
      <c r="G1279" s="5" t="str">
        <f t="shared" si="2"/>
        <v/>
      </c>
      <c r="H1279" s="5" t="str">
        <f t="shared" si="3"/>
        <v/>
      </c>
      <c r="I1279" s="5" t="str">
        <f t="shared" si="4"/>
        <v/>
      </c>
      <c r="J1279" s="5" t="str">
        <f t="shared" si="5"/>
        <v/>
      </c>
      <c r="K1279" s="5" t="str">
        <f>IFERROR(__xludf.DUMMYFUNCTION("IF(C1279&lt;&gt;"""",HYPERLINK(""https://wa.me/507""&amp;REGEXREPLACE(C1279,""[^0-9]"","""")&amp;""?text=""&amp;ENCODEURL(""Ya llegue. Codigo: ""&amp;A1279&amp;"". Ubicacion: ""&amp;""https://www.google.com/maps/search/?api=1&amp;query=""&amp;SUBSTITUTE(F1279,"" "","""")),""📲 Avisar al clien"&amp;"te""),"""")"),"")</f>
        <v/>
      </c>
      <c r="L1279" s="5" t="str">
        <f>IFERROR(__xludf.DUMMYFUNCTION("IF(C1279&lt;&gt;"""",""https://api.qrserver.com/v1/create-qr-code/?size=200x200&amp;data=""&amp;ENCODEURL(""https://wa.me/507""&amp;REGEXREPLACE(C1279,""[^0-9]"","""")&amp;""?text=""&amp;ENCODEURL(""Ya llegue. Codigo: ""&amp;A1279&amp;"". Ubicacion: ""&amp;""https://www.google.com/maps/search"&amp;"/?api=1&amp;query=""&amp;SUBSTITUTE(F1279,"" "",""""))),"""")"),"")</f>
        <v/>
      </c>
      <c r="M1279" s="5" t="str">
        <f t="shared" si="6"/>
        <v/>
      </c>
      <c r="N1279" s="5" t="str">
        <f>IFERROR(__xludf.DUMMYFUNCTION("IF(AND(F1279&lt;&gt;"""",REGEXMATCH(SUBSTITUTE(F1279,"" "",""""),""^-?\d+(\.\d+)?,-?\d+(\.\d+)?$""),VALUE(REGEXEXTRACT(SUBSTITUTE(F1279,"" "",""""),""^-?\d+(\.\d+)?""))&gt;=-90,VALUE(REGEXEXTRACT(SUBSTITUTE(F1279,"" "",""""),""^-?\d+(\.\d+)?""))&lt;=90,VALUE(REGEXEXT"&amp;"RACT(SUBSTITUTE(F1279,"" "",""""),""-?\d+(\.\d+)?$""))&gt;=-180,VALUE(REGEXEXTRACT(SUBSTITUTE(F1279,"" "",""""),""-?\d+(\.\d+)?$""))&lt;=180),""OK"",""REVISAR"")"),"#N/A")</f>
        <v>#N/A</v>
      </c>
    </row>
    <row r="1280" ht="15.75" customHeight="1">
      <c r="A1280" s="5" t="str">
        <f t="shared" si="1"/>
        <v>AD507-1278</v>
      </c>
      <c r="C1280" s="5"/>
      <c r="F1280" s="5"/>
      <c r="G1280" s="5" t="str">
        <f t="shared" si="2"/>
        <v/>
      </c>
      <c r="H1280" s="5" t="str">
        <f t="shared" si="3"/>
        <v/>
      </c>
      <c r="I1280" s="5" t="str">
        <f t="shared" si="4"/>
        <v/>
      </c>
      <c r="J1280" s="5" t="str">
        <f t="shared" si="5"/>
        <v/>
      </c>
      <c r="K1280" s="5" t="str">
        <f>IFERROR(__xludf.DUMMYFUNCTION("IF(C1280&lt;&gt;"""",HYPERLINK(""https://wa.me/507""&amp;REGEXREPLACE(C1280,""[^0-9]"","""")&amp;""?text=""&amp;ENCODEURL(""Ya llegue. Codigo: ""&amp;A1280&amp;"". Ubicacion: ""&amp;""https://www.google.com/maps/search/?api=1&amp;query=""&amp;SUBSTITUTE(F1280,"" "","""")),""📲 Avisar al clien"&amp;"te""),"""")"),"")</f>
        <v/>
      </c>
      <c r="L1280" s="5" t="str">
        <f>IFERROR(__xludf.DUMMYFUNCTION("IF(C1280&lt;&gt;"""",""https://api.qrserver.com/v1/create-qr-code/?size=200x200&amp;data=""&amp;ENCODEURL(""https://wa.me/507""&amp;REGEXREPLACE(C1280,""[^0-9]"","""")&amp;""?text=""&amp;ENCODEURL(""Ya llegue. Codigo: ""&amp;A1280&amp;"". Ubicacion: ""&amp;""https://www.google.com/maps/search"&amp;"/?api=1&amp;query=""&amp;SUBSTITUTE(F1280,"" "",""""))),"""")"),"")</f>
        <v/>
      </c>
      <c r="M1280" s="5" t="str">
        <f t="shared" si="6"/>
        <v/>
      </c>
      <c r="N1280" s="5" t="str">
        <f>IFERROR(__xludf.DUMMYFUNCTION("IF(AND(F1280&lt;&gt;"""",REGEXMATCH(SUBSTITUTE(F1280,"" "",""""),""^-?\d+(\.\d+)?,-?\d+(\.\d+)?$""),VALUE(REGEXEXTRACT(SUBSTITUTE(F1280,"" "",""""),""^-?\d+(\.\d+)?""))&gt;=-90,VALUE(REGEXEXTRACT(SUBSTITUTE(F1280,"" "",""""),""^-?\d+(\.\d+)?""))&lt;=90,VALUE(REGEXEXT"&amp;"RACT(SUBSTITUTE(F1280,"" "",""""),""-?\d+(\.\d+)?$""))&gt;=-180,VALUE(REGEXEXTRACT(SUBSTITUTE(F1280,"" "",""""),""-?\d+(\.\d+)?$""))&lt;=180),""OK"",""REVISAR"")"),"#N/A")</f>
        <v>#N/A</v>
      </c>
    </row>
    <row r="1281" ht="15.75" customHeight="1">
      <c r="A1281" s="5" t="str">
        <f t="shared" si="1"/>
        <v>AD507-1279</v>
      </c>
      <c r="C1281" s="5"/>
      <c r="F1281" s="5"/>
      <c r="G1281" s="5" t="str">
        <f t="shared" si="2"/>
        <v/>
      </c>
      <c r="H1281" s="5" t="str">
        <f t="shared" si="3"/>
        <v/>
      </c>
      <c r="I1281" s="5" t="str">
        <f t="shared" si="4"/>
        <v/>
      </c>
      <c r="J1281" s="5" t="str">
        <f t="shared" si="5"/>
        <v/>
      </c>
      <c r="K1281" s="5" t="str">
        <f>IFERROR(__xludf.DUMMYFUNCTION("IF(C1281&lt;&gt;"""",HYPERLINK(""https://wa.me/507""&amp;REGEXREPLACE(C1281,""[^0-9]"","""")&amp;""?text=""&amp;ENCODEURL(""Ya llegue. Codigo: ""&amp;A1281&amp;"". Ubicacion: ""&amp;""https://www.google.com/maps/search/?api=1&amp;query=""&amp;SUBSTITUTE(F1281,"" "","""")),""📲 Avisar al clien"&amp;"te""),"""")"),"")</f>
        <v/>
      </c>
      <c r="L1281" s="5" t="str">
        <f>IFERROR(__xludf.DUMMYFUNCTION("IF(C1281&lt;&gt;"""",""https://api.qrserver.com/v1/create-qr-code/?size=200x200&amp;data=""&amp;ENCODEURL(""https://wa.me/507""&amp;REGEXREPLACE(C1281,""[^0-9]"","""")&amp;""?text=""&amp;ENCODEURL(""Ya llegue. Codigo: ""&amp;A1281&amp;"". Ubicacion: ""&amp;""https://www.google.com/maps/search"&amp;"/?api=1&amp;query=""&amp;SUBSTITUTE(F1281,"" "",""""))),"""")"),"")</f>
        <v/>
      </c>
      <c r="M1281" s="5" t="str">
        <f t="shared" si="6"/>
        <v/>
      </c>
      <c r="N1281" s="5" t="str">
        <f>IFERROR(__xludf.DUMMYFUNCTION("IF(AND(F1281&lt;&gt;"""",REGEXMATCH(SUBSTITUTE(F1281,"" "",""""),""^-?\d+(\.\d+)?,-?\d+(\.\d+)?$""),VALUE(REGEXEXTRACT(SUBSTITUTE(F1281,"" "",""""),""^-?\d+(\.\d+)?""))&gt;=-90,VALUE(REGEXEXTRACT(SUBSTITUTE(F1281,"" "",""""),""^-?\d+(\.\d+)?""))&lt;=90,VALUE(REGEXEXT"&amp;"RACT(SUBSTITUTE(F1281,"" "",""""),""-?\d+(\.\d+)?$""))&gt;=-180,VALUE(REGEXEXTRACT(SUBSTITUTE(F1281,"" "",""""),""-?\d+(\.\d+)?$""))&lt;=180),""OK"",""REVISAR"")"),"#N/A")</f>
        <v>#N/A</v>
      </c>
    </row>
    <row r="1282" ht="15.75" customHeight="1">
      <c r="A1282" s="5" t="str">
        <f t="shared" si="1"/>
        <v>AD507-1280</v>
      </c>
      <c r="C1282" s="5"/>
      <c r="F1282" s="5"/>
      <c r="G1282" s="5" t="str">
        <f t="shared" si="2"/>
        <v/>
      </c>
      <c r="H1282" s="5" t="str">
        <f t="shared" si="3"/>
        <v/>
      </c>
      <c r="I1282" s="5" t="str">
        <f t="shared" si="4"/>
        <v/>
      </c>
      <c r="J1282" s="5" t="str">
        <f t="shared" si="5"/>
        <v/>
      </c>
      <c r="K1282" s="5" t="str">
        <f>IFERROR(__xludf.DUMMYFUNCTION("IF(C1282&lt;&gt;"""",HYPERLINK(""https://wa.me/507""&amp;REGEXREPLACE(C1282,""[^0-9]"","""")&amp;""?text=""&amp;ENCODEURL(""Ya llegue. Codigo: ""&amp;A1282&amp;"". Ubicacion: ""&amp;""https://www.google.com/maps/search/?api=1&amp;query=""&amp;SUBSTITUTE(F1282,"" "","""")),""📲 Avisar al clien"&amp;"te""),"""")"),"")</f>
        <v/>
      </c>
      <c r="L1282" s="5" t="str">
        <f>IFERROR(__xludf.DUMMYFUNCTION("IF(C1282&lt;&gt;"""",""https://api.qrserver.com/v1/create-qr-code/?size=200x200&amp;data=""&amp;ENCODEURL(""https://wa.me/507""&amp;REGEXREPLACE(C1282,""[^0-9]"","""")&amp;""?text=""&amp;ENCODEURL(""Ya llegue. Codigo: ""&amp;A1282&amp;"". Ubicacion: ""&amp;""https://www.google.com/maps/search"&amp;"/?api=1&amp;query=""&amp;SUBSTITUTE(F1282,"" "",""""))),"""")"),"")</f>
        <v/>
      </c>
      <c r="M1282" s="5" t="str">
        <f t="shared" si="6"/>
        <v/>
      </c>
      <c r="N1282" s="5" t="str">
        <f>IFERROR(__xludf.DUMMYFUNCTION("IF(AND(F1282&lt;&gt;"""",REGEXMATCH(SUBSTITUTE(F1282,"" "",""""),""^-?\d+(\.\d+)?,-?\d+(\.\d+)?$""),VALUE(REGEXEXTRACT(SUBSTITUTE(F1282,"" "",""""),""^-?\d+(\.\d+)?""))&gt;=-90,VALUE(REGEXEXTRACT(SUBSTITUTE(F1282,"" "",""""),""^-?\d+(\.\d+)?""))&lt;=90,VALUE(REGEXEXT"&amp;"RACT(SUBSTITUTE(F1282,"" "",""""),""-?\d+(\.\d+)?$""))&gt;=-180,VALUE(REGEXEXTRACT(SUBSTITUTE(F1282,"" "",""""),""-?\d+(\.\d+)?$""))&lt;=180),""OK"",""REVISAR"")"),"#N/A")</f>
        <v>#N/A</v>
      </c>
    </row>
    <row r="1283" ht="15.75" customHeight="1">
      <c r="A1283" s="5" t="str">
        <f t="shared" si="1"/>
        <v>AD507-1281</v>
      </c>
      <c r="C1283" s="5"/>
      <c r="F1283" s="5"/>
      <c r="G1283" s="5" t="str">
        <f t="shared" si="2"/>
        <v/>
      </c>
      <c r="H1283" s="5" t="str">
        <f t="shared" si="3"/>
        <v/>
      </c>
      <c r="I1283" s="5" t="str">
        <f t="shared" si="4"/>
        <v/>
      </c>
      <c r="J1283" s="5" t="str">
        <f t="shared" si="5"/>
        <v/>
      </c>
      <c r="K1283" s="5" t="str">
        <f>IFERROR(__xludf.DUMMYFUNCTION("IF(C1283&lt;&gt;"""",HYPERLINK(""https://wa.me/507""&amp;REGEXREPLACE(C1283,""[^0-9]"","""")&amp;""?text=""&amp;ENCODEURL(""Ya llegue. Codigo: ""&amp;A1283&amp;"". Ubicacion: ""&amp;""https://www.google.com/maps/search/?api=1&amp;query=""&amp;SUBSTITUTE(F1283,"" "","""")),""📲 Avisar al clien"&amp;"te""),"""")"),"")</f>
        <v/>
      </c>
      <c r="L1283" s="5" t="str">
        <f>IFERROR(__xludf.DUMMYFUNCTION("IF(C1283&lt;&gt;"""",""https://api.qrserver.com/v1/create-qr-code/?size=200x200&amp;data=""&amp;ENCODEURL(""https://wa.me/507""&amp;REGEXREPLACE(C1283,""[^0-9]"","""")&amp;""?text=""&amp;ENCODEURL(""Ya llegue. Codigo: ""&amp;A1283&amp;"". Ubicacion: ""&amp;""https://www.google.com/maps/search"&amp;"/?api=1&amp;query=""&amp;SUBSTITUTE(F1283,"" "",""""))),"""")"),"")</f>
        <v/>
      </c>
      <c r="M1283" s="5" t="str">
        <f t="shared" si="6"/>
        <v/>
      </c>
      <c r="N1283" s="5" t="str">
        <f>IFERROR(__xludf.DUMMYFUNCTION("IF(AND(F1283&lt;&gt;"""",REGEXMATCH(SUBSTITUTE(F1283,"" "",""""),""^-?\d+(\.\d+)?,-?\d+(\.\d+)?$""),VALUE(REGEXEXTRACT(SUBSTITUTE(F1283,"" "",""""),""^-?\d+(\.\d+)?""))&gt;=-90,VALUE(REGEXEXTRACT(SUBSTITUTE(F1283,"" "",""""),""^-?\d+(\.\d+)?""))&lt;=90,VALUE(REGEXEXT"&amp;"RACT(SUBSTITUTE(F1283,"" "",""""),""-?\d+(\.\d+)?$""))&gt;=-180,VALUE(REGEXEXTRACT(SUBSTITUTE(F1283,"" "",""""),""-?\d+(\.\d+)?$""))&lt;=180),""OK"",""REVISAR"")"),"#N/A")</f>
        <v>#N/A</v>
      </c>
    </row>
    <row r="1284" ht="15.75" customHeight="1">
      <c r="A1284" s="5" t="str">
        <f t="shared" si="1"/>
        <v>AD507-1282</v>
      </c>
      <c r="C1284" s="5"/>
      <c r="F1284" s="5"/>
      <c r="G1284" s="5" t="str">
        <f t="shared" si="2"/>
        <v/>
      </c>
      <c r="H1284" s="5" t="str">
        <f t="shared" si="3"/>
        <v/>
      </c>
      <c r="I1284" s="5" t="str">
        <f t="shared" si="4"/>
        <v/>
      </c>
      <c r="J1284" s="5" t="str">
        <f t="shared" si="5"/>
        <v/>
      </c>
      <c r="K1284" s="5" t="str">
        <f>IFERROR(__xludf.DUMMYFUNCTION("IF(C1284&lt;&gt;"""",HYPERLINK(""https://wa.me/507""&amp;REGEXREPLACE(C1284,""[^0-9]"","""")&amp;""?text=""&amp;ENCODEURL(""Ya llegue. Codigo: ""&amp;A1284&amp;"". Ubicacion: ""&amp;""https://www.google.com/maps/search/?api=1&amp;query=""&amp;SUBSTITUTE(F1284,"" "","""")),""📲 Avisar al clien"&amp;"te""),"""")"),"")</f>
        <v/>
      </c>
      <c r="L1284" s="5" t="str">
        <f>IFERROR(__xludf.DUMMYFUNCTION("IF(C1284&lt;&gt;"""",""https://api.qrserver.com/v1/create-qr-code/?size=200x200&amp;data=""&amp;ENCODEURL(""https://wa.me/507""&amp;REGEXREPLACE(C1284,""[^0-9]"","""")&amp;""?text=""&amp;ENCODEURL(""Ya llegue. Codigo: ""&amp;A1284&amp;"". Ubicacion: ""&amp;""https://www.google.com/maps/search"&amp;"/?api=1&amp;query=""&amp;SUBSTITUTE(F1284,"" "",""""))),"""")"),"")</f>
        <v/>
      </c>
      <c r="M1284" s="5" t="str">
        <f t="shared" si="6"/>
        <v/>
      </c>
      <c r="N1284" s="5" t="str">
        <f>IFERROR(__xludf.DUMMYFUNCTION("IF(AND(F1284&lt;&gt;"""",REGEXMATCH(SUBSTITUTE(F1284,"" "",""""),""^-?\d+(\.\d+)?,-?\d+(\.\d+)?$""),VALUE(REGEXEXTRACT(SUBSTITUTE(F1284,"" "",""""),""^-?\d+(\.\d+)?""))&gt;=-90,VALUE(REGEXEXTRACT(SUBSTITUTE(F1284,"" "",""""),""^-?\d+(\.\d+)?""))&lt;=90,VALUE(REGEXEXT"&amp;"RACT(SUBSTITUTE(F1284,"" "",""""),""-?\d+(\.\d+)?$""))&gt;=-180,VALUE(REGEXEXTRACT(SUBSTITUTE(F1284,"" "",""""),""-?\d+(\.\d+)?$""))&lt;=180),""OK"",""REVISAR"")"),"#N/A")</f>
        <v>#N/A</v>
      </c>
    </row>
    <row r="1285" ht="15.75" customHeight="1">
      <c r="A1285" s="5" t="str">
        <f t="shared" si="1"/>
        <v>AD507-1283</v>
      </c>
      <c r="C1285" s="5"/>
      <c r="F1285" s="5"/>
      <c r="G1285" s="5" t="str">
        <f t="shared" si="2"/>
        <v/>
      </c>
      <c r="H1285" s="5" t="str">
        <f t="shared" si="3"/>
        <v/>
      </c>
      <c r="I1285" s="5" t="str">
        <f t="shared" si="4"/>
        <v/>
      </c>
      <c r="J1285" s="5" t="str">
        <f t="shared" si="5"/>
        <v/>
      </c>
      <c r="K1285" s="5" t="str">
        <f>IFERROR(__xludf.DUMMYFUNCTION("IF(C1285&lt;&gt;"""",HYPERLINK(""https://wa.me/507""&amp;REGEXREPLACE(C1285,""[^0-9]"","""")&amp;""?text=""&amp;ENCODEURL(""Ya llegue. Codigo: ""&amp;A1285&amp;"". Ubicacion: ""&amp;""https://www.google.com/maps/search/?api=1&amp;query=""&amp;SUBSTITUTE(F1285,"" "","""")),""📲 Avisar al clien"&amp;"te""),"""")"),"")</f>
        <v/>
      </c>
      <c r="L1285" s="5" t="str">
        <f>IFERROR(__xludf.DUMMYFUNCTION("IF(C1285&lt;&gt;"""",""https://api.qrserver.com/v1/create-qr-code/?size=200x200&amp;data=""&amp;ENCODEURL(""https://wa.me/507""&amp;REGEXREPLACE(C1285,""[^0-9]"","""")&amp;""?text=""&amp;ENCODEURL(""Ya llegue. Codigo: ""&amp;A1285&amp;"". Ubicacion: ""&amp;""https://www.google.com/maps/search"&amp;"/?api=1&amp;query=""&amp;SUBSTITUTE(F1285,"" "",""""))),"""")"),"")</f>
        <v/>
      </c>
      <c r="M1285" s="5" t="str">
        <f t="shared" si="6"/>
        <v/>
      </c>
      <c r="N1285" s="5" t="str">
        <f>IFERROR(__xludf.DUMMYFUNCTION("IF(AND(F1285&lt;&gt;"""",REGEXMATCH(SUBSTITUTE(F1285,"" "",""""),""^-?\d+(\.\d+)?,-?\d+(\.\d+)?$""),VALUE(REGEXEXTRACT(SUBSTITUTE(F1285,"" "",""""),""^-?\d+(\.\d+)?""))&gt;=-90,VALUE(REGEXEXTRACT(SUBSTITUTE(F1285,"" "",""""),""^-?\d+(\.\d+)?""))&lt;=90,VALUE(REGEXEXT"&amp;"RACT(SUBSTITUTE(F1285,"" "",""""),""-?\d+(\.\d+)?$""))&gt;=-180,VALUE(REGEXEXTRACT(SUBSTITUTE(F1285,"" "",""""),""-?\d+(\.\d+)?$""))&lt;=180),""OK"",""REVISAR"")"),"#N/A")</f>
        <v>#N/A</v>
      </c>
    </row>
    <row r="1286" ht="15.75" customHeight="1">
      <c r="A1286" s="5" t="str">
        <f t="shared" si="1"/>
        <v>AD507-1284</v>
      </c>
      <c r="C1286" s="5"/>
      <c r="F1286" s="5"/>
      <c r="G1286" s="5" t="str">
        <f t="shared" si="2"/>
        <v/>
      </c>
      <c r="H1286" s="5" t="str">
        <f t="shared" si="3"/>
        <v/>
      </c>
      <c r="I1286" s="5" t="str">
        <f t="shared" si="4"/>
        <v/>
      </c>
      <c r="J1286" s="5" t="str">
        <f t="shared" si="5"/>
        <v/>
      </c>
      <c r="K1286" s="5" t="str">
        <f>IFERROR(__xludf.DUMMYFUNCTION("IF(C1286&lt;&gt;"""",HYPERLINK(""https://wa.me/507""&amp;REGEXREPLACE(C1286,""[^0-9]"","""")&amp;""?text=""&amp;ENCODEURL(""Ya llegue. Codigo: ""&amp;A1286&amp;"". Ubicacion: ""&amp;""https://www.google.com/maps/search/?api=1&amp;query=""&amp;SUBSTITUTE(F1286,"" "","""")),""📲 Avisar al clien"&amp;"te""),"""")"),"")</f>
        <v/>
      </c>
      <c r="L1286" s="5" t="str">
        <f>IFERROR(__xludf.DUMMYFUNCTION("IF(C1286&lt;&gt;"""",""https://api.qrserver.com/v1/create-qr-code/?size=200x200&amp;data=""&amp;ENCODEURL(""https://wa.me/507""&amp;REGEXREPLACE(C1286,""[^0-9]"","""")&amp;""?text=""&amp;ENCODEURL(""Ya llegue. Codigo: ""&amp;A1286&amp;"". Ubicacion: ""&amp;""https://www.google.com/maps/search"&amp;"/?api=1&amp;query=""&amp;SUBSTITUTE(F1286,"" "",""""))),"""")"),"")</f>
        <v/>
      </c>
      <c r="M1286" s="5" t="str">
        <f t="shared" si="6"/>
        <v/>
      </c>
      <c r="N1286" s="5" t="str">
        <f>IFERROR(__xludf.DUMMYFUNCTION("IF(AND(F1286&lt;&gt;"""",REGEXMATCH(SUBSTITUTE(F1286,"" "",""""),""^-?\d+(\.\d+)?,-?\d+(\.\d+)?$""),VALUE(REGEXEXTRACT(SUBSTITUTE(F1286,"" "",""""),""^-?\d+(\.\d+)?""))&gt;=-90,VALUE(REGEXEXTRACT(SUBSTITUTE(F1286,"" "",""""),""^-?\d+(\.\d+)?""))&lt;=90,VALUE(REGEXEXT"&amp;"RACT(SUBSTITUTE(F1286,"" "",""""),""-?\d+(\.\d+)?$""))&gt;=-180,VALUE(REGEXEXTRACT(SUBSTITUTE(F1286,"" "",""""),""-?\d+(\.\d+)?$""))&lt;=180),""OK"",""REVISAR"")"),"#N/A")</f>
        <v>#N/A</v>
      </c>
    </row>
    <row r="1287" ht="15.75" customHeight="1">
      <c r="A1287" s="5" t="str">
        <f t="shared" si="1"/>
        <v>AD507-1285</v>
      </c>
      <c r="C1287" s="5"/>
      <c r="F1287" s="5"/>
      <c r="G1287" s="5" t="str">
        <f t="shared" si="2"/>
        <v/>
      </c>
      <c r="H1287" s="5" t="str">
        <f t="shared" si="3"/>
        <v/>
      </c>
      <c r="I1287" s="5" t="str">
        <f t="shared" si="4"/>
        <v/>
      </c>
      <c r="J1287" s="5" t="str">
        <f t="shared" si="5"/>
        <v/>
      </c>
      <c r="K1287" s="5" t="str">
        <f>IFERROR(__xludf.DUMMYFUNCTION("IF(C1287&lt;&gt;"""",HYPERLINK(""https://wa.me/507""&amp;REGEXREPLACE(C1287,""[^0-9]"","""")&amp;""?text=""&amp;ENCODEURL(""Ya llegue. Codigo: ""&amp;A1287&amp;"". Ubicacion: ""&amp;""https://www.google.com/maps/search/?api=1&amp;query=""&amp;SUBSTITUTE(F1287,"" "","""")),""📲 Avisar al clien"&amp;"te""),"""")"),"")</f>
        <v/>
      </c>
      <c r="L1287" s="5" t="str">
        <f>IFERROR(__xludf.DUMMYFUNCTION("IF(C1287&lt;&gt;"""",""https://api.qrserver.com/v1/create-qr-code/?size=200x200&amp;data=""&amp;ENCODEURL(""https://wa.me/507""&amp;REGEXREPLACE(C1287,""[^0-9]"","""")&amp;""?text=""&amp;ENCODEURL(""Ya llegue. Codigo: ""&amp;A1287&amp;"". Ubicacion: ""&amp;""https://www.google.com/maps/search"&amp;"/?api=1&amp;query=""&amp;SUBSTITUTE(F1287,"" "",""""))),"""")"),"")</f>
        <v/>
      </c>
      <c r="M1287" s="5" t="str">
        <f t="shared" si="6"/>
        <v/>
      </c>
      <c r="N1287" s="5" t="str">
        <f>IFERROR(__xludf.DUMMYFUNCTION("IF(AND(F1287&lt;&gt;"""",REGEXMATCH(SUBSTITUTE(F1287,"" "",""""),""^-?\d+(\.\d+)?,-?\d+(\.\d+)?$""),VALUE(REGEXEXTRACT(SUBSTITUTE(F1287,"" "",""""),""^-?\d+(\.\d+)?""))&gt;=-90,VALUE(REGEXEXTRACT(SUBSTITUTE(F1287,"" "",""""),""^-?\d+(\.\d+)?""))&lt;=90,VALUE(REGEXEXT"&amp;"RACT(SUBSTITUTE(F1287,"" "",""""),""-?\d+(\.\d+)?$""))&gt;=-180,VALUE(REGEXEXTRACT(SUBSTITUTE(F1287,"" "",""""),""-?\d+(\.\d+)?$""))&lt;=180),""OK"",""REVISAR"")"),"#N/A")</f>
        <v>#N/A</v>
      </c>
    </row>
    <row r="1288" ht="15.75" customHeight="1">
      <c r="A1288" s="5" t="str">
        <f t="shared" si="1"/>
        <v>AD507-1286</v>
      </c>
      <c r="C1288" s="5"/>
      <c r="F1288" s="5"/>
      <c r="G1288" s="5" t="str">
        <f t="shared" si="2"/>
        <v/>
      </c>
      <c r="H1288" s="5" t="str">
        <f t="shared" si="3"/>
        <v/>
      </c>
      <c r="I1288" s="5" t="str">
        <f t="shared" si="4"/>
        <v/>
      </c>
      <c r="J1288" s="5" t="str">
        <f t="shared" si="5"/>
        <v/>
      </c>
      <c r="K1288" s="5" t="str">
        <f>IFERROR(__xludf.DUMMYFUNCTION("IF(C1288&lt;&gt;"""",HYPERLINK(""https://wa.me/507""&amp;REGEXREPLACE(C1288,""[^0-9]"","""")&amp;""?text=""&amp;ENCODEURL(""Ya llegue. Codigo: ""&amp;A1288&amp;"". Ubicacion: ""&amp;""https://www.google.com/maps/search/?api=1&amp;query=""&amp;SUBSTITUTE(F1288,"" "","""")),""📲 Avisar al clien"&amp;"te""),"""")"),"")</f>
        <v/>
      </c>
      <c r="L1288" s="5" t="str">
        <f>IFERROR(__xludf.DUMMYFUNCTION("IF(C1288&lt;&gt;"""",""https://api.qrserver.com/v1/create-qr-code/?size=200x200&amp;data=""&amp;ENCODEURL(""https://wa.me/507""&amp;REGEXREPLACE(C1288,""[^0-9]"","""")&amp;""?text=""&amp;ENCODEURL(""Ya llegue. Codigo: ""&amp;A1288&amp;"". Ubicacion: ""&amp;""https://www.google.com/maps/search"&amp;"/?api=1&amp;query=""&amp;SUBSTITUTE(F1288,"" "",""""))),"""")"),"")</f>
        <v/>
      </c>
      <c r="M1288" s="5" t="str">
        <f t="shared" si="6"/>
        <v/>
      </c>
      <c r="N1288" s="5" t="str">
        <f>IFERROR(__xludf.DUMMYFUNCTION("IF(AND(F1288&lt;&gt;"""",REGEXMATCH(SUBSTITUTE(F1288,"" "",""""),""^-?\d+(\.\d+)?,-?\d+(\.\d+)?$""),VALUE(REGEXEXTRACT(SUBSTITUTE(F1288,"" "",""""),""^-?\d+(\.\d+)?""))&gt;=-90,VALUE(REGEXEXTRACT(SUBSTITUTE(F1288,"" "",""""),""^-?\d+(\.\d+)?""))&lt;=90,VALUE(REGEXEXT"&amp;"RACT(SUBSTITUTE(F1288,"" "",""""),""-?\d+(\.\d+)?$""))&gt;=-180,VALUE(REGEXEXTRACT(SUBSTITUTE(F1288,"" "",""""),""-?\d+(\.\d+)?$""))&lt;=180),""OK"",""REVISAR"")"),"#N/A")</f>
        <v>#N/A</v>
      </c>
    </row>
    <row r="1289" ht="15.75" customHeight="1">
      <c r="A1289" s="5" t="str">
        <f t="shared" si="1"/>
        <v>AD507-1287</v>
      </c>
      <c r="C1289" s="5"/>
      <c r="F1289" s="5"/>
      <c r="G1289" s="5" t="str">
        <f t="shared" si="2"/>
        <v/>
      </c>
      <c r="H1289" s="5" t="str">
        <f t="shared" si="3"/>
        <v/>
      </c>
      <c r="I1289" s="5" t="str">
        <f t="shared" si="4"/>
        <v/>
      </c>
      <c r="J1289" s="5" t="str">
        <f t="shared" si="5"/>
        <v/>
      </c>
      <c r="K1289" s="5" t="str">
        <f>IFERROR(__xludf.DUMMYFUNCTION("IF(C1289&lt;&gt;"""",HYPERLINK(""https://wa.me/507""&amp;REGEXREPLACE(C1289,""[^0-9]"","""")&amp;""?text=""&amp;ENCODEURL(""Ya llegue. Codigo: ""&amp;A1289&amp;"". Ubicacion: ""&amp;""https://www.google.com/maps/search/?api=1&amp;query=""&amp;SUBSTITUTE(F1289,"" "","""")),""📲 Avisar al clien"&amp;"te""),"""")"),"")</f>
        <v/>
      </c>
      <c r="L1289" s="5" t="str">
        <f>IFERROR(__xludf.DUMMYFUNCTION("IF(C1289&lt;&gt;"""",""https://api.qrserver.com/v1/create-qr-code/?size=200x200&amp;data=""&amp;ENCODEURL(""https://wa.me/507""&amp;REGEXREPLACE(C1289,""[^0-9]"","""")&amp;""?text=""&amp;ENCODEURL(""Ya llegue. Codigo: ""&amp;A1289&amp;"". Ubicacion: ""&amp;""https://www.google.com/maps/search"&amp;"/?api=1&amp;query=""&amp;SUBSTITUTE(F1289,"" "",""""))),"""")"),"")</f>
        <v/>
      </c>
      <c r="M1289" s="5" t="str">
        <f t="shared" si="6"/>
        <v/>
      </c>
      <c r="N1289" s="5" t="str">
        <f>IFERROR(__xludf.DUMMYFUNCTION("IF(AND(F1289&lt;&gt;"""",REGEXMATCH(SUBSTITUTE(F1289,"" "",""""),""^-?\d+(\.\d+)?,-?\d+(\.\d+)?$""),VALUE(REGEXEXTRACT(SUBSTITUTE(F1289,"" "",""""),""^-?\d+(\.\d+)?""))&gt;=-90,VALUE(REGEXEXTRACT(SUBSTITUTE(F1289,"" "",""""),""^-?\d+(\.\d+)?""))&lt;=90,VALUE(REGEXEXT"&amp;"RACT(SUBSTITUTE(F1289,"" "",""""),""-?\d+(\.\d+)?$""))&gt;=-180,VALUE(REGEXEXTRACT(SUBSTITUTE(F1289,"" "",""""),""-?\d+(\.\d+)?$""))&lt;=180),""OK"",""REVISAR"")"),"#N/A")</f>
        <v>#N/A</v>
      </c>
    </row>
    <row r="1290" ht="15.75" customHeight="1">
      <c r="A1290" s="5" t="str">
        <f t="shared" si="1"/>
        <v>AD507-1288</v>
      </c>
      <c r="C1290" s="5"/>
      <c r="F1290" s="5"/>
      <c r="G1290" s="5" t="str">
        <f t="shared" si="2"/>
        <v/>
      </c>
      <c r="H1290" s="5" t="str">
        <f t="shared" si="3"/>
        <v/>
      </c>
      <c r="I1290" s="5" t="str">
        <f t="shared" si="4"/>
        <v/>
      </c>
      <c r="J1290" s="5" t="str">
        <f t="shared" si="5"/>
        <v/>
      </c>
      <c r="K1290" s="5" t="str">
        <f>IFERROR(__xludf.DUMMYFUNCTION("IF(C1290&lt;&gt;"""",HYPERLINK(""https://wa.me/507""&amp;REGEXREPLACE(C1290,""[^0-9]"","""")&amp;""?text=""&amp;ENCODEURL(""Ya llegue. Codigo: ""&amp;A1290&amp;"". Ubicacion: ""&amp;""https://www.google.com/maps/search/?api=1&amp;query=""&amp;SUBSTITUTE(F1290,"" "","""")),""📲 Avisar al clien"&amp;"te""),"""")"),"")</f>
        <v/>
      </c>
      <c r="L1290" s="5" t="str">
        <f>IFERROR(__xludf.DUMMYFUNCTION("IF(C1290&lt;&gt;"""",""https://api.qrserver.com/v1/create-qr-code/?size=200x200&amp;data=""&amp;ENCODEURL(""https://wa.me/507""&amp;REGEXREPLACE(C1290,""[^0-9]"","""")&amp;""?text=""&amp;ENCODEURL(""Ya llegue. Codigo: ""&amp;A1290&amp;"". Ubicacion: ""&amp;""https://www.google.com/maps/search"&amp;"/?api=1&amp;query=""&amp;SUBSTITUTE(F1290,"" "",""""))),"""")"),"")</f>
        <v/>
      </c>
      <c r="M1290" s="5" t="str">
        <f t="shared" si="6"/>
        <v/>
      </c>
      <c r="N1290" s="5" t="str">
        <f>IFERROR(__xludf.DUMMYFUNCTION("IF(AND(F1290&lt;&gt;"""",REGEXMATCH(SUBSTITUTE(F1290,"" "",""""),""^-?\d+(\.\d+)?,-?\d+(\.\d+)?$""),VALUE(REGEXEXTRACT(SUBSTITUTE(F1290,"" "",""""),""^-?\d+(\.\d+)?""))&gt;=-90,VALUE(REGEXEXTRACT(SUBSTITUTE(F1290,"" "",""""),""^-?\d+(\.\d+)?""))&lt;=90,VALUE(REGEXEXT"&amp;"RACT(SUBSTITUTE(F1290,"" "",""""),""-?\d+(\.\d+)?$""))&gt;=-180,VALUE(REGEXEXTRACT(SUBSTITUTE(F1290,"" "",""""),""-?\d+(\.\d+)?$""))&lt;=180),""OK"",""REVISAR"")"),"#N/A")</f>
        <v>#N/A</v>
      </c>
    </row>
    <row r="1291" ht="15.75" customHeight="1">
      <c r="A1291" s="5" t="str">
        <f t="shared" si="1"/>
        <v>AD507-1289</v>
      </c>
      <c r="C1291" s="5"/>
      <c r="F1291" s="5"/>
      <c r="G1291" s="5" t="str">
        <f t="shared" si="2"/>
        <v/>
      </c>
      <c r="H1291" s="5" t="str">
        <f t="shared" si="3"/>
        <v/>
      </c>
      <c r="I1291" s="5" t="str">
        <f t="shared" si="4"/>
        <v/>
      </c>
      <c r="J1291" s="5" t="str">
        <f t="shared" si="5"/>
        <v/>
      </c>
      <c r="K1291" s="5" t="str">
        <f>IFERROR(__xludf.DUMMYFUNCTION("IF(C1291&lt;&gt;"""",HYPERLINK(""https://wa.me/507""&amp;REGEXREPLACE(C1291,""[^0-9]"","""")&amp;""?text=""&amp;ENCODEURL(""Ya llegue. Codigo: ""&amp;A1291&amp;"". Ubicacion: ""&amp;""https://www.google.com/maps/search/?api=1&amp;query=""&amp;SUBSTITUTE(F1291,"" "","""")),""📲 Avisar al clien"&amp;"te""),"""")"),"")</f>
        <v/>
      </c>
      <c r="L1291" s="5" t="str">
        <f>IFERROR(__xludf.DUMMYFUNCTION("IF(C1291&lt;&gt;"""",""https://api.qrserver.com/v1/create-qr-code/?size=200x200&amp;data=""&amp;ENCODEURL(""https://wa.me/507""&amp;REGEXREPLACE(C1291,""[^0-9]"","""")&amp;""?text=""&amp;ENCODEURL(""Ya llegue. Codigo: ""&amp;A1291&amp;"". Ubicacion: ""&amp;""https://www.google.com/maps/search"&amp;"/?api=1&amp;query=""&amp;SUBSTITUTE(F1291,"" "",""""))),"""")"),"")</f>
        <v/>
      </c>
      <c r="M1291" s="5" t="str">
        <f t="shared" si="6"/>
        <v/>
      </c>
      <c r="N1291" s="5" t="str">
        <f>IFERROR(__xludf.DUMMYFUNCTION("IF(AND(F1291&lt;&gt;"""",REGEXMATCH(SUBSTITUTE(F1291,"" "",""""),""^-?\d+(\.\d+)?,-?\d+(\.\d+)?$""),VALUE(REGEXEXTRACT(SUBSTITUTE(F1291,"" "",""""),""^-?\d+(\.\d+)?""))&gt;=-90,VALUE(REGEXEXTRACT(SUBSTITUTE(F1291,"" "",""""),""^-?\d+(\.\d+)?""))&lt;=90,VALUE(REGEXEXT"&amp;"RACT(SUBSTITUTE(F1291,"" "",""""),""-?\d+(\.\d+)?$""))&gt;=-180,VALUE(REGEXEXTRACT(SUBSTITUTE(F1291,"" "",""""),""-?\d+(\.\d+)?$""))&lt;=180),""OK"",""REVISAR"")"),"#N/A")</f>
        <v>#N/A</v>
      </c>
    </row>
    <row r="1292" ht="15.75" customHeight="1">
      <c r="A1292" s="5" t="str">
        <f t="shared" si="1"/>
        <v>AD507-1290</v>
      </c>
      <c r="C1292" s="5"/>
      <c r="F1292" s="5"/>
      <c r="G1292" s="5" t="str">
        <f t="shared" si="2"/>
        <v/>
      </c>
      <c r="H1292" s="5" t="str">
        <f t="shared" si="3"/>
        <v/>
      </c>
      <c r="I1292" s="5" t="str">
        <f t="shared" si="4"/>
        <v/>
      </c>
      <c r="J1292" s="5" t="str">
        <f t="shared" si="5"/>
        <v/>
      </c>
      <c r="K1292" s="5" t="str">
        <f>IFERROR(__xludf.DUMMYFUNCTION("IF(C1292&lt;&gt;"""",HYPERLINK(""https://wa.me/507""&amp;REGEXREPLACE(C1292,""[^0-9]"","""")&amp;""?text=""&amp;ENCODEURL(""Ya llegue. Codigo: ""&amp;A1292&amp;"". Ubicacion: ""&amp;""https://www.google.com/maps/search/?api=1&amp;query=""&amp;SUBSTITUTE(F1292,"" "","""")),""📲 Avisar al clien"&amp;"te""),"""")"),"")</f>
        <v/>
      </c>
      <c r="L1292" s="5" t="str">
        <f>IFERROR(__xludf.DUMMYFUNCTION("IF(C1292&lt;&gt;"""",""https://api.qrserver.com/v1/create-qr-code/?size=200x200&amp;data=""&amp;ENCODEURL(""https://wa.me/507""&amp;REGEXREPLACE(C1292,""[^0-9]"","""")&amp;""?text=""&amp;ENCODEURL(""Ya llegue. Codigo: ""&amp;A1292&amp;"". Ubicacion: ""&amp;""https://www.google.com/maps/search"&amp;"/?api=1&amp;query=""&amp;SUBSTITUTE(F1292,"" "",""""))),"""")"),"")</f>
        <v/>
      </c>
      <c r="M1292" s="5" t="str">
        <f t="shared" si="6"/>
        <v/>
      </c>
      <c r="N1292" s="5" t="str">
        <f>IFERROR(__xludf.DUMMYFUNCTION("IF(AND(F1292&lt;&gt;"""",REGEXMATCH(SUBSTITUTE(F1292,"" "",""""),""^-?\d+(\.\d+)?,-?\d+(\.\d+)?$""),VALUE(REGEXEXTRACT(SUBSTITUTE(F1292,"" "",""""),""^-?\d+(\.\d+)?""))&gt;=-90,VALUE(REGEXEXTRACT(SUBSTITUTE(F1292,"" "",""""),""^-?\d+(\.\d+)?""))&lt;=90,VALUE(REGEXEXT"&amp;"RACT(SUBSTITUTE(F1292,"" "",""""),""-?\d+(\.\d+)?$""))&gt;=-180,VALUE(REGEXEXTRACT(SUBSTITUTE(F1292,"" "",""""),""-?\d+(\.\d+)?$""))&lt;=180),""OK"",""REVISAR"")"),"#N/A")</f>
        <v>#N/A</v>
      </c>
    </row>
    <row r="1293" ht="15.75" customHeight="1">
      <c r="A1293" s="5" t="str">
        <f t="shared" si="1"/>
        <v>AD507-1291</v>
      </c>
      <c r="C1293" s="5"/>
      <c r="F1293" s="5"/>
      <c r="G1293" s="5" t="str">
        <f t="shared" si="2"/>
        <v/>
      </c>
      <c r="H1293" s="5" t="str">
        <f t="shared" si="3"/>
        <v/>
      </c>
      <c r="I1293" s="5" t="str">
        <f t="shared" si="4"/>
        <v/>
      </c>
      <c r="J1293" s="5" t="str">
        <f t="shared" si="5"/>
        <v/>
      </c>
      <c r="K1293" s="5" t="str">
        <f>IFERROR(__xludf.DUMMYFUNCTION("IF(C1293&lt;&gt;"""",HYPERLINK(""https://wa.me/507""&amp;REGEXREPLACE(C1293,""[^0-9]"","""")&amp;""?text=""&amp;ENCODEURL(""Ya llegue. Codigo: ""&amp;A1293&amp;"". Ubicacion: ""&amp;""https://www.google.com/maps/search/?api=1&amp;query=""&amp;SUBSTITUTE(F1293,"" "","""")),""📲 Avisar al clien"&amp;"te""),"""")"),"")</f>
        <v/>
      </c>
      <c r="L1293" s="5" t="str">
        <f>IFERROR(__xludf.DUMMYFUNCTION("IF(C1293&lt;&gt;"""",""https://api.qrserver.com/v1/create-qr-code/?size=200x200&amp;data=""&amp;ENCODEURL(""https://wa.me/507""&amp;REGEXREPLACE(C1293,""[^0-9]"","""")&amp;""?text=""&amp;ENCODEURL(""Ya llegue. Codigo: ""&amp;A1293&amp;"". Ubicacion: ""&amp;""https://www.google.com/maps/search"&amp;"/?api=1&amp;query=""&amp;SUBSTITUTE(F1293,"" "",""""))),"""")"),"")</f>
        <v/>
      </c>
      <c r="M1293" s="5" t="str">
        <f t="shared" si="6"/>
        <v/>
      </c>
      <c r="N1293" s="5" t="str">
        <f>IFERROR(__xludf.DUMMYFUNCTION("IF(AND(F1293&lt;&gt;"""",REGEXMATCH(SUBSTITUTE(F1293,"" "",""""),""^-?\d+(\.\d+)?,-?\d+(\.\d+)?$""),VALUE(REGEXEXTRACT(SUBSTITUTE(F1293,"" "",""""),""^-?\d+(\.\d+)?""))&gt;=-90,VALUE(REGEXEXTRACT(SUBSTITUTE(F1293,"" "",""""),""^-?\d+(\.\d+)?""))&lt;=90,VALUE(REGEXEXT"&amp;"RACT(SUBSTITUTE(F1293,"" "",""""),""-?\d+(\.\d+)?$""))&gt;=-180,VALUE(REGEXEXTRACT(SUBSTITUTE(F1293,"" "",""""),""-?\d+(\.\d+)?$""))&lt;=180),""OK"",""REVISAR"")"),"#N/A")</f>
        <v>#N/A</v>
      </c>
    </row>
    <row r="1294" ht="15.75" customHeight="1">
      <c r="A1294" s="5" t="str">
        <f t="shared" si="1"/>
        <v>AD507-1292</v>
      </c>
      <c r="C1294" s="5"/>
      <c r="F1294" s="5"/>
      <c r="G1294" s="5" t="str">
        <f t="shared" si="2"/>
        <v/>
      </c>
      <c r="H1294" s="5" t="str">
        <f t="shared" si="3"/>
        <v/>
      </c>
      <c r="I1294" s="5" t="str">
        <f t="shared" si="4"/>
        <v/>
      </c>
      <c r="J1294" s="5" t="str">
        <f t="shared" si="5"/>
        <v/>
      </c>
      <c r="K1294" s="5" t="str">
        <f>IFERROR(__xludf.DUMMYFUNCTION("IF(C1294&lt;&gt;"""",HYPERLINK(""https://wa.me/507""&amp;REGEXREPLACE(C1294,""[^0-9]"","""")&amp;""?text=""&amp;ENCODEURL(""Ya llegue. Codigo: ""&amp;A1294&amp;"". Ubicacion: ""&amp;""https://www.google.com/maps/search/?api=1&amp;query=""&amp;SUBSTITUTE(F1294,"" "","""")),""📲 Avisar al clien"&amp;"te""),"""")"),"")</f>
        <v/>
      </c>
      <c r="L1294" s="5" t="str">
        <f>IFERROR(__xludf.DUMMYFUNCTION("IF(C1294&lt;&gt;"""",""https://api.qrserver.com/v1/create-qr-code/?size=200x200&amp;data=""&amp;ENCODEURL(""https://wa.me/507""&amp;REGEXREPLACE(C1294,""[^0-9]"","""")&amp;""?text=""&amp;ENCODEURL(""Ya llegue. Codigo: ""&amp;A1294&amp;"". Ubicacion: ""&amp;""https://www.google.com/maps/search"&amp;"/?api=1&amp;query=""&amp;SUBSTITUTE(F1294,"" "",""""))),"""")"),"")</f>
        <v/>
      </c>
      <c r="M1294" s="5" t="str">
        <f t="shared" si="6"/>
        <v/>
      </c>
      <c r="N1294" s="5" t="str">
        <f>IFERROR(__xludf.DUMMYFUNCTION("IF(AND(F1294&lt;&gt;"""",REGEXMATCH(SUBSTITUTE(F1294,"" "",""""),""^-?\d+(\.\d+)?,-?\d+(\.\d+)?$""),VALUE(REGEXEXTRACT(SUBSTITUTE(F1294,"" "",""""),""^-?\d+(\.\d+)?""))&gt;=-90,VALUE(REGEXEXTRACT(SUBSTITUTE(F1294,"" "",""""),""^-?\d+(\.\d+)?""))&lt;=90,VALUE(REGEXEXT"&amp;"RACT(SUBSTITUTE(F1294,"" "",""""),""-?\d+(\.\d+)?$""))&gt;=-180,VALUE(REGEXEXTRACT(SUBSTITUTE(F1294,"" "",""""),""-?\d+(\.\d+)?$""))&lt;=180),""OK"",""REVISAR"")"),"#N/A")</f>
        <v>#N/A</v>
      </c>
    </row>
    <row r="1295" ht="15.75" customHeight="1">
      <c r="A1295" s="5" t="str">
        <f t="shared" si="1"/>
        <v>AD507-1293</v>
      </c>
      <c r="C1295" s="5"/>
      <c r="F1295" s="5"/>
      <c r="G1295" s="5" t="str">
        <f t="shared" si="2"/>
        <v/>
      </c>
      <c r="H1295" s="5" t="str">
        <f t="shared" si="3"/>
        <v/>
      </c>
      <c r="I1295" s="5" t="str">
        <f t="shared" si="4"/>
        <v/>
      </c>
      <c r="J1295" s="5" t="str">
        <f t="shared" si="5"/>
        <v/>
      </c>
      <c r="K1295" s="5" t="str">
        <f>IFERROR(__xludf.DUMMYFUNCTION("IF(C1295&lt;&gt;"""",HYPERLINK(""https://wa.me/507""&amp;REGEXREPLACE(C1295,""[^0-9]"","""")&amp;""?text=""&amp;ENCODEURL(""Ya llegue. Codigo: ""&amp;A1295&amp;"". Ubicacion: ""&amp;""https://www.google.com/maps/search/?api=1&amp;query=""&amp;SUBSTITUTE(F1295,"" "","""")),""📲 Avisar al clien"&amp;"te""),"""")"),"")</f>
        <v/>
      </c>
      <c r="L1295" s="5" t="str">
        <f>IFERROR(__xludf.DUMMYFUNCTION("IF(C1295&lt;&gt;"""",""https://api.qrserver.com/v1/create-qr-code/?size=200x200&amp;data=""&amp;ENCODEURL(""https://wa.me/507""&amp;REGEXREPLACE(C1295,""[^0-9]"","""")&amp;""?text=""&amp;ENCODEURL(""Ya llegue. Codigo: ""&amp;A1295&amp;"". Ubicacion: ""&amp;""https://www.google.com/maps/search"&amp;"/?api=1&amp;query=""&amp;SUBSTITUTE(F1295,"" "",""""))),"""")"),"")</f>
        <v/>
      </c>
      <c r="M1295" s="5" t="str">
        <f t="shared" si="6"/>
        <v/>
      </c>
      <c r="N1295" s="5" t="str">
        <f>IFERROR(__xludf.DUMMYFUNCTION("IF(AND(F1295&lt;&gt;"""",REGEXMATCH(SUBSTITUTE(F1295,"" "",""""),""^-?\d+(\.\d+)?,-?\d+(\.\d+)?$""),VALUE(REGEXEXTRACT(SUBSTITUTE(F1295,"" "",""""),""^-?\d+(\.\d+)?""))&gt;=-90,VALUE(REGEXEXTRACT(SUBSTITUTE(F1295,"" "",""""),""^-?\d+(\.\d+)?""))&lt;=90,VALUE(REGEXEXT"&amp;"RACT(SUBSTITUTE(F1295,"" "",""""),""-?\d+(\.\d+)?$""))&gt;=-180,VALUE(REGEXEXTRACT(SUBSTITUTE(F1295,"" "",""""),""-?\d+(\.\d+)?$""))&lt;=180),""OK"",""REVISAR"")"),"#N/A")</f>
        <v>#N/A</v>
      </c>
    </row>
    <row r="1296" ht="15.75" customHeight="1">
      <c r="A1296" s="5" t="str">
        <f t="shared" si="1"/>
        <v>AD507-1294</v>
      </c>
      <c r="C1296" s="5"/>
      <c r="F1296" s="5"/>
      <c r="G1296" s="5" t="str">
        <f t="shared" si="2"/>
        <v/>
      </c>
      <c r="H1296" s="5" t="str">
        <f t="shared" si="3"/>
        <v/>
      </c>
      <c r="I1296" s="5" t="str">
        <f t="shared" si="4"/>
        <v/>
      </c>
      <c r="J1296" s="5" t="str">
        <f t="shared" si="5"/>
        <v/>
      </c>
      <c r="K1296" s="5" t="str">
        <f>IFERROR(__xludf.DUMMYFUNCTION("IF(C1296&lt;&gt;"""",HYPERLINK(""https://wa.me/507""&amp;REGEXREPLACE(C1296,""[^0-9]"","""")&amp;""?text=""&amp;ENCODEURL(""Ya llegue. Codigo: ""&amp;A1296&amp;"". Ubicacion: ""&amp;""https://www.google.com/maps/search/?api=1&amp;query=""&amp;SUBSTITUTE(F1296,"" "","""")),""📲 Avisar al clien"&amp;"te""),"""")"),"")</f>
        <v/>
      </c>
      <c r="L1296" s="5" t="str">
        <f>IFERROR(__xludf.DUMMYFUNCTION("IF(C1296&lt;&gt;"""",""https://api.qrserver.com/v1/create-qr-code/?size=200x200&amp;data=""&amp;ENCODEURL(""https://wa.me/507""&amp;REGEXREPLACE(C1296,""[^0-9]"","""")&amp;""?text=""&amp;ENCODEURL(""Ya llegue. Codigo: ""&amp;A1296&amp;"". Ubicacion: ""&amp;""https://www.google.com/maps/search"&amp;"/?api=1&amp;query=""&amp;SUBSTITUTE(F1296,"" "",""""))),"""")"),"")</f>
        <v/>
      </c>
      <c r="M1296" s="5" t="str">
        <f t="shared" si="6"/>
        <v/>
      </c>
      <c r="N1296" s="5" t="str">
        <f>IFERROR(__xludf.DUMMYFUNCTION("IF(AND(F1296&lt;&gt;"""",REGEXMATCH(SUBSTITUTE(F1296,"" "",""""),""^-?\d+(\.\d+)?,-?\d+(\.\d+)?$""),VALUE(REGEXEXTRACT(SUBSTITUTE(F1296,"" "",""""),""^-?\d+(\.\d+)?""))&gt;=-90,VALUE(REGEXEXTRACT(SUBSTITUTE(F1296,"" "",""""),""^-?\d+(\.\d+)?""))&lt;=90,VALUE(REGEXEXT"&amp;"RACT(SUBSTITUTE(F1296,"" "",""""),""-?\d+(\.\d+)?$""))&gt;=-180,VALUE(REGEXEXTRACT(SUBSTITUTE(F1296,"" "",""""),""-?\d+(\.\d+)?$""))&lt;=180),""OK"",""REVISAR"")"),"#N/A")</f>
        <v>#N/A</v>
      </c>
    </row>
    <row r="1297" ht="15.75" customHeight="1">
      <c r="A1297" s="5" t="str">
        <f t="shared" si="1"/>
        <v>AD507-1295</v>
      </c>
      <c r="C1297" s="5"/>
      <c r="F1297" s="5"/>
      <c r="G1297" s="5" t="str">
        <f t="shared" si="2"/>
        <v/>
      </c>
      <c r="H1297" s="5" t="str">
        <f t="shared" si="3"/>
        <v/>
      </c>
      <c r="I1297" s="5" t="str">
        <f t="shared" si="4"/>
        <v/>
      </c>
      <c r="J1297" s="5" t="str">
        <f t="shared" si="5"/>
        <v/>
      </c>
      <c r="K1297" s="5" t="str">
        <f>IFERROR(__xludf.DUMMYFUNCTION("IF(C1297&lt;&gt;"""",HYPERLINK(""https://wa.me/507""&amp;REGEXREPLACE(C1297,""[^0-9]"","""")&amp;""?text=""&amp;ENCODEURL(""Ya llegue. Codigo: ""&amp;A1297&amp;"". Ubicacion: ""&amp;""https://www.google.com/maps/search/?api=1&amp;query=""&amp;SUBSTITUTE(F1297,"" "","""")),""📲 Avisar al clien"&amp;"te""),"""")"),"")</f>
        <v/>
      </c>
      <c r="L1297" s="5" t="str">
        <f>IFERROR(__xludf.DUMMYFUNCTION("IF(C1297&lt;&gt;"""",""https://api.qrserver.com/v1/create-qr-code/?size=200x200&amp;data=""&amp;ENCODEURL(""https://wa.me/507""&amp;REGEXREPLACE(C1297,""[^0-9]"","""")&amp;""?text=""&amp;ENCODEURL(""Ya llegue. Codigo: ""&amp;A1297&amp;"". Ubicacion: ""&amp;""https://www.google.com/maps/search"&amp;"/?api=1&amp;query=""&amp;SUBSTITUTE(F1297,"" "",""""))),"""")"),"")</f>
        <v/>
      </c>
      <c r="M1297" s="5" t="str">
        <f t="shared" si="6"/>
        <v/>
      </c>
      <c r="N1297" s="5" t="str">
        <f>IFERROR(__xludf.DUMMYFUNCTION("IF(AND(F1297&lt;&gt;"""",REGEXMATCH(SUBSTITUTE(F1297,"" "",""""),""^-?\d+(\.\d+)?,-?\d+(\.\d+)?$""),VALUE(REGEXEXTRACT(SUBSTITUTE(F1297,"" "",""""),""^-?\d+(\.\d+)?""))&gt;=-90,VALUE(REGEXEXTRACT(SUBSTITUTE(F1297,"" "",""""),""^-?\d+(\.\d+)?""))&lt;=90,VALUE(REGEXEXT"&amp;"RACT(SUBSTITUTE(F1297,"" "",""""),""-?\d+(\.\d+)?$""))&gt;=-180,VALUE(REGEXEXTRACT(SUBSTITUTE(F1297,"" "",""""),""-?\d+(\.\d+)?$""))&lt;=180),""OK"",""REVISAR"")"),"#N/A")</f>
        <v>#N/A</v>
      </c>
    </row>
    <row r="1298" ht="15.75" customHeight="1">
      <c r="A1298" s="5" t="str">
        <f t="shared" si="1"/>
        <v>AD507-1296</v>
      </c>
      <c r="C1298" s="5"/>
      <c r="F1298" s="5"/>
      <c r="G1298" s="5" t="str">
        <f t="shared" si="2"/>
        <v/>
      </c>
      <c r="H1298" s="5" t="str">
        <f t="shared" si="3"/>
        <v/>
      </c>
      <c r="I1298" s="5" t="str">
        <f t="shared" si="4"/>
        <v/>
      </c>
      <c r="J1298" s="5" t="str">
        <f t="shared" si="5"/>
        <v/>
      </c>
      <c r="K1298" s="5" t="str">
        <f>IFERROR(__xludf.DUMMYFUNCTION("IF(C1298&lt;&gt;"""",HYPERLINK(""https://wa.me/507""&amp;REGEXREPLACE(C1298,""[^0-9]"","""")&amp;""?text=""&amp;ENCODEURL(""Ya llegue. Codigo: ""&amp;A1298&amp;"". Ubicacion: ""&amp;""https://www.google.com/maps/search/?api=1&amp;query=""&amp;SUBSTITUTE(F1298,"" "","""")),""📲 Avisar al clien"&amp;"te""),"""")"),"")</f>
        <v/>
      </c>
      <c r="L1298" s="5" t="str">
        <f>IFERROR(__xludf.DUMMYFUNCTION("IF(C1298&lt;&gt;"""",""https://api.qrserver.com/v1/create-qr-code/?size=200x200&amp;data=""&amp;ENCODEURL(""https://wa.me/507""&amp;REGEXREPLACE(C1298,""[^0-9]"","""")&amp;""?text=""&amp;ENCODEURL(""Ya llegue. Codigo: ""&amp;A1298&amp;"". Ubicacion: ""&amp;""https://www.google.com/maps/search"&amp;"/?api=1&amp;query=""&amp;SUBSTITUTE(F1298,"" "",""""))),"""")"),"")</f>
        <v/>
      </c>
      <c r="M1298" s="5" t="str">
        <f t="shared" si="6"/>
        <v/>
      </c>
      <c r="N1298" s="5" t="str">
        <f>IFERROR(__xludf.DUMMYFUNCTION("IF(AND(F1298&lt;&gt;"""",REGEXMATCH(SUBSTITUTE(F1298,"" "",""""),""^-?\d+(\.\d+)?,-?\d+(\.\d+)?$""),VALUE(REGEXEXTRACT(SUBSTITUTE(F1298,"" "",""""),""^-?\d+(\.\d+)?""))&gt;=-90,VALUE(REGEXEXTRACT(SUBSTITUTE(F1298,"" "",""""),""^-?\d+(\.\d+)?""))&lt;=90,VALUE(REGEXEXT"&amp;"RACT(SUBSTITUTE(F1298,"" "",""""),""-?\d+(\.\d+)?$""))&gt;=-180,VALUE(REGEXEXTRACT(SUBSTITUTE(F1298,"" "",""""),""-?\d+(\.\d+)?$""))&lt;=180),""OK"",""REVISAR"")"),"#N/A")</f>
        <v>#N/A</v>
      </c>
    </row>
    <row r="1299" ht="15.75" customHeight="1">
      <c r="A1299" s="5" t="str">
        <f t="shared" si="1"/>
        <v>AD507-1297</v>
      </c>
      <c r="C1299" s="5"/>
      <c r="F1299" s="5"/>
      <c r="G1299" s="5" t="str">
        <f t="shared" si="2"/>
        <v/>
      </c>
      <c r="H1299" s="5" t="str">
        <f t="shared" si="3"/>
        <v/>
      </c>
      <c r="I1299" s="5" t="str">
        <f t="shared" si="4"/>
        <v/>
      </c>
      <c r="J1299" s="5" t="str">
        <f t="shared" si="5"/>
        <v/>
      </c>
      <c r="K1299" s="5" t="str">
        <f>IFERROR(__xludf.DUMMYFUNCTION("IF(C1299&lt;&gt;"""",HYPERLINK(""https://wa.me/507""&amp;REGEXREPLACE(C1299,""[^0-9]"","""")&amp;""?text=""&amp;ENCODEURL(""Ya llegue. Codigo: ""&amp;A1299&amp;"". Ubicacion: ""&amp;""https://www.google.com/maps/search/?api=1&amp;query=""&amp;SUBSTITUTE(F1299,"" "","""")),""📲 Avisar al clien"&amp;"te""),"""")"),"")</f>
        <v/>
      </c>
      <c r="L1299" s="5" t="str">
        <f>IFERROR(__xludf.DUMMYFUNCTION("IF(C1299&lt;&gt;"""",""https://api.qrserver.com/v1/create-qr-code/?size=200x200&amp;data=""&amp;ENCODEURL(""https://wa.me/507""&amp;REGEXREPLACE(C1299,""[^0-9]"","""")&amp;""?text=""&amp;ENCODEURL(""Ya llegue. Codigo: ""&amp;A1299&amp;"". Ubicacion: ""&amp;""https://www.google.com/maps/search"&amp;"/?api=1&amp;query=""&amp;SUBSTITUTE(F1299,"" "",""""))),"""")"),"")</f>
        <v/>
      </c>
      <c r="M1299" s="5" t="str">
        <f t="shared" si="6"/>
        <v/>
      </c>
      <c r="N1299" s="5" t="str">
        <f>IFERROR(__xludf.DUMMYFUNCTION("IF(AND(F1299&lt;&gt;"""",REGEXMATCH(SUBSTITUTE(F1299,"" "",""""),""^-?\d+(\.\d+)?,-?\d+(\.\d+)?$""),VALUE(REGEXEXTRACT(SUBSTITUTE(F1299,"" "",""""),""^-?\d+(\.\d+)?""))&gt;=-90,VALUE(REGEXEXTRACT(SUBSTITUTE(F1299,"" "",""""),""^-?\d+(\.\d+)?""))&lt;=90,VALUE(REGEXEXT"&amp;"RACT(SUBSTITUTE(F1299,"" "",""""),""-?\d+(\.\d+)?$""))&gt;=-180,VALUE(REGEXEXTRACT(SUBSTITUTE(F1299,"" "",""""),""-?\d+(\.\d+)?$""))&lt;=180),""OK"",""REVISAR"")"),"#N/A")</f>
        <v>#N/A</v>
      </c>
    </row>
    <row r="1300" ht="15.75" customHeight="1">
      <c r="A1300" s="5" t="str">
        <f t="shared" si="1"/>
        <v>AD507-1298</v>
      </c>
      <c r="C1300" s="5"/>
      <c r="F1300" s="5"/>
      <c r="G1300" s="5" t="str">
        <f t="shared" si="2"/>
        <v/>
      </c>
      <c r="H1300" s="5" t="str">
        <f t="shared" si="3"/>
        <v/>
      </c>
      <c r="I1300" s="5" t="str">
        <f t="shared" si="4"/>
        <v/>
      </c>
      <c r="J1300" s="5" t="str">
        <f t="shared" si="5"/>
        <v/>
      </c>
      <c r="K1300" s="5" t="str">
        <f>IFERROR(__xludf.DUMMYFUNCTION("IF(C1300&lt;&gt;"""",HYPERLINK(""https://wa.me/507""&amp;REGEXREPLACE(C1300,""[^0-9]"","""")&amp;""?text=""&amp;ENCODEURL(""Ya llegue. Codigo: ""&amp;A1300&amp;"". Ubicacion: ""&amp;""https://www.google.com/maps/search/?api=1&amp;query=""&amp;SUBSTITUTE(F1300,"" "","""")),""📲 Avisar al clien"&amp;"te""),"""")"),"")</f>
        <v/>
      </c>
      <c r="L1300" s="5" t="str">
        <f>IFERROR(__xludf.DUMMYFUNCTION("IF(C1300&lt;&gt;"""",""https://api.qrserver.com/v1/create-qr-code/?size=200x200&amp;data=""&amp;ENCODEURL(""https://wa.me/507""&amp;REGEXREPLACE(C1300,""[^0-9]"","""")&amp;""?text=""&amp;ENCODEURL(""Ya llegue. Codigo: ""&amp;A1300&amp;"". Ubicacion: ""&amp;""https://www.google.com/maps/search"&amp;"/?api=1&amp;query=""&amp;SUBSTITUTE(F1300,"" "",""""))),"""")"),"")</f>
        <v/>
      </c>
      <c r="M1300" s="5" t="str">
        <f t="shared" si="6"/>
        <v/>
      </c>
      <c r="N1300" s="5" t="str">
        <f>IFERROR(__xludf.DUMMYFUNCTION("IF(AND(F1300&lt;&gt;"""",REGEXMATCH(SUBSTITUTE(F1300,"" "",""""),""^-?\d+(\.\d+)?,-?\d+(\.\d+)?$""),VALUE(REGEXEXTRACT(SUBSTITUTE(F1300,"" "",""""),""^-?\d+(\.\d+)?""))&gt;=-90,VALUE(REGEXEXTRACT(SUBSTITUTE(F1300,"" "",""""),""^-?\d+(\.\d+)?""))&lt;=90,VALUE(REGEXEXT"&amp;"RACT(SUBSTITUTE(F1300,"" "",""""),""-?\d+(\.\d+)?$""))&gt;=-180,VALUE(REGEXEXTRACT(SUBSTITUTE(F1300,"" "",""""),""-?\d+(\.\d+)?$""))&lt;=180),""OK"",""REVISAR"")"),"#N/A")</f>
        <v>#N/A</v>
      </c>
    </row>
    <row r="1301" ht="15.75" customHeight="1">
      <c r="A1301" s="5" t="str">
        <f t="shared" si="1"/>
        <v>AD507-1299</v>
      </c>
      <c r="C1301" s="5"/>
      <c r="F1301" s="5"/>
      <c r="G1301" s="5" t="str">
        <f t="shared" si="2"/>
        <v/>
      </c>
      <c r="H1301" s="5" t="str">
        <f t="shared" si="3"/>
        <v/>
      </c>
      <c r="I1301" s="5" t="str">
        <f t="shared" si="4"/>
        <v/>
      </c>
      <c r="J1301" s="5" t="str">
        <f t="shared" si="5"/>
        <v/>
      </c>
      <c r="K1301" s="5" t="str">
        <f>IFERROR(__xludf.DUMMYFUNCTION("IF(C1301&lt;&gt;"""",HYPERLINK(""https://wa.me/507""&amp;REGEXREPLACE(C1301,""[^0-9]"","""")&amp;""?text=""&amp;ENCODEURL(""Ya llegue. Codigo: ""&amp;A1301&amp;"". Ubicacion: ""&amp;""https://www.google.com/maps/search/?api=1&amp;query=""&amp;SUBSTITUTE(F1301,"" "","""")),""📲 Avisar al clien"&amp;"te""),"""")"),"")</f>
        <v/>
      </c>
      <c r="L1301" s="5" t="str">
        <f>IFERROR(__xludf.DUMMYFUNCTION("IF(C1301&lt;&gt;"""",""https://api.qrserver.com/v1/create-qr-code/?size=200x200&amp;data=""&amp;ENCODEURL(""https://wa.me/507""&amp;REGEXREPLACE(C1301,""[^0-9]"","""")&amp;""?text=""&amp;ENCODEURL(""Ya llegue. Codigo: ""&amp;A1301&amp;"". Ubicacion: ""&amp;""https://www.google.com/maps/search"&amp;"/?api=1&amp;query=""&amp;SUBSTITUTE(F1301,"" "",""""))),"""")"),"")</f>
        <v/>
      </c>
      <c r="M1301" s="5" t="str">
        <f t="shared" si="6"/>
        <v/>
      </c>
      <c r="N1301" s="5" t="str">
        <f>IFERROR(__xludf.DUMMYFUNCTION("IF(AND(F1301&lt;&gt;"""",REGEXMATCH(SUBSTITUTE(F1301,"" "",""""),""^-?\d+(\.\d+)?,-?\d+(\.\d+)?$""),VALUE(REGEXEXTRACT(SUBSTITUTE(F1301,"" "",""""),""^-?\d+(\.\d+)?""))&gt;=-90,VALUE(REGEXEXTRACT(SUBSTITUTE(F1301,"" "",""""),""^-?\d+(\.\d+)?""))&lt;=90,VALUE(REGEXEXT"&amp;"RACT(SUBSTITUTE(F1301,"" "",""""),""-?\d+(\.\d+)?$""))&gt;=-180,VALUE(REGEXEXTRACT(SUBSTITUTE(F1301,"" "",""""),""-?\d+(\.\d+)?$""))&lt;=180),""OK"",""REVISAR"")"),"#N/A")</f>
        <v>#N/A</v>
      </c>
    </row>
    <row r="1302" ht="15.75" customHeight="1">
      <c r="A1302" s="5" t="str">
        <f t="shared" si="1"/>
        <v>AD507-1300</v>
      </c>
      <c r="C1302" s="5"/>
      <c r="F1302" s="5"/>
      <c r="G1302" s="5" t="str">
        <f t="shared" si="2"/>
        <v/>
      </c>
      <c r="H1302" s="5" t="str">
        <f t="shared" si="3"/>
        <v/>
      </c>
      <c r="I1302" s="5" t="str">
        <f t="shared" si="4"/>
        <v/>
      </c>
      <c r="J1302" s="5" t="str">
        <f t="shared" si="5"/>
        <v/>
      </c>
      <c r="K1302" s="5" t="str">
        <f>IFERROR(__xludf.DUMMYFUNCTION("IF(C1302&lt;&gt;"""",HYPERLINK(""https://wa.me/507""&amp;REGEXREPLACE(C1302,""[^0-9]"","""")&amp;""?text=""&amp;ENCODEURL(""Ya llegue. Codigo: ""&amp;A1302&amp;"". Ubicacion: ""&amp;""https://www.google.com/maps/search/?api=1&amp;query=""&amp;SUBSTITUTE(F1302,"" "","""")),""📲 Avisar al clien"&amp;"te""),"""")"),"")</f>
        <v/>
      </c>
      <c r="L1302" s="5" t="str">
        <f>IFERROR(__xludf.DUMMYFUNCTION("IF(C1302&lt;&gt;"""",""https://api.qrserver.com/v1/create-qr-code/?size=200x200&amp;data=""&amp;ENCODEURL(""https://wa.me/507""&amp;REGEXREPLACE(C1302,""[^0-9]"","""")&amp;""?text=""&amp;ENCODEURL(""Ya llegue. Codigo: ""&amp;A1302&amp;"". Ubicacion: ""&amp;""https://www.google.com/maps/search"&amp;"/?api=1&amp;query=""&amp;SUBSTITUTE(F1302,"" "",""""))),"""")"),"")</f>
        <v/>
      </c>
      <c r="M1302" s="5" t="str">
        <f t="shared" si="6"/>
        <v/>
      </c>
      <c r="N1302" s="5" t="str">
        <f>IFERROR(__xludf.DUMMYFUNCTION("IF(AND(F1302&lt;&gt;"""",REGEXMATCH(SUBSTITUTE(F1302,"" "",""""),""^-?\d+(\.\d+)?,-?\d+(\.\d+)?$""),VALUE(REGEXEXTRACT(SUBSTITUTE(F1302,"" "",""""),""^-?\d+(\.\d+)?""))&gt;=-90,VALUE(REGEXEXTRACT(SUBSTITUTE(F1302,"" "",""""),""^-?\d+(\.\d+)?""))&lt;=90,VALUE(REGEXEXT"&amp;"RACT(SUBSTITUTE(F1302,"" "",""""),""-?\d+(\.\d+)?$""))&gt;=-180,VALUE(REGEXEXTRACT(SUBSTITUTE(F1302,"" "",""""),""-?\d+(\.\d+)?$""))&lt;=180),""OK"",""REVISAR"")"),"#N/A")</f>
        <v>#N/A</v>
      </c>
    </row>
    <row r="1303" ht="15.75" customHeight="1">
      <c r="A1303" s="5" t="str">
        <f t="shared" si="1"/>
        <v>AD507-1301</v>
      </c>
      <c r="C1303" s="5"/>
      <c r="F1303" s="5"/>
      <c r="G1303" s="5" t="str">
        <f t="shared" si="2"/>
        <v/>
      </c>
      <c r="H1303" s="5" t="str">
        <f t="shared" si="3"/>
        <v/>
      </c>
      <c r="I1303" s="5" t="str">
        <f t="shared" si="4"/>
        <v/>
      </c>
      <c r="J1303" s="5" t="str">
        <f t="shared" si="5"/>
        <v/>
      </c>
      <c r="K1303" s="5" t="str">
        <f>IFERROR(__xludf.DUMMYFUNCTION("IF(C1303&lt;&gt;"""",HYPERLINK(""https://wa.me/507""&amp;REGEXREPLACE(C1303,""[^0-9]"","""")&amp;""?text=""&amp;ENCODEURL(""Ya llegue. Codigo: ""&amp;A1303&amp;"". Ubicacion: ""&amp;""https://www.google.com/maps/search/?api=1&amp;query=""&amp;SUBSTITUTE(F1303,"" "","""")),""📲 Avisar al clien"&amp;"te""),"""")"),"")</f>
        <v/>
      </c>
      <c r="L1303" s="5" t="str">
        <f>IFERROR(__xludf.DUMMYFUNCTION("IF(C1303&lt;&gt;"""",""https://api.qrserver.com/v1/create-qr-code/?size=200x200&amp;data=""&amp;ENCODEURL(""https://wa.me/507""&amp;REGEXREPLACE(C1303,""[^0-9]"","""")&amp;""?text=""&amp;ENCODEURL(""Ya llegue. Codigo: ""&amp;A1303&amp;"". Ubicacion: ""&amp;""https://www.google.com/maps/search"&amp;"/?api=1&amp;query=""&amp;SUBSTITUTE(F1303,"" "",""""))),"""")"),"")</f>
        <v/>
      </c>
      <c r="M1303" s="5" t="str">
        <f t="shared" si="6"/>
        <v/>
      </c>
      <c r="N1303" s="5" t="str">
        <f>IFERROR(__xludf.DUMMYFUNCTION("IF(AND(F1303&lt;&gt;"""",REGEXMATCH(SUBSTITUTE(F1303,"" "",""""),""^-?\d+(\.\d+)?,-?\d+(\.\d+)?$""),VALUE(REGEXEXTRACT(SUBSTITUTE(F1303,"" "",""""),""^-?\d+(\.\d+)?""))&gt;=-90,VALUE(REGEXEXTRACT(SUBSTITUTE(F1303,"" "",""""),""^-?\d+(\.\d+)?""))&lt;=90,VALUE(REGEXEXT"&amp;"RACT(SUBSTITUTE(F1303,"" "",""""),""-?\d+(\.\d+)?$""))&gt;=-180,VALUE(REGEXEXTRACT(SUBSTITUTE(F1303,"" "",""""),""-?\d+(\.\d+)?$""))&lt;=180),""OK"",""REVISAR"")"),"#N/A")</f>
        <v>#N/A</v>
      </c>
    </row>
    <row r="1304" ht="15.75" customHeight="1">
      <c r="A1304" s="5" t="str">
        <f t="shared" si="1"/>
        <v>AD507-1302</v>
      </c>
      <c r="C1304" s="5"/>
      <c r="F1304" s="5"/>
      <c r="G1304" s="5" t="str">
        <f t="shared" si="2"/>
        <v/>
      </c>
      <c r="H1304" s="5" t="str">
        <f t="shared" si="3"/>
        <v/>
      </c>
      <c r="I1304" s="5" t="str">
        <f t="shared" si="4"/>
        <v/>
      </c>
      <c r="J1304" s="5" t="str">
        <f t="shared" si="5"/>
        <v/>
      </c>
      <c r="K1304" s="5" t="str">
        <f>IFERROR(__xludf.DUMMYFUNCTION("IF(C1304&lt;&gt;"""",HYPERLINK(""https://wa.me/507""&amp;REGEXREPLACE(C1304,""[^0-9]"","""")&amp;""?text=""&amp;ENCODEURL(""Ya llegue. Codigo: ""&amp;A1304&amp;"". Ubicacion: ""&amp;""https://www.google.com/maps/search/?api=1&amp;query=""&amp;SUBSTITUTE(F1304,"" "","""")),""📲 Avisar al clien"&amp;"te""),"""")"),"")</f>
        <v/>
      </c>
      <c r="L1304" s="5" t="str">
        <f>IFERROR(__xludf.DUMMYFUNCTION("IF(C1304&lt;&gt;"""",""https://api.qrserver.com/v1/create-qr-code/?size=200x200&amp;data=""&amp;ENCODEURL(""https://wa.me/507""&amp;REGEXREPLACE(C1304,""[^0-9]"","""")&amp;""?text=""&amp;ENCODEURL(""Ya llegue. Codigo: ""&amp;A1304&amp;"". Ubicacion: ""&amp;""https://www.google.com/maps/search"&amp;"/?api=1&amp;query=""&amp;SUBSTITUTE(F1304,"" "",""""))),"""")"),"")</f>
        <v/>
      </c>
      <c r="M1304" s="5" t="str">
        <f t="shared" si="6"/>
        <v/>
      </c>
      <c r="N1304" s="5" t="str">
        <f>IFERROR(__xludf.DUMMYFUNCTION("IF(AND(F1304&lt;&gt;"""",REGEXMATCH(SUBSTITUTE(F1304,"" "",""""),""^-?\d+(\.\d+)?,-?\d+(\.\d+)?$""),VALUE(REGEXEXTRACT(SUBSTITUTE(F1304,"" "",""""),""^-?\d+(\.\d+)?""))&gt;=-90,VALUE(REGEXEXTRACT(SUBSTITUTE(F1304,"" "",""""),""^-?\d+(\.\d+)?""))&lt;=90,VALUE(REGEXEXT"&amp;"RACT(SUBSTITUTE(F1304,"" "",""""),""-?\d+(\.\d+)?$""))&gt;=-180,VALUE(REGEXEXTRACT(SUBSTITUTE(F1304,"" "",""""),""-?\d+(\.\d+)?$""))&lt;=180),""OK"",""REVISAR"")"),"#N/A")</f>
        <v>#N/A</v>
      </c>
    </row>
    <row r="1305" ht="15.75" customHeight="1">
      <c r="A1305" s="5" t="str">
        <f t="shared" si="1"/>
        <v>AD507-1303</v>
      </c>
      <c r="C1305" s="5"/>
      <c r="F1305" s="5"/>
      <c r="G1305" s="5" t="str">
        <f t="shared" si="2"/>
        <v/>
      </c>
      <c r="H1305" s="5" t="str">
        <f t="shared" si="3"/>
        <v/>
      </c>
      <c r="I1305" s="5" t="str">
        <f t="shared" si="4"/>
        <v/>
      </c>
      <c r="J1305" s="5" t="str">
        <f t="shared" si="5"/>
        <v/>
      </c>
      <c r="K1305" s="5" t="str">
        <f>IFERROR(__xludf.DUMMYFUNCTION("IF(C1305&lt;&gt;"""",HYPERLINK(""https://wa.me/507""&amp;REGEXREPLACE(C1305,""[^0-9]"","""")&amp;""?text=""&amp;ENCODEURL(""Ya llegue. Codigo: ""&amp;A1305&amp;"". Ubicacion: ""&amp;""https://www.google.com/maps/search/?api=1&amp;query=""&amp;SUBSTITUTE(F1305,"" "","""")),""📲 Avisar al clien"&amp;"te""),"""")"),"")</f>
        <v/>
      </c>
      <c r="L1305" s="5" t="str">
        <f>IFERROR(__xludf.DUMMYFUNCTION("IF(C1305&lt;&gt;"""",""https://api.qrserver.com/v1/create-qr-code/?size=200x200&amp;data=""&amp;ENCODEURL(""https://wa.me/507""&amp;REGEXREPLACE(C1305,""[^0-9]"","""")&amp;""?text=""&amp;ENCODEURL(""Ya llegue. Codigo: ""&amp;A1305&amp;"". Ubicacion: ""&amp;""https://www.google.com/maps/search"&amp;"/?api=1&amp;query=""&amp;SUBSTITUTE(F1305,"" "",""""))),"""")"),"")</f>
        <v/>
      </c>
      <c r="M1305" s="5" t="str">
        <f t="shared" si="6"/>
        <v/>
      </c>
      <c r="N1305" s="5" t="str">
        <f>IFERROR(__xludf.DUMMYFUNCTION("IF(AND(F1305&lt;&gt;"""",REGEXMATCH(SUBSTITUTE(F1305,"" "",""""),""^-?\d+(\.\d+)?,-?\d+(\.\d+)?$""),VALUE(REGEXEXTRACT(SUBSTITUTE(F1305,"" "",""""),""^-?\d+(\.\d+)?""))&gt;=-90,VALUE(REGEXEXTRACT(SUBSTITUTE(F1305,"" "",""""),""^-?\d+(\.\d+)?""))&lt;=90,VALUE(REGEXEXT"&amp;"RACT(SUBSTITUTE(F1305,"" "",""""),""-?\d+(\.\d+)?$""))&gt;=-180,VALUE(REGEXEXTRACT(SUBSTITUTE(F1305,"" "",""""),""-?\d+(\.\d+)?$""))&lt;=180),""OK"",""REVISAR"")"),"#N/A")</f>
        <v>#N/A</v>
      </c>
    </row>
    <row r="1306" ht="15.75" customHeight="1">
      <c r="A1306" s="5" t="str">
        <f t="shared" si="1"/>
        <v>AD507-1304</v>
      </c>
      <c r="C1306" s="5"/>
      <c r="F1306" s="5"/>
      <c r="G1306" s="5" t="str">
        <f t="shared" si="2"/>
        <v/>
      </c>
      <c r="H1306" s="5" t="str">
        <f t="shared" si="3"/>
        <v/>
      </c>
      <c r="I1306" s="5" t="str">
        <f t="shared" si="4"/>
        <v/>
      </c>
      <c r="J1306" s="5" t="str">
        <f t="shared" si="5"/>
        <v/>
      </c>
      <c r="K1306" s="5" t="str">
        <f>IFERROR(__xludf.DUMMYFUNCTION("IF(C1306&lt;&gt;"""",HYPERLINK(""https://wa.me/507""&amp;REGEXREPLACE(C1306,""[^0-9]"","""")&amp;""?text=""&amp;ENCODEURL(""Ya llegue. Codigo: ""&amp;A1306&amp;"". Ubicacion: ""&amp;""https://www.google.com/maps/search/?api=1&amp;query=""&amp;SUBSTITUTE(F1306,"" "","""")),""📲 Avisar al clien"&amp;"te""),"""")"),"")</f>
        <v/>
      </c>
      <c r="L1306" s="5" t="str">
        <f>IFERROR(__xludf.DUMMYFUNCTION("IF(C1306&lt;&gt;"""",""https://api.qrserver.com/v1/create-qr-code/?size=200x200&amp;data=""&amp;ENCODEURL(""https://wa.me/507""&amp;REGEXREPLACE(C1306,""[^0-9]"","""")&amp;""?text=""&amp;ENCODEURL(""Ya llegue. Codigo: ""&amp;A1306&amp;"". Ubicacion: ""&amp;""https://www.google.com/maps/search"&amp;"/?api=1&amp;query=""&amp;SUBSTITUTE(F1306,"" "",""""))),"""")"),"")</f>
        <v/>
      </c>
      <c r="M1306" s="5" t="str">
        <f t="shared" si="6"/>
        <v/>
      </c>
      <c r="N1306" s="5" t="str">
        <f>IFERROR(__xludf.DUMMYFUNCTION("IF(AND(F1306&lt;&gt;"""",REGEXMATCH(SUBSTITUTE(F1306,"" "",""""),""^-?\d+(\.\d+)?,-?\d+(\.\d+)?$""),VALUE(REGEXEXTRACT(SUBSTITUTE(F1306,"" "",""""),""^-?\d+(\.\d+)?""))&gt;=-90,VALUE(REGEXEXTRACT(SUBSTITUTE(F1306,"" "",""""),""^-?\d+(\.\d+)?""))&lt;=90,VALUE(REGEXEXT"&amp;"RACT(SUBSTITUTE(F1306,"" "",""""),""-?\d+(\.\d+)?$""))&gt;=-180,VALUE(REGEXEXTRACT(SUBSTITUTE(F1306,"" "",""""),""-?\d+(\.\d+)?$""))&lt;=180),""OK"",""REVISAR"")"),"#N/A")</f>
        <v>#N/A</v>
      </c>
    </row>
    <row r="1307" ht="15.75" customHeight="1">
      <c r="A1307" s="5" t="str">
        <f t="shared" si="1"/>
        <v>AD507-1305</v>
      </c>
      <c r="C1307" s="5"/>
      <c r="F1307" s="5"/>
      <c r="G1307" s="5" t="str">
        <f t="shared" si="2"/>
        <v/>
      </c>
      <c r="H1307" s="5" t="str">
        <f t="shared" si="3"/>
        <v/>
      </c>
      <c r="I1307" s="5" t="str">
        <f t="shared" si="4"/>
        <v/>
      </c>
      <c r="J1307" s="5" t="str">
        <f t="shared" si="5"/>
        <v/>
      </c>
      <c r="K1307" s="5" t="str">
        <f>IFERROR(__xludf.DUMMYFUNCTION("IF(C1307&lt;&gt;"""",HYPERLINK(""https://wa.me/507""&amp;REGEXREPLACE(C1307,""[^0-9]"","""")&amp;""?text=""&amp;ENCODEURL(""Ya llegue. Codigo: ""&amp;A1307&amp;"". Ubicacion: ""&amp;""https://www.google.com/maps/search/?api=1&amp;query=""&amp;SUBSTITUTE(F1307,"" "","""")),""📲 Avisar al clien"&amp;"te""),"""")"),"")</f>
        <v/>
      </c>
      <c r="L1307" s="5" t="str">
        <f>IFERROR(__xludf.DUMMYFUNCTION("IF(C1307&lt;&gt;"""",""https://api.qrserver.com/v1/create-qr-code/?size=200x200&amp;data=""&amp;ENCODEURL(""https://wa.me/507""&amp;REGEXREPLACE(C1307,""[^0-9]"","""")&amp;""?text=""&amp;ENCODEURL(""Ya llegue. Codigo: ""&amp;A1307&amp;"". Ubicacion: ""&amp;""https://www.google.com/maps/search"&amp;"/?api=1&amp;query=""&amp;SUBSTITUTE(F1307,"" "",""""))),"""")"),"")</f>
        <v/>
      </c>
      <c r="M1307" s="5" t="str">
        <f t="shared" si="6"/>
        <v/>
      </c>
      <c r="N1307" s="5" t="str">
        <f>IFERROR(__xludf.DUMMYFUNCTION("IF(AND(F1307&lt;&gt;"""",REGEXMATCH(SUBSTITUTE(F1307,"" "",""""),""^-?\d+(\.\d+)?,-?\d+(\.\d+)?$""),VALUE(REGEXEXTRACT(SUBSTITUTE(F1307,"" "",""""),""^-?\d+(\.\d+)?""))&gt;=-90,VALUE(REGEXEXTRACT(SUBSTITUTE(F1307,"" "",""""),""^-?\d+(\.\d+)?""))&lt;=90,VALUE(REGEXEXT"&amp;"RACT(SUBSTITUTE(F1307,"" "",""""),""-?\d+(\.\d+)?$""))&gt;=-180,VALUE(REGEXEXTRACT(SUBSTITUTE(F1307,"" "",""""),""-?\d+(\.\d+)?$""))&lt;=180),""OK"",""REVISAR"")"),"#N/A")</f>
        <v>#N/A</v>
      </c>
    </row>
    <row r="1308" ht="15.75" customHeight="1">
      <c r="A1308" s="5" t="str">
        <f t="shared" si="1"/>
        <v>AD507-1306</v>
      </c>
      <c r="C1308" s="5"/>
      <c r="F1308" s="5"/>
      <c r="G1308" s="5" t="str">
        <f t="shared" si="2"/>
        <v/>
      </c>
      <c r="H1308" s="5" t="str">
        <f t="shared" si="3"/>
        <v/>
      </c>
      <c r="I1308" s="5" t="str">
        <f t="shared" si="4"/>
        <v/>
      </c>
      <c r="J1308" s="5" t="str">
        <f t="shared" si="5"/>
        <v/>
      </c>
      <c r="K1308" s="5" t="str">
        <f>IFERROR(__xludf.DUMMYFUNCTION("IF(C1308&lt;&gt;"""",HYPERLINK(""https://wa.me/507""&amp;REGEXREPLACE(C1308,""[^0-9]"","""")&amp;""?text=""&amp;ENCODEURL(""Ya llegue. Codigo: ""&amp;A1308&amp;"". Ubicacion: ""&amp;""https://www.google.com/maps/search/?api=1&amp;query=""&amp;SUBSTITUTE(F1308,"" "","""")),""📲 Avisar al clien"&amp;"te""),"""")"),"")</f>
        <v/>
      </c>
      <c r="L1308" s="5" t="str">
        <f>IFERROR(__xludf.DUMMYFUNCTION("IF(C1308&lt;&gt;"""",""https://api.qrserver.com/v1/create-qr-code/?size=200x200&amp;data=""&amp;ENCODEURL(""https://wa.me/507""&amp;REGEXREPLACE(C1308,""[^0-9]"","""")&amp;""?text=""&amp;ENCODEURL(""Ya llegue. Codigo: ""&amp;A1308&amp;"". Ubicacion: ""&amp;""https://www.google.com/maps/search"&amp;"/?api=1&amp;query=""&amp;SUBSTITUTE(F1308,"" "",""""))),"""")"),"")</f>
        <v/>
      </c>
      <c r="M1308" s="5" t="str">
        <f t="shared" si="6"/>
        <v/>
      </c>
      <c r="N1308" s="5" t="str">
        <f>IFERROR(__xludf.DUMMYFUNCTION("IF(AND(F1308&lt;&gt;"""",REGEXMATCH(SUBSTITUTE(F1308,"" "",""""),""^-?\d+(\.\d+)?,-?\d+(\.\d+)?$""),VALUE(REGEXEXTRACT(SUBSTITUTE(F1308,"" "",""""),""^-?\d+(\.\d+)?""))&gt;=-90,VALUE(REGEXEXTRACT(SUBSTITUTE(F1308,"" "",""""),""^-?\d+(\.\d+)?""))&lt;=90,VALUE(REGEXEXT"&amp;"RACT(SUBSTITUTE(F1308,"" "",""""),""-?\d+(\.\d+)?$""))&gt;=-180,VALUE(REGEXEXTRACT(SUBSTITUTE(F1308,"" "",""""),""-?\d+(\.\d+)?$""))&lt;=180),""OK"",""REVISAR"")"),"#N/A")</f>
        <v>#N/A</v>
      </c>
    </row>
    <row r="1309" ht="15.75" customHeight="1">
      <c r="A1309" s="5" t="str">
        <f t="shared" si="1"/>
        <v>AD507-1307</v>
      </c>
      <c r="C1309" s="5"/>
      <c r="F1309" s="5"/>
      <c r="G1309" s="5" t="str">
        <f t="shared" si="2"/>
        <v/>
      </c>
      <c r="H1309" s="5" t="str">
        <f t="shared" si="3"/>
        <v/>
      </c>
      <c r="I1309" s="5" t="str">
        <f t="shared" si="4"/>
        <v/>
      </c>
      <c r="J1309" s="5" t="str">
        <f t="shared" si="5"/>
        <v/>
      </c>
      <c r="K1309" s="5" t="str">
        <f>IFERROR(__xludf.DUMMYFUNCTION("IF(C1309&lt;&gt;"""",HYPERLINK(""https://wa.me/507""&amp;REGEXREPLACE(C1309,""[^0-9]"","""")&amp;""?text=""&amp;ENCODEURL(""Ya llegue. Codigo: ""&amp;A1309&amp;"". Ubicacion: ""&amp;""https://www.google.com/maps/search/?api=1&amp;query=""&amp;SUBSTITUTE(F1309,"" "","""")),""📲 Avisar al clien"&amp;"te""),"""")"),"")</f>
        <v/>
      </c>
      <c r="L1309" s="5" t="str">
        <f>IFERROR(__xludf.DUMMYFUNCTION("IF(C1309&lt;&gt;"""",""https://api.qrserver.com/v1/create-qr-code/?size=200x200&amp;data=""&amp;ENCODEURL(""https://wa.me/507""&amp;REGEXREPLACE(C1309,""[^0-9]"","""")&amp;""?text=""&amp;ENCODEURL(""Ya llegue. Codigo: ""&amp;A1309&amp;"". Ubicacion: ""&amp;""https://www.google.com/maps/search"&amp;"/?api=1&amp;query=""&amp;SUBSTITUTE(F1309,"" "",""""))),"""")"),"")</f>
        <v/>
      </c>
      <c r="M1309" s="5" t="str">
        <f t="shared" si="6"/>
        <v/>
      </c>
      <c r="N1309" s="5" t="str">
        <f>IFERROR(__xludf.DUMMYFUNCTION("IF(AND(F1309&lt;&gt;"""",REGEXMATCH(SUBSTITUTE(F1309,"" "",""""),""^-?\d+(\.\d+)?,-?\d+(\.\d+)?$""),VALUE(REGEXEXTRACT(SUBSTITUTE(F1309,"" "",""""),""^-?\d+(\.\d+)?""))&gt;=-90,VALUE(REGEXEXTRACT(SUBSTITUTE(F1309,"" "",""""),""^-?\d+(\.\d+)?""))&lt;=90,VALUE(REGEXEXT"&amp;"RACT(SUBSTITUTE(F1309,"" "",""""),""-?\d+(\.\d+)?$""))&gt;=-180,VALUE(REGEXEXTRACT(SUBSTITUTE(F1309,"" "",""""),""-?\d+(\.\d+)?$""))&lt;=180),""OK"",""REVISAR"")"),"#N/A")</f>
        <v>#N/A</v>
      </c>
    </row>
    <row r="1310" ht="15.75" customHeight="1">
      <c r="A1310" s="5" t="str">
        <f t="shared" si="1"/>
        <v>AD507-1308</v>
      </c>
      <c r="C1310" s="5"/>
      <c r="F1310" s="5"/>
      <c r="G1310" s="5" t="str">
        <f t="shared" si="2"/>
        <v/>
      </c>
      <c r="H1310" s="5" t="str">
        <f t="shared" si="3"/>
        <v/>
      </c>
      <c r="I1310" s="5" t="str">
        <f t="shared" si="4"/>
        <v/>
      </c>
      <c r="J1310" s="5" t="str">
        <f t="shared" si="5"/>
        <v/>
      </c>
      <c r="K1310" s="5" t="str">
        <f>IFERROR(__xludf.DUMMYFUNCTION("IF(C1310&lt;&gt;"""",HYPERLINK(""https://wa.me/507""&amp;REGEXREPLACE(C1310,""[^0-9]"","""")&amp;""?text=""&amp;ENCODEURL(""Ya llegue. Codigo: ""&amp;A1310&amp;"". Ubicacion: ""&amp;""https://www.google.com/maps/search/?api=1&amp;query=""&amp;SUBSTITUTE(F1310,"" "","""")),""📲 Avisar al clien"&amp;"te""),"""")"),"")</f>
        <v/>
      </c>
      <c r="L1310" s="5" t="str">
        <f>IFERROR(__xludf.DUMMYFUNCTION("IF(C1310&lt;&gt;"""",""https://api.qrserver.com/v1/create-qr-code/?size=200x200&amp;data=""&amp;ENCODEURL(""https://wa.me/507""&amp;REGEXREPLACE(C1310,""[^0-9]"","""")&amp;""?text=""&amp;ENCODEURL(""Ya llegue. Codigo: ""&amp;A1310&amp;"". Ubicacion: ""&amp;""https://www.google.com/maps/search"&amp;"/?api=1&amp;query=""&amp;SUBSTITUTE(F1310,"" "",""""))),"""")"),"")</f>
        <v/>
      </c>
      <c r="M1310" s="5" t="str">
        <f t="shared" si="6"/>
        <v/>
      </c>
      <c r="N1310" s="5" t="str">
        <f>IFERROR(__xludf.DUMMYFUNCTION("IF(AND(F1310&lt;&gt;"""",REGEXMATCH(SUBSTITUTE(F1310,"" "",""""),""^-?\d+(\.\d+)?,-?\d+(\.\d+)?$""),VALUE(REGEXEXTRACT(SUBSTITUTE(F1310,"" "",""""),""^-?\d+(\.\d+)?""))&gt;=-90,VALUE(REGEXEXTRACT(SUBSTITUTE(F1310,"" "",""""),""^-?\d+(\.\d+)?""))&lt;=90,VALUE(REGEXEXT"&amp;"RACT(SUBSTITUTE(F1310,"" "",""""),""-?\d+(\.\d+)?$""))&gt;=-180,VALUE(REGEXEXTRACT(SUBSTITUTE(F1310,"" "",""""),""-?\d+(\.\d+)?$""))&lt;=180),""OK"",""REVISAR"")"),"#N/A")</f>
        <v>#N/A</v>
      </c>
    </row>
    <row r="1311" ht="15.75" customHeight="1">
      <c r="A1311" s="5" t="str">
        <f t="shared" si="1"/>
        <v>AD507-1309</v>
      </c>
      <c r="C1311" s="5"/>
      <c r="F1311" s="5"/>
      <c r="G1311" s="5" t="str">
        <f t="shared" si="2"/>
        <v/>
      </c>
      <c r="H1311" s="5" t="str">
        <f t="shared" si="3"/>
        <v/>
      </c>
      <c r="I1311" s="5" t="str">
        <f t="shared" si="4"/>
        <v/>
      </c>
      <c r="J1311" s="5" t="str">
        <f t="shared" si="5"/>
        <v/>
      </c>
      <c r="K1311" s="5" t="str">
        <f>IFERROR(__xludf.DUMMYFUNCTION("IF(C1311&lt;&gt;"""",HYPERLINK(""https://wa.me/507""&amp;REGEXREPLACE(C1311,""[^0-9]"","""")&amp;""?text=""&amp;ENCODEURL(""Ya llegue. Codigo: ""&amp;A1311&amp;"". Ubicacion: ""&amp;""https://www.google.com/maps/search/?api=1&amp;query=""&amp;SUBSTITUTE(F1311,"" "","""")),""📲 Avisar al clien"&amp;"te""),"""")"),"")</f>
        <v/>
      </c>
      <c r="L1311" s="5" t="str">
        <f>IFERROR(__xludf.DUMMYFUNCTION("IF(C1311&lt;&gt;"""",""https://api.qrserver.com/v1/create-qr-code/?size=200x200&amp;data=""&amp;ENCODEURL(""https://wa.me/507""&amp;REGEXREPLACE(C1311,""[^0-9]"","""")&amp;""?text=""&amp;ENCODEURL(""Ya llegue. Codigo: ""&amp;A1311&amp;"". Ubicacion: ""&amp;""https://www.google.com/maps/search"&amp;"/?api=1&amp;query=""&amp;SUBSTITUTE(F1311,"" "",""""))),"""")"),"")</f>
        <v/>
      </c>
      <c r="M1311" s="5" t="str">
        <f t="shared" si="6"/>
        <v/>
      </c>
      <c r="N1311" s="5" t="str">
        <f>IFERROR(__xludf.DUMMYFUNCTION("IF(AND(F1311&lt;&gt;"""",REGEXMATCH(SUBSTITUTE(F1311,"" "",""""),""^-?\d+(\.\d+)?,-?\d+(\.\d+)?$""),VALUE(REGEXEXTRACT(SUBSTITUTE(F1311,"" "",""""),""^-?\d+(\.\d+)?""))&gt;=-90,VALUE(REGEXEXTRACT(SUBSTITUTE(F1311,"" "",""""),""^-?\d+(\.\d+)?""))&lt;=90,VALUE(REGEXEXT"&amp;"RACT(SUBSTITUTE(F1311,"" "",""""),""-?\d+(\.\d+)?$""))&gt;=-180,VALUE(REGEXEXTRACT(SUBSTITUTE(F1311,"" "",""""),""-?\d+(\.\d+)?$""))&lt;=180),""OK"",""REVISAR"")"),"#N/A")</f>
        <v>#N/A</v>
      </c>
    </row>
    <row r="1312" ht="15.75" customHeight="1">
      <c r="A1312" s="5" t="str">
        <f t="shared" si="1"/>
        <v>AD507-1310</v>
      </c>
      <c r="C1312" s="5"/>
      <c r="F1312" s="5"/>
      <c r="G1312" s="5" t="str">
        <f t="shared" si="2"/>
        <v/>
      </c>
      <c r="H1312" s="5" t="str">
        <f t="shared" si="3"/>
        <v/>
      </c>
      <c r="I1312" s="5" t="str">
        <f t="shared" si="4"/>
        <v/>
      </c>
      <c r="J1312" s="5" t="str">
        <f t="shared" si="5"/>
        <v/>
      </c>
      <c r="K1312" s="5" t="str">
        <f>IFERROR(__xludf.DUMMYFUNCTION("IF(C1312&lt;&gt;"""",HYPERLINK(""https://wa.me/507""&amp;REGEXREPLACE(C1312,""[^0-9]"","""")&amp;""?text=""&amp;ENCODEURL(""Ya llegue. Codigo: ""&amp;A1312&amp;"". Ubicacion: ""&amp;""https://www.google.com/maps/search/?api=1&amp;query=""&amp;SUBSTITUTE(F1312,"" "","""")),""📲 Avisar al clien"&amp;"te""),"""")"),"")</f>
        <v/>
      </c>
      <c r="L1312" s="5" t="str">
        <f>IFERROR(__xludf.DUMMYFUNCTION("IF(C1312&lt;&gt;"""",""https://api.qrserver.com/v1/create-qr-code/?size=200x200&amp;data=""&amp;ENCODEURL(""https://wa.me/507""&amp;REGEXREPLACE(C1312,""[^0-9]"","""")&amp;""?text=""&amp;ENCODEURL(""Ya llegue. Codigo: ""&amp;A1312&amp;"". Ubicacion: ""&amp;""https://www.google.com/maps/search"&amp;"/?api=1&amp;query=""&amp;SUBSTITUTE(F1312,"" "",""""))),"""")"),"")</f>
        <v/>
      </c>
      <c r="M1312" s="5" t="str">
        <f t="shared" si="6"/>
        <v/>
      </c>
      <c r="N1312" s="5" t="str">
        <f>IFERROR(__xludf.DUMMYFUNCTION("IF(AND(F1312&lt;&gt;"""",REGEXMATCH(SUBSTITUTE(F1312,"" "",""""),""^-?\d+(\.\d+)?,-?\d+(\.\d+)?$""),VALUE(REGEXEXTRACT(SUBSTITUTE(F1312,"" "",""""),""^-?\d+(\.\d+)?""))&gt;=-90,VALUE(REGEXEXTRACT(SUBSTITUTE(F1312,"" "",""""),""^-?\d+(\.\d+)?""))&lt;=90,VALUE(REGEXEXT"&amp;"RACT(SUBSTITUTE(F1312,"" "",""""),""-?\d+(\.\d+)?$""))&gt;=-180,VALUE(REGEXEXTRACT(SUBSTITUTE(F1312,"" "",""""),""-?\d+(\.\d+)?$""))&lt;=180),""OK"",""REVISAR"")"),"#N/A")</f>
        <v>#N/A</v>
      </c>
    </row>
    <row r="1313" ht="15.75" customHeight="1">
      <c r="A1313" s="5" t="str">
        <f t="shared" si="1"/>
        <v>AD507-1311</v>
      </c>
      <c r="C1313" s="5"/>
      <c r="F1313" s="5"/>
      <c r="G1313" s="5" t="str">
        <f t="shared" si="2"/>
        <v/>
      </c>
      <c r="H1313" s="5" t="str">
        <f t="shared" si="3"/>
        <v/>
      </c>
      <c r="I1313" s="5" t="str">
        <f t="shared" si="4"/>
        <v/>
      </c>
      <c r="J1313" s="5" t="str">
        <f t="shared" si="5"/>
        <v/>
      </c>
      <c r="K1313" s="5" t="str">
        <f>IFERROR(__xludf.DUMMYFUNCTION("IF(C1313&lt;&gt;"""",HYPERLINK(""https://wa.me/507""&amp;REGEXREPLACE(C1313,""[^0-9]"","""")&amp;""?text=""&amp;ENCODEURL(""Ya llegue. Codigo: ""&amp;A1313&amp;"". Ubicacion: ""&amp;""https://www.google.com/maps/search/?api=1&amp;query=""&amp;SUBSTITUTE(F1313,"" "","""")),""📲 Avisar al clien"&amp;"te""),"""")"),"")</f>
        <v/>
      </c>
      <c r="L1313" s="5" t="str">
        <f>IFERROR(__xludf.DUMMYFUNCTION("IF(C1313&lt;&gt;"""",""https://api.qrserver.com/v1/create-qr-code/?size=200x200&amp;data=""&amp;ENCODEURL(""https://wa.me/507""&amp;REGEXREPLACE(C1313,""[^0-9]"","""")&amp;""?text=""&amp;ENCODEURL(""Ya llegue. Codigo: ""&amp;A1313&amp;"". Ubicacion: ""&amp;""https://www.google.com/maps/search"&amp;"/?api=1&amp;query=""&amp;SUBSTITUTE(F1313,"" "",""""))),"""")"),"")</f>
        <v/>
      </c>
      <c r="M1313" s="5" t="str">
        <f t="shared" si="6"/>
        <v/>
      </c>
      <c r="N1313" s="5" t="str">
        <f>IFERROR(__xludf.DUMMYFUNCTION("IF(AND(F1313&lt;&gt;"""",REGEXMATCH(SUBSTITUTE(F1313,"" "",""""),""^-?\d+(\.\d+)?,-?\d+(\.\d+)?$""),VALUE(REGEXEXTRACT(SUBSTITUTE(F1313,"" "",""""),""^-?\d+(\.\d+)?""))&gt;=-90,VALUE(REGEXEXTRACT(SUBSTITUTE(F1313,"" "",""""),""^-?\d+(\.\d+)?""))&lt;=90,VALUE(REGEXEXT"&amp;"RACT(SUBSTITUTE(F1313,"" "",""""),""-?\d+(\.\d+)?$""))&gt;=-180,VALUE(REGEXEXTRACT(SUBSTITUTE(F1313,"" "",""""),""-?\d+(\.\d+)?$""))&lt;=180),""OK"",""REVISAR"")"),"#N/A")</f>
        <v>#N/A</v>
      </c>
    </row>
    <row r="1314" ht="15.75" customHeight="1">
      <c r="A1314" s="5" t="str">
        <f t="shared" si="1"/>
        <v>AD507-1312</v>
      </c>
      <c r="C1314" s="5"/>
      <c r="F1314" s="5"/>
      <c r="G1314" s="5" t="str">
        <f t="shared" si="2"/>
        <v/>
      </c>
      <c r="H1314" s="5" t="str">
        <f t="shared" si="3"/>
        <v/>
      </c>
      <c r="I1314" s="5" t="str">
        <f t="shared" si="4"/>
        <v/>
      </c>
      <c r="J1314" s="5" t="str">
        <f t="shared" si="5"/>
        <v/>
      </c>
      <c r="K1314" s="5" t="str">
        <f>IFERROR(__xludf.DUMMYFUNCTION("IF(C1314&lt;&gt;"""",HYPERLINK(""https://wa.me/507""&amp;REGEXREPLACE(C1314,""[^0-9]"","""")&amp;""?text=""&amp;ENCODEURL(""Ya llegue. Codigo: ""&amp;A1314&amp;"". Ubicacion: ""&amp;""https://www.google.com/maps/search/?api=1&amp;query=""&amp;SUBSTITUTE(F1314,"" "","""")),""📲 Avisar al clien"&amp;"te""),"""")"),"")</f>
        <v/>
      </c>
      <c r="L1314" s="5" t="str">
        <f>IFERROR(__xludf.DUMMYFUNCTION("IF(C1314&lt;&gt;"""",""https://api.qrserver.com/v1/create-qr-code/?size=200x200&amp;data=""&amp;ENCODEURL(""https://wa.me/507""&amp;REGEXREPLACE(C1314,""[^0-9]"","""")&amp;""?text=""&amp;ENCODEURL(""Ya llegue. Codigo: ""&amp;A1314&amp;"". Ubicacion: ""&amp;""https://www.google.com/maps/search"&amp;"/?api=1&amp;query=""&amp;SUBSTITUTE(F1314,"" "",""""))),"""")"),"")</f>
        <v/>
      </c>
      <c r="M1314" s="5" t="str">
        <f t="shared" si="6"/>
        <v/>
      </c>
      <c r="N1314" s="5" t="str">
        <f>IFERROR(__xludf.DUMMYFUNCTION("IF(AND(F1314&lt;&gt;"""",REGEXMATCH(SUBSTITUTE(F1314,"" "",""""),""^-?\d+(\.\d+)?,-?\d+(\.\d+)?$""),VALUE(REGEXEXTRACT(SUBSTITUTE(F1314,"" "",""""),""^-?\d+(\.\d+)?""))&gt;=-90,VALUE(REGEXEXTRACT(SUBSTITUTE(F1314,"" "",""""),""^-?\d+(\.\d+)?""))&lt;=90,VALUE(REGEXEXT"&amp;"RACT(SUBSTITUTE(F1314,"" "",""""),""-?\d+(\.\d+)?$""))&gt;=-180,VALUE(REGEXEXTRACT(SUBSTITUTE(F1314,"" "",""""),""-?\d+(\.\d+)?$""))&lt;=180),""OK"",""REVISAR"")"),"#N/A")</f>
        <v>#N/A</v>
      </c>
    </row>
    <row r="1315" ht="15.75" customHeight="1">
      <c r="A1315" s="5" t="str">
        <f t="shared" si="1"/>
        <v>AD507-1313</v>
      </c>
      <c r="C1315" s="5"/>
      <c r="F1315" s="5"/>
      <c r="G1315" s="5" t="str">
        <f t="shared" si="2"/>
        <v/>
      </c>
      <c r="H1315" s="5" t="str">
        <f t="shared" si="3"/>
        <v/>
      </c>
      <c r="I1315" s="5" t="str">
        <f t="shared" si="4"/>
        <v/>
      </c>
      <c r="J1315" s="5" t="str">
        <f t="shared" si="5"/>
        <v/>
      </c>
      <c r="K1315" s="5" t="str">
        <f>IFERROR(__xludf.DUMMYFUNCTION("IF(C1315&lt;&gt;"""",HYPERLINK(""https://wa.me/507""&amp;REGEXREPLACE(C1315,""[^0-9]"","""")&amp;""?text=""&amp;ENCODEURL(""Ya llegue. Codigo: ""&amp;A1315&amp;"". Ubicacion: ""&amp;""https://www.google.com/maps/search/?api=1&amp;query=""&amp;SUBSTITUTE(F1315,"" "","""")),""📲 Avisar al clien"&amp;"te""),"""")"),"")</f>
        <v/>
      </c>
      <c r="L1315" s="5" t="str">
        <f>IFERROR(__xludf.DUMMYFUNCTION("IF(C1315&lt;&gt;"""",""https://api.qrserver.com/v1/create-qr-code/?size=200x200&amp;data=""&amp;ENCODEURL(""https://wa.me/507""&amp;REGEXREPLACE(C1315,""[^0-9]"","""")&amp;""?text=""&amp;ENCODEURL(""Ya llegue. Codigo: ""&amp;A1315&amp;"". Ubicacion: ""&amp;""https://www.google.com/maps/search"&amp;"/?api=1&amp;query=""&amp;SUBSTITUTE(F1315,"" "",""""))),"""")"),"")</f>
        <v/>
      </c>
      <c r="M1315" s="5" t="str">
        <f t="shared" si="6"/>
        <v/>
      </c>
      <c r="N1315" s="5" t="str">
        <f>IFERROR(__xludf.DUMMYFUNCTION("IF(AND(F1315&lt;&gt;"""",REGEXMATCH(SUBSTITUTE(F1315,"" "",""""),""^-?\d+(\.\d+)?,-?\d+(\.\d+)?$""),VALUE(REGEXEXTRACT(SUBSTITUTE(F1315,"" "",""""),""^-?\d+(\.\d+)?""))&gt;=-90,VALUE(REGEXEXTRACT(SUBSTITUTE(F1315,"" "",""""),""^-?\d+(\.\d+)?""))&lt;=90,VALUE(REGEXEXT"&amp;"RACT(SUBSTITUTE(F1315,"" "",""""),""-?\d+(\.\d+)?$""))&gt;=-180,VALUE(REGEXEXTRACT(SUBSTITUTE(F1315,"" "",""""),""-?\d+(\.\d+)?$""))&lt;=180),""OK"",""REVISAR"")"),"#N/A")</f>
        <v>#N/A</v>
      </c>
    </row>
    <row r="1316" ht="15.75" customHeight="1">
      <c r="A1316" s="5" t="str">
        <f t="shared" si="1"/>
        <v>AD507-1314</v>
      </c>
      <c r="C1316" s="5"/>
      <c r="F1316" s="5"/>
      <c r="G1316" s="5" t="str">
        <f t="shared" si="2"/>
        <v/>
      </c>
      <c r="H1316" s="5" t="str">
        <f t="shared" si="3"/>
        <v/>
      </c>
      <c r="I1316" s="5" t="str">
        <f t="shared" si="4"/>
        <v/>
      </c>
      <c r="J1316" s="5" t="str">
        <f t="shared" si="5"/>
        <v/>
      </c>
      <c r="K1316" s="5" t="str">
        <f>IFERROR(__xludf.DUMMYFUNCTION("IF(C1316&lt;&gt;"""",HYPERLINK(""https://wa.me/507""&amp;REGEXREPLACE(C1316,""[^0-9]"","""")&amp;""?text=""&amp;ENCODEURL(""Ya llegue. Codigo: ""&amp;A1316&amp;"". Ubicacion: ""&amp;""https://www.google.com/maps/search/?api=1&amp;query=""&amp;SUBSTITUTE(F1316,"" "","""")),""📲 Avisar al clien"&amp;"te""),"""")"),"")</f>
        <v/>
      </c>
      <c r="L1316" s="5" t="str">
        <f>IFERROR(__xludf.DUMMYFUNCTION("IF(C1316&lt;&gt;"""",""https://api.qrserver.com/v1/create-qr-code/?size=200x200&amp;data=""&amp;ENCODEURL(""https://wa.me/507""&amp;REGEXREPLACE(C1316,""[^0-9]"","""")&amp;""?text=""&amp;ENCODEURL(""Ya llegue. Codigo: ""&amp;A1316&amp;"". Ubicacion: ""&amp;""https://www.google.com/maps/search"&amp;"/?api=1&amp;query=""&amp;SUBSTITUTE(F1316,"" "",""""))),"""")"),"")</f>
        <v/>
      </c>
      <c r="M1316" s="5" t="str">
        <f t="shared" si="6"/>
        <v/>
      </c>
      <c r="N1316" s="5" t="str">
        <f>IFERROR(__xludf.DUMMYFUNCTION("IF(AND(F1316&lt;&gt;"""",REGEXMATCH(SUBSTITUTE(F1316,"" "",""""),""^-?\d+(\.\d+)?,-?\d+(\.\d+)?$""),VALUE(REGEXEXTRACT(SUBSTITUTE(F1316,"" "",""""),""^-?\d+(\.\d+)?""))&gt;=-90,VALUE(REGEXEXTRACT(SUBSTITUTE(F1316,"" "",""""),""^-?\d+(\.\d+)?""))&lt;=90,VALUE(REGEXEXT"&amp;"RACT(SUBSTITUTE(F1316,"" "",""""),""-?\d+(\.\d+)?$""))&gt;=-180,VALUE(REGEXEXTRACT(SUBSTITUTE(F1316,"" "",""""),""-?\d+(\.\d+)?$""))&lt;=180),""OK"",""REVISAR"")"),"#N/A")</f>
        <v>#N/A</v>
      </c>
    </row>
    <row r="1317" ht="15.75" customHeight="1">
      <c r="A1317" s="5" t="str">
        <f t="shared" si="1"/>
        <v>AD507-1315</v>
      </c>
      <c r="C1317" s="5"/>
      <c r="F1317" s="5"/>
      <c r="G1317" s="5" t="str">
        <f t="shared" si="2"/>
        <v/>
      </c>
      <c r="H1317" s="5" t="str">
        <f t="shared" si="3"/>
        <v/>
      </c>
      <c r="I1317" s="5" t="str">
        <f t="shared" si="4"/>
        <v/>
      </c>
      <c r="J1317" s="5" t="str">
        <f t="shared" si="5"/>
        <v/>
      </c>
      <c r="K1317" s="5" t="str">
        <f>IFERROR(__xludf.DUMMYFUNCTION("IF(C1317&lt;&gt;"""",HYPERLINK(""https://wa.me/507""&amp;REGEXREPLACE(C1317,""[^0-9]"","""")&amp;""?text=""&amp;ENCODEURL(""Ya llegue. Codigo: ""&amp;A1317&amp;"". Ubicacion: ""&amp;""https://www.google.com/maps/search/?api=1&amp;query=""&amp;SUBSTITUTE(F1317,"" "","""")),""📲 Avisar al clien"&amp;"te""),"""")"),"")</f>
        <v/>
      </c>
      <c r="L1317" s="5" t="str">
        <f>IFERROR(__xludf.DUMMYFUNCTION("IF(C1317&lt;&gt;"""",""https://api.qrserver.com/v1/create-qr-code/?size=200x200&amp;data=""&amp;ENCODEURL(""https://wa.me/507""&amp;REGEXREPLACE(C1317,""[^0-9]"","""")&amp;""?text=""&amp;ENCODEURL(""Ya llegue. Codigo: ""&amp;A1317&amp;"". Ubicacion: ""&amp;""https://www.google.com/maps/search"&amp;"/?api=1&amp;query=""&amp;SUBSTITUTE(F1317,"" "",""""))),"""")"),"")</f>
        <v/>
      </c>
      <c r="M1317" s="5" t="str">
        <f t="shared" si="6"/>
        <v/>
      </c>
      <c r="N1317" s="5" t="str">
        <f>IFERROR(__xludf.DUMMYFUNCTION("IF(AND(F1317&lt;&gt;"""",REGEXMATCH(SUBSTITUTE(F1317,"" "",""""),""^-?\d+(\.\d+)?,-?\d+(\.\d+)?$""),VALUE(REGEXEXTRACT(SUBSTITUTE(F1317,"" "",""""),""^-?\d+(\.\d+)?""))&gt;=-90,VALUE(REGEXEXTRACT(SUBSTITUTE(F1317,"" "",""""),""^-?\d+(\.\d+)?""))&lt;=90,VALUE(REGEXEXT"&amp;"RACT(SUBSTITUTE(F1317,"" "",""""),""-?\d+(\.\d+)?$""))&gt;=-180,VALUE(REGEXEXTRACT(SUBSTITUTE(F1317,"" "",""""),""-?\d+(\.\d+)?$""))&lt;=180),""OK"",""REVISAR"")"),"#N/A")</f>
        <v>#N/A</v>
      </c>
    </row>
    <row r="1318" ht="15.75" customHeight="1">
      <c r="A1318" s="5" t="str">
        <f t="shared" si="1"/>
        <v>AD507-1316</v>
      </c>
      <c r="C1318" s="5"/>
      <c r="F1318" s="5"/>
      <c r="G1318" s="5" t="str">
        <f t="shared" si="2"/>
        <v/>
      </c>
      <c r="H1318" s="5" t="str">
        <f t="shared" si="3"/>
        <v/>
      </c>
      <c r="I1318" s="5" t="str">
        <f t="shared" si="4"/>
        <v/>
      </c>
      <c r="J1318" s="5" t="str">
        <f t="shared" si="5"/>
        <v/>
      </c>
      <c r="K1318" s="5" t="str">
        <f>IFERROR(__xludf.DUMMYFUNCTION("IF(C1318&lt;&gt;"""",HYPERLINK(""https://wa.me/507""&amp;REGEXREPLACE(C1318,""[^0-9]"","""")&amp;""?text=""&amp;ENCODEURL(""Ya llegue. Codigo: ""&amp;A1318&amp;"". Ubicacion: ""&amp;""https://www.google.com/maps/search/?api=1&amp;query=""&amp;SUBSTITUTE(F1318,"" "","""")),""📲 Avisar al clien"&amp;"te""),"""")"),"")</f>
        <v/>
      </c>
      <c r="L1318" s="5" t="str">
        <f>IFERROR(__xludf.DUMMYFUNCTION("IF(C1318&lt;&gt;"""",""https://api.qrserver.com/v1/create-qr-code/?size=200x200&amp;data=""&amp;ENCODEURL(""https://wa.me/507""&amp;REGEXREPLACE(C1318,""[^0-9]"","""")&amp;""?text=""&amp;ENCODEURL(""Ya llegue. Codigo: ""&amp;A1318&amp;"". Ubicacion: ""&amp;""https://www.google.com/maps/search"&amp;"/?api=1&amp;query=""&amp;SUBSTITUTE(F1318,"" "",""""))),"""")"),"")</f>
        <v/>
      </c>
      <c r="M1318" s="5" t="str">
        <f t="shared" si="6"/>
        <v/>
      </c>
      <c r="N1318" s="5" t="str">
        <f>IFERROR(__xludf.DUMMYFUNCTION("IF(AND(F1318&lt;&gt;"""",REGEXMATCH(SUBSTITUTE(F1318,"" "",""""),""^-?\d+(\.\d+)?,-?\d+(\.\d+)?$""),VALUE(REGEXEXTRACT(SUBSTITUTE(F1318,"" "",""""),""^-?\d+(\.\d+)?""))&gt;=-90,VALUE(REGEXEXTRACT(SUBSTITUTE(F1318,"" "",""""),""^-?\d+(\.\d+)?""))&lt;=90,VALUE(REGEXEXT"&amp;"RACT(SUBSTITUTE(F1318,"" "",""""),""-?\d+(\.\d+)?$""))&gt;=-180,VALUE(REGEXEXTRACT(SUBSTITUTE(F1318,"" "",""""),""-?\d+(\.\d+)?$""))&lt;=180),""OK"",""REVISAR"")"),"#N/A")</f>
        <v>#N/A</v>
      </c>
    </row>
    <row r="1319" ht="15.75" customHeight="1">
      <c r="A1319" s="5" t="str">
        <f t="shared" si="1"/>
        <v>AD507-1317</v>
      </c>
      <c r="C1319" s="5"/>
      <c r="F1319" s="5"/>
      <c r="G1319" s="5" t="str">
        <f t="shared" si="2"/>
        <v/>
      </c>
      <c r="H1319" s="5" t="str">
        <f t="shared" si="3"/>
        <v/>
      </c>
      <c r="I1319" s="5" t="str">
        <f t="shared" si="4"/>
        <v/>
      </c>
      <c r="J1319" s="5" t="str">
        <f t="shared" si="5"/>
        <v/>
      </c>
      <c r="K1319" s="5" t="str">
        <f>IFERROR(__xludf.DUMMYFUNCTION("IF(C1319&lt;&gt;"""",HYPERLINK(""https://wa.me/507""&amp;REGEXREPLACE(C1319,""[^0-9]"","""")&amp;""?text=""&amp;ENCODEURL(""Ya llegue. Codigo: ""&amp;A1319&amp;"". Ubicacion: ""&amp;""https://www.google.com/maps/search/?api=1&amp;query=""&amp;SUBSTITUTE(F1319,"" "","""")),""📲 Avisar al clien"&amp;"te""),"""")"),"")</f>
        <v/>
      </c>
      <c r="L1319" s="5" t="str">
        <f>IFERROR(__xludf.DUMMYFUNCTION("IF(C1319&lt;&gt;"""",""https://api.qrserver.com/v1/create-qr-code/?size=200x200&amp;data=""&amp;ENCODEURL(""https://wa.me/507""&amp;REGEXREPLACE(C1319,""[^0-9]"","""")&amp;""?text=""&amp;ENCODEURL(""Ya llegue. Codigo: ""&amp;A1319&amp;"". Ubicacion: ""&amp;""https://www.google.com/maps/search"&amp;"/?api=1&amp;query=""&amp;SUBSTITUTE(F1319,"" "",""""))),"""")"),"")</f>
        <v/>
      </c>
      <c r="M1319" s="5" t="str">
        <f t="shared" si="6"/>
        <v/>
      </c>
      <c r="N1319" s="5" t="str">
        <f>IFERROR(__xludf.DUMMYFUNCTION("IF(AND(F1319&lt;&gt;"""",REGEXMATCH(SUBSTITUTE(F1319,"" "",""""),""^-?\d+(\.\d+)?,-?\d+(\.\d+)?$""),VALUE(REGEXEXTRACT(SUBSTITUTE(F1319,"" "",""""),""^-?\d+(\.\d+)?""))&gt;=-90,VALUE(REGEXEXTRACT(SUBSTITUTE(F1319,"" "",""""),""^-?\d+(\.\d+)?""))&lt;=90,VALUE(REGEXEXT"&amp;"RACT(SUBSTITUTE(F1319,"" "",""""),""-?\d+(\.\d+)?$""))&gt;=-180,VALUE(REGEXEXTRACT(SUBSTITUTE(F1319,"" "",""""),""-?\d+(\.\d+)?$""))&lt;=180),""OK"",""REVISAR"")"),"#N/A")</f>
        <v>#N/A</v>
      </c>
    </row>
    <row r="1320" ht="15.75" customHeight="1">
      <c r="A1320" s="5" t="str">
        <f t="shared" si="1"/>
        <v>AD507-1318</v>
      </c>
      <c r="C1320" s="5"/>
      <c r="F1320" s="5"/>
      <c r="G1320" s="5" t="str">
        <f t="shared" si="2"/>
        <v/>
      </c>
      <c r="H1320" s="5" t="str">
        <f t="shared" si="3"/>
        <v/>
      </c>
      <c r="I1320" s="5" t="str">
        <f t="shared" si="4"/>
        <v/>
      </c>
      <c r="J1320" s="5" t="str">
        <f t="shared" si="5"/>
        <v/>
      </c>
      <c r="K1320" s="5" t="str">
        <f>IFERROR(__xludf.DUMMYFUNCTION("IF(C1320&lt;&gt;"""",HYPERLINK(""https://wa.me/507""&amp;REGEXREPLACE(C1320,""[^0-9]"","""")&amp;""?text=""&amp;ENCODEURL(""Ya llegue. Codigo: ""&amp;A1320&amp;"". Ubicacion: ""&amp;""https://www.google.com/maps/search/?api=1&amp;query=""&amp;SUBSTITUTE(F1320,"" "","""")),""📲 Avisar al clien"&amp;"te""),"""")"),"")</f>
        <v/>
      </c>
      <c r="L1320" s="5" t="str">
        <f>IFERROR(__xludf.DUMMYFUNCTION("IF(C1320&lt;&gt;"""",""https://api.qrserver.com/v1/create-qr-code/?size=200x200&amp;data=""&amp;ENCODEURL(""https://wa.me/507""&amp;REGEXREPLACE(C1320,""[^0-9]"","""")&amp;""?text=""&amp;ENCODEURL(""Ya llegue. Codigo: ""&amp;A1320&amp;"". Ubicacion: ""&amp;""https://www.google.com/maps/search"&amp;"/?api=1&amp;query=""&amp;SUBSTITUTE(F1320,"" "",""""))),"""")"),"")</f>
        <v/>
      </c>
      <c r="M1320" s="5" t="str">
        <f t="shared" si="6"/>
        <v/>
      </c>
      <c r="N1320" s="5" t="str">
        <f>IFERROR(__xludf.DUMMYFUNCTION("IF(AND(F1320&lt;&gt;"""",REGEXMATCH(SUBSTITUTE(F1320,"" "",""""),""^-?\d+(\.\d+)?,-?\d+(\.\d+)?$""),VALUE(REGEXEXTRACT(SUBSTITUTE(F1320,"" "",""""),""^-?\d+(\.\d+)?""))&gt;=-90,VALUE(REGEXEXTRACT(SUBSTITUTE(F1320,"" "",""""),""^-?\d+(\.\d+)?""))&lt;=90,VALUE(REGEXEXT"&amp;"RACT(SUBSTITUTE(F1320,"" "",""""),""-?\d+(\.\d+)?$""))&gt;=-180,VALUE(REGEXEXTRACT(SUBSTITUTE(F1320,"" "",""""),""-?\d+(\.\d+)?$""))&lt;=180),""OK"",""REVISAR"")"),"#N/A")</f>
        <v>#N/A</v>
      </c>
    </row>
    <row r="1321" ht="15.75" customHeight="1">
      <c r="A1321" s="5" t="str">
        <f t="shared" si="1"/>
        <v>AD507-1319</v>
      </c>
      <c r="C1321" s="5"/>
      <c r="F1321" s="5"/>
      <c r="G1321" s="5" t="str">
        <f t="shared" si="2"/>
        <v/>
      </c>
      <c r="H1321" s="5" t="str">
        <f t="shared" si="3"/>
        <v/>
      </c>
      <c r="I1321" s="5" t="str">
        <f t="shared" si="4"/>
        <v/>
      </c>
      <c r="J1321" s="5" t="str">
        <f t="shared" si="5"/>
        <v/>
      </c>
      <c r="K1321" s="5" t="str">
        <f>IFERROR(__xludf.DUMMYFUNCTION("IF(C1321&lt;&gt;"""",HYPERLINK(""https://wa.me/507""&amp;REGEXREPLACE(C1321,""[^0-9]"","""")&amp;""?text=""&amp;ENCODEURL(""Ya llegue. Codigo: ""&amp;A1321&amp;"". Ubicacion: ""&amp;""https://www.google.com/maps/search/?api=1&amp;query=""&amp;SUBSTITUTE(F1321,"" "","""")),""📲 Avisar al clien"&amp;"te""),"""")"),"")</f>
        <v/>
      </c>
      <c r="L1321" s="5" t="str">
        <f>IFERROR(__xludf.DUMMYFUNCTION("IF(C1321&lt;&gt;"""",""https://api.qrserver.com/v1/create-qr-code/?size=200x200&amp;data=""&amp;ENCODEURL(""https://wa.me/507""&amp;REGEXREPLACE(C1321,""[^0-9]"","""")&amp;""?text=""&amp;ENCODEURL(""Ya llegue. Codigo: ""&amp;A1321&amp;"". Ubicacion: ""&amp;""https://www.google.com/maps/search"&amp;"/?api=1&amp;query=""&amp;SUBSTITUTE(F1321,"" "",""""))),"""")"),"")</f>
        <v/>
      </c>
      <c r="M1321" s="5" t="str">
        <f t="shared" si="6"/>
        <v/>
      </c>
      <c r="N1321" s="5" t="str">
        <f>IFERROR(__xludf.DUMMYFUNCTION("IF(AND(F1321&lt;&gt;"""",REGEXMATCH(SUBSTITUTE(F1321,"" "",""""),""^-?\d+(\.\d+)?,-?\d+(\.\d+)?$""),VALUE(REGEXEXTRACT(SUBSTITUTE(F1321,"" "",""""),""^-?\d+(\.\d+)?""))&gt;=-90,VALUE(REGEXEXTRACT(SUBSTITUTE(F1321,"" "",""""),""^-?\d+(\.\d+)?""))&lt;=90,VALUE(REGEXEXT"&amp;"RACT(SUBSTITUTE(F1321,"" "",""""),""-?\d+(\.\d+)?$""))&gt;=-180,VALUE(REGEXEXTRACT(SUBSTITUTE(F1321,"" "",""""),""-?\d+(\.\d+)?$""))&lt;=180),""OK"",""REVISAR"")"),"#N/A")</f>
        <v>#N/A</v>
      </c>
    </row>
    <row r="1322" ht="15.75" customHeight="1">
      <c r="A1322" s="5" t="str">
        <f t="shared" si="1"/>
        <v>AD507-1320</v>
      </c>
      <c r="C1322" s="5"/>
      <c r="F1322" s="5"/>
      <c r="G1322" s="5" t="str">
        <f t="shared" si="2"/>
        <v/>
      </c>
      <c r="H1322" s="5" t="str">
        <f t="shared" si="3"/>
        <v/>
      </c>
      <c r="I1322" s="5" t="str">
        <f t="shared" si="4"/>
        <v/>
      </c>
      <c r="J1322" s="5" t="str">
        <f t="shared" si="5"/>
        <v/>
      </c>
      <c r="K1322" s="5" t="str">
        <f>IFERROR(__xludf.DUMMYFUNCTION("IF(C1322&lt;&gt;"""",HYPERLINK(""https://wa.me/507""&amp;REGEXREPLACE(C1322,""[^0-9]"","""")&amp;""?text=""&amp;ENCODEURL(""Ya llegue. Codigo: ""&amp;A1322&amp;"". Ubicacion: ""&amp;""https://www.google.com/maps/search/?api=1&amp;query=""&amp;SUBSTITUTE(F1322,"" "","""")),""📲 Avisar al clien"&amp;"te""),"""")"),"")</f>
        <v/>
      </c>
      <c r="L1322" s="5" t="str">
        <f>IFERROR(__xludf.DUMMYFUNCTION("IF(C1322&lt;&gt;"""",""https://api.qrserver.com/v1/create-qr-code/?size=200x200&amp;data=""&amp;ENCODEURL(""https://wa.me/507""&amp;REGEXREPLACE(C1322,""[^0-9]"","""")&amp;""?text=""&amp;ENCODEURL(""Ya llegue. Codigo: ""&amp;A1322&amp;"". Ubicacion: ""&amp;""https://www.google.com/maps/search"&amp;"/?api=1&amp;query=""&amp;SUBSTITUTE(F1322,"" "",""""))),"""")"),"")</f>
        <v/>
      </c>
      <c r="M1322" s="5" t="str">
        <f t="shared" si="6"/>
        <v/>
      </c>
      <c r="N1322" s="5" t="str">
        <f>IFERROR(__xludf.DUMMYFUNCTION("IF(AND(F1322&lt;&gt;"""",REGEXMATCH(SUBSTITUTE(F1322,"" "",""""),""^-?\d+(\.\d+)?,-?\d+(\.\d+)?$""),VALUE(REGEXEXTRACT(SUBSTITUTE(F1322,"" "",""""),""^-?\d+(\.\d+)?""))&gt;=-90,VALUE(REGEXEXTRACT(SUBSTITUTE(F1322,"" "",""""),""^-?\d+(\.\d+)?""))&lt;=90,VALUE(REGEXEXT"&amp;"RACT(SUBSTITUTE(F1322,"" "",""""),""-?\d+(\.\d+)?$""))&gt;=-180,VALUE(REGEXEXTRACT(SUBSTITUTE(F1322,"" "",""""),""-?\d+(\.\d+)?$""))&lt;=180),""OK"",""REVISAR"")"),"#N/A")</f>
        <v>#N/A</v>
      </c>
    </row>
    <row r="1323" ht="15.75" customHeight="1">
      <c r="A1323" s="5" t="str">
        <f t="shared" si="1"/>
        <v>AD507-1321</v>
      </c>
      <c r="C1323" s="5"/>
      <c r="F1323" s="5"/>
      <c r="G1323" s="5" t="str">
        <f t="shared" si="2"/>
        <v/>
      </c>
      <c r="H1323" s="5" t="str">
        <f t="shared" si="3"/>
        <v/>
      </c>
      <c r="I1323" s="5" t="str">
        <f t="shared" si="4"/>
        <v/>
      </c>
      <c r="J1323" s="5" t="str">
        <f t="shared" si="5"/>
        <v/>
      </c>
      <c r="K1323" s="5" t="str">
        <f>IFERROR(__xludf.DUMMYFUNCTION("IF(C1323&lt;&gt;"""",HYPERLINK(""https://wa.me/507""&amp;REGEXREPLACE(C1323,""[^0-9]"","""")&amp;""?text=""&amp;ENCODEURL(""Ya llegue. Codigo: ""&amp;A1323&amp;"". Ubicacion: ""&amp;""https://www.google.com/maps/search/?api=1&amp;query=""&amp;SUBSTITUTE(F1323,"" "","""")),""📲 Avisar al clien"&amp;"te""),"""")"),"")</f>
        <v/>
      </c>
      <c r="L1323" s="5" t="str">
        <f>IFERROR(__xludf.DUMMYFUNCTION("IF(C1323&lt;&gt;"""",""https://api.qrserver.com/v1/create-qr-code/?size=200x200&amp;data=""&amp;ENCODEURL(""https://wa.me/507""&amp;REGEXREPLACE(C1323,""[^0-9]"","""")&amp;""?text=""&amp;ENCODEURL(""Ya llegue. Codigo: ""&amp;A1323&amp;"". Ubicacion: ""&amp;""https://www.google.com/maps/search"&amp;"/?api=1&amp;query=""&amp;SUBSTITUTE(F1323,"" "",""""))),"""")"),"")</f>
        <v/>
      </c>
      <c r="M1323" s="5" t="str">
        <f t="shared" si="6"/>
        <v/>
      </c>
      <c r="N1323" s="5" t="str">
        <f>IFERROR(__xludf.DUMMYFUNCTION("IF(AND(F1323&lt;&gt;"""",REGEXMATCH(SUBSTITUTE(F1323,"" "",""""),""^-?\d+(\.\d+)?,-?\d+(\.\d+)?$""),VALUE(REGEXEXTRACT(SUBSTITUTE(F1323,"" "",""""),""^-?\d+(\.\d+)?""))&gt;=-90,VALUE(REGEXEXTRACT(SUBSTITUTE(F1323,"" "",""""),""^-?\d+(\.\d+)?""))&lt;=90,VALUE(REGEXEXT"&amp;"RACT(SUBSTITUTE(F1323,"" "",""""),""-?\d+(\.\d+)?$""))&gt;=-180,VALUE(REGEXEXTRACT(SUBSTITUTE(F1323,"" "",""""),""-?\d+(\.\d+)?$""))&lt;=180),""OK"",""REVISAR"")"),"#N/A")</f>
        <v>#N/A</v>
      </c>
    </row>
    <row r="1324" ht="15.75" customHeight="1">
      <c r="A1324" s="5" t="str">
        <f t="shared" si="1"/>
        <v>AD507-1322</v>
      </c>
      <c r="C1324" s="5"/>
      <c r="F1324" s="5"/>
      <c r="G1324" s="5" t="str">
        <f t="shared" si="2"/>
        <v/>
      </c>
      <c r="H1324" s="5" t="str">
        <f t="shared" si="3"/>
        <v/>
      </c>
      <c r="I1324" s="5" t="str">
        <f t="shared" si="4"/>
        <v/>
      </c>
      <c r="J1324" s="5" t="str">
        <f t="shared" si="5"/>
        <v/>
      </c>
      <c r="K1324" s="5" t="str">
        <f>IFERROR(__xludf.DUMMYFUNCTION("IF(C1324&lt;&gt;"""",HYPERLINK(""https://wa.me/507""&amp;REGEXREPLACE(C1324,""[^0-9]"","""")&amp;""?text=""&amp;ENCODEURL(""Ya llegue. Codigo: ""&amp;A1324&amp;"". Ubicacion: ""&amp;""https://www.google.com/maps/search/?api=1&amp;query=""&amp;SUBSTITUTE(F1324,"" "","""")),""📲 Avisar al clien"&amp;"te""),"""")"),"")</f>
        <v/>
      </c>
      <c r="L1324" s="5" t="str">
        <f>IFERROR(__xludf.DUMMYFUNCTION("IF(C1324&lt;&gt;"""",""https://api.qrserver.com/v1/create-qr-code/?size=200x200&amp;data=""&amp;ENCODEURL(""https://wa.me/507""&amp;REGEXREPLACE(C1324,""[^0-9]"","""")&amp;""?text=""&amp;ENCODEURL(""Ya llegue. Codigo: ""&amp;A1324&amp;"". Ubicacion: ""&amp;""https://www.google.com/maps/search"&amp;"/?api=1&amp;query=""&amp;SUBSTITUTE(F1324,"" "",""""))),"""")"),"")</f>
        <v/>
      </c>
      <c r="M1324" s="5" t="str">
        <f t="shared" si="6"/>
        <v/>
      </c>
      <c r="N1324" s="5" t="str">
        <f>IFERROR(__xludf.DUMMYFUNCTION("IF(AND(F1324&lt;&gt;"""",REGEXMATCH(SUBSTITUTE(F1324,"" "",""""),""^-?\d+(\.\d+)?,-?\d+(\.\d+)?$""),VALUE(REGEXEXTRACT(SUBSTITUTE(F1324,"" "",""""),""^-?\d+(\.\d+)?""))&gt;=-90,VALUE(REGEXEXTRACT(SUBSTITUTE(F1324,"" "",""""),""^-?\d+(\.\d+)?""))&lt;=90,VALUE(REGEXEXT"&amp;"RACT(SUBSTITUTE(F1324,"" "",""""),""-?\d+(\.\d+)?$""))&gt;=-180,VALUE(REGEXEXTRACT(SUBSTITUTE(F1324,"" "",""""),""-?\d+(\.\d+)?$""))&lt;=180),""OK"",""REVISAR"")"),"#N/A")</f>
        <v>#N/A</v>
      </c>
    </row>
    <row r="1325" ht="15.75" customHeight="1">
      <c r="A1325" s="5" t="str">
        <f t="shared" si="1"/>
        <v>AD507-1323</v>
      </c>
      <c r="C1325" s="5"/>
      <c r="F1325" s="5"/>
      <c r="G1325" s="5" t="str">
        <f t="shared" si="2"/>
        <v/>
      </c>
      <c r="H1325" s="5" t="str">
        <f t="shared" si="3"/>
        <v/>
      </c>
      <c r="I1325" s="5" t="str">
        <f t="shared" si="4"/>
        <v/>
      </c>
      <c r="J1325" s="5" t="str">
        <f t="shared" si="5"/>
        <v/>
      </c>
      <c r="K1325" s="5" t="str">
        <f>IFERROR(__xludf.DUMMYFUNCTION("IF(C1325&lt;&gt;"""",HYPERLINK(""https://wa.me/507""&amp;REGEXREPLACE(C1325,""[^0-9]"","""")&amp;""?text=""&amp;ENCODEURL(""Ya llegue. Codigo: ""&amp;A1325&amp;"". Ubicacion: ""&amp;""https://www.google.com/maps/search/?api=1&amp;query=""&amp;SUBSTITUTE(F1325,"" "","""")),""📲 Avisar al clien"&amp;"te""),"""")"),"")</f>
        <v/>
      </c>
      <c r="L1325" s="5" t="str">
        <f>IFERROR(__xludf.DUMMYFUNCTION("IF(C1325&lt;&gt;"""",""https://api.qrserver.com/v1/create-qr-code/?size=200x200&amp;data=""&amp;ENCODEURL(""https://wa.me/507""&amp;REGEXREPLACE(C1325,""[^0-9]"","""")&amp;""?text=""&amp;ENCODEURL(""Ya llegue. Codigo: ""&amp;A1325&amp;"". Ubicacion: ""&amp;""https://www.google.com/maps/search"&amp;"/?api=1&amp;query=""&amp;SUBSTITUTE(F1325,"" "",""""))),"""")"),"")</f>
        <v/>
      </c>
      <c r="M1325" s="5" t="str">
        <f t="shared" si="6"/>
        <v/>
      </c>
      <c r="N1325" s="5" t="str">
        <f>IFERROR(__xludf.DUMMYFUNCTION("IF(AND(F1325&lt;&gt;"""",REGEXMATCH(SUBSTITUTE(F1325,"" "",""""),""^-?\d+(\.\d+)?,-?\d+(\.\d+)?$""),VALUE(REGEXEXTRACT(SUBSTITUTE(F1325,"" "",""""),""^-?\d+(\.\d+)?""))&gt;=-90,VALUE(REGEXEXTRACT(SUBSTITUTE(F1325,"" "",""""),""^-?\d+(\.\d+)?""))&lt;=90,VALUE(REGEXEXT"&amp;"RACT(SUBSTITUTE(F1325,"" "",""""),""-?\d+(\.\d+)?$""))&gt;=-180,VALUE(REGEXEXTRACT(SUBSTITUTE(F1325,"" "",""""),""-?\d+(\.\d+)?$""))&lt;=180),""OK"",""REVISAR"")"),"#N/A")</f>
        <v>#N/A</v>
      </c>
    </row>
    <row r="1326" ht="15.75" customHeight="1">
      <c r="A1326" s="5" t="str">
        <f t="shared" si="1"/>
        <v>AD507-1324</v>
      </c>
      <c r="C1326" s="5"/>
      <c r="F1326" s="5"/>
      <c r="G1326" s="5" t="str">
        <f t="shared" si="2"/>
        <v/>
      </c>
      <c r="H1326" s="5" t="str">
        <f t="shared" si="3"/>
        <v/>
      </c>
      <c r="I1326" s="5" t="str">
        <f t="shared" si="4"/>
        <v/>
      </c>
      <c r="J1326" s="5" t="str">
        <f t="shared" si="5"/>
        <v/>
      </c>
      <c r="K1326" s="5" t="str">
        <f>IFERROR(__xludf.DUMMYFUNCTION("IF(C1326&lt;&gt;"""",HYPERLINK(""https://wa.me/507""&amp;REGEXREPLACE(C1326,""[^0-9]"","""")&amp;""?text=""&amp;ENCODEURL(""Ya llegue. Codigo: ""&amp;A1326&amp;"". Ubicacion: ""&amp;""https://www.google.com/maps/search/?api=1&amp;query=""&amp;SUBSTITUTE(F1326,"" "","""")),""📲 Avisar al clien"&amp;"te""),"""")"),"")</f>
        <v/>
      </c>
      <c r="L1326" s="5" t="str">
        <f>IFERROR(__xludf.DUMMYFUNCTION("IF(C1326&lt;&gt;"""",""https://api.qrserver.com/v1/create-qr-code/?size=200x200&amp;data=""&amp;ENCODEURL(""https://wa.me/507""&amp;REGEXREPLACE(C1326,""[^0-9]"","""")&amp;""?text=""&amp;ENCODEURL(""Ya llegue. Codigo: ""&amp;A1326&amp;"". Ubicacion: ""&amp;""https://www.google.com/maps/search"&amp;"/?api=1&amp;query=""&amp;SUBSTITUTE(F1326,"" "",""""))),"""")"),"")</f>
        <v/>
      </c>
      <c r="M1326" s="5" t="str">
        <f t="shared" si="6"/>
        <v/>
      </c>
      <c r="N1326" s="5" t="str">
        <f>IFERROR(__xludf.DUMMYFUNCTION("IF(AND(F1326&lt;&gt;"""",REGEXMATCH(SUBSTITUTE(F1326,"" "",""""),""^-?\d+(\.\d+)?,-?\d+(\.\d+)?$""),VALUE(REGEXEXTRACT(SUBSTITUTE(F1326,"" "",""""),""^-?\d+(\.\d+)?""))&gt;=-90,VALUE(REGEXEXTRACT(SUBSTITUTE(F1326,"" "",""""),""^-?\d+(\.\d+)?""))&lt;=90,VALUE(REGEXEXT"&amp;"RACT(SUBSTITUTE(F1326,"" "",""""),""-?\d+(\.\d+)?$""))&gt;=-180,VALUE(REGEXEXTRACT(SUBSTITUTE(F1326,"" "",""""),""-?\d+(\.\d+)?$""))&lt;=180),""OK"",""REVISAR"")"),"#N/A")</f>
        <v>#N/A</v>
      </c>
    </row>
    <row r="1327" ht="15.75" customHeight="1">
      <c r="A1327" s="5" t="str">
        <f t="shared" si="1"/>
        <v>AD507-1325</v>
      </c>
      <c r="C1327" s="5"/>
      <c r="F1327" s="5"/>
      <c r="G1327" s="5" t="str">
        <f t="shared" si="2"/>
        <v/>
      </c>
      <c r="H1327" s="5" t="str">
        <f t="shared" si="3"/>
        <v/>
      </c>
      <c r="I1327" s="5" t="str">
        <f t="shared" si="4"/>
        <v/>
      </c>
      <c r="J1327" s="5" t="str">
        <f t="shared" si="5"/>
        <v/>
      </c>
      <c r="K1327" s="5" t="str">
        <f>IFERROR(__xludf.DUMMYFUNCTION("IF(C1327&lt;&gt;"""",HYPERLINK(""https://wa.me/507""&amp;REGEXREPLACE(C1327,""[^0-9]"","""")&amp;""?text=""&amp;ENCODEURL(""Ya llegue. Codigo: ""&amp;A1327&amp;"". Ubicacion: ""&amp;""https://www.google.com/maps/search/?api=1&amp;query=""&amp;SUBSTITUTE(F1327,"" "","""")),""📲 Avisar al clien"&amp;"te""),"""")"),"")</f>
        <v/>
      </c>
      <c r="L1327" s="5" t="str">
        <f>IFERROR(__xludf.DUMMYFUNCTION("IF(C1327&lt;&gt;"""",""https://api.qrserver.com/v1/create-qr-code/?size=200x200&amp;data=""&amp;ENCODEURL(""https://wa.me/507""&amp;REGEXREPLACE(C1327,""[^0-9]"","""")&amp;""?text=""&amp;ENCODEURL(""Ya llegue. Codigo: ""&amp;A1327&amp;"". Ubicacion: ""&amp;""https://www.google.com/maps/search"&amp;"/?api=1&amp;query=""&amp;SUBSTITUTE(F1327,"" "",""""))),"""")"),"")</f>
        <v/>
      </c>
      <c r="M1327" s="5" t="str">
        <f t="shared" si="6"/>
        <v/>
      </c>
      <c r="N1327" s="5" t="str">
        <f>IFERROR(__xludf.DUMMYFUNCTION("IF(AND(F1327&lt;&gt;"""",REGEXMATCH(SUBSTITUTE(F1327,"" "",""""),""^-?\d+(\.\d+)?,-?\d+(\.\d+)?$""),VALUE(REGEXEXTRACT(SUBSTITUTE(F1327,"" "",""""),""^-?\d+(\.\d+)?""))&gt;=-90,VALUE(REGEXEXTRACT(SUBSTITUTE(F1327,"" "",""""),""^-?\d+(\.\d+)?""))&lt;=90,VALUE(REGEXEXT"&amp;"RACT(SUBSTITUTE(F1327,"" "",""""),""-?\d+(\.\d+)?$""))&gt;=-180,VALUE(REGEXEXTRACT(SUBSTITUTE(F1327,"" "",""""),""-?\d+(\.\d+)?$""))&lt;=180),""OK"",""REVISAR"")"),"#N/A")</f>
        <v>#N/A</v>
      </c>
    </row>
    <row r="1328" ht="15.75" customHeight="1">
      <c r="A1328" s="5" t="str">
        <f t="shared" si="1"/>
        <v>AD507-1326</v>
      </c>
      <c r="C1328" s="5"/>
      <c r="F1328" s="5"/>
      <c r="G1328" s="5" t="str">
        <f t="shared" si="2"/>
        <v/>
      </c>
      <c r="H1328" s="5" t="str">
        <f t="shared" si="3"/>
        <v/>
      </c>
      <c r="I1328" s="5" t="str">
        <f t="shared" si="4"/>
        <v/>
      </c>
      <c r="J1328" s="5" t="str">
        <f t="shared" si="5"/>
        <v/>
      </c>
      <c r="K1328" s="5" t="str">
        <f>IFERROR(__xludf.DUMMYFUNCTION("IF(C1328&lt;&gt;"""",HYPERLINK(""https://wa.me/507""&amp;REGEXREPLACE(C1328,""[^0-9]"","""")&amp;""?text=""&amp;ENCODEURL(""Ya llegue. Codigo: ""&amp;A1328&amp;"". Ubicacion: ""&amp;""https://www.google.com/maps/search/?api=1&amp;query=""&amp;SUBSTITUTE(F1328,"" "","""")),""📲 Avisar al clien"&amp;"te""),"""")"),"")</f>
        <v/>
      </c>
      <c r="L1328" s="5" t="str">
        <f>IFERROR(__xludf.DUMMYFUNCTION("IF(C1328&lt;&gt;"""",""https://api.qrserver.com/v1/create-qr-code/?size=200x200&amp;data=""&amp;ENCODEURL(""https://wa.me/507""&amp;REGEXREPLACE(C1328,""[^0-9]"","""")&amp;""?text=""&amp;ENCODEURL(""Ya llegue. Codigo: ""&amp;A1328&amp;"". Ubicacion: ""&amp;""https://www.google.com/maps/search"&amp;"/?api=1&amp;query=""&amp;SUBSTITUTE(F1328,"" "",""""))),"""")"),"")</f>
        <v/>
      </c>
      <c r="M1328" s="5" t="str">
        <f t="shared" si="6"/>
        <v/>
      </c>
      <c r="N1328" s="5" t="str">
        <f>IFERROR(__xludf.DUMMYFUNCTION("IF(AND(F1328&lt;&gt;"""",REGEXMATCH(SUBSTITUTE(F1328,"" "",""""),""^-?\d+(\.\d+)?,-?\d+(\.\d+)?$""),VALUE(REGEXEXTRACT(SUBSTITUTE(F1328,"" "",""""),""^-?\d+(\.\d+)?""))&gt;=-90,VALUE(REGEXEXTRACT(SUBSTITUTE(F1328,"" "",""""),""^-?\d+(\.\d+)?""))&lt;=90,VALUE(REGEXEXT"&amp;"RACT(SUBSTITUTE(F1328,"" "",""""),""-?\d+(\.\d+)?$""))&gt;=-180,VALUE(REGEXEXTRACT(SUBSTITUTE(F1328,"" "",""""),""-?\d+(\.\d+)?$""))&lt;=180),""OK"",""REVISAR"")"),"#N/A")</f>
        <v>#N/A</v>
      </c>
    </row>
    <row r="1329" ht="15.75" customHeight="1">
      <c r="A1329" s="5" t="str">
        <f t="shared" si="1"/>
        <v>AD507-1327</v>
      </c>
      <c r="C1329" s="5"/>
      <c r="F1329" s="5"/>
      <c r="G1329" s="5" t="str">
        <f t="shared" si="2"/>
        <v/>
      </c>
      <c r="H1329" s="5" t="str">
        <f t="shared" si="3"/>
        <v/>
      </c>
      <c r="I1329" s="5" t="str">
        <f t="shared" si="4"/>
        <v/>
      </c>
      <c r="J1329" s="5" t="str">
        <f t="shared" si="5"/>
        <v/>
      </c>
      <c r="K1329" s="5" t="str">
        <f>IFERROR(__xludf.DUMMYFUNCTION("IF(C1329&lt;&gt;"""",HYPERLINK(""https://wa.me/507""&amp;REGEXREPLACE(C1329,""[^0-9]"","""")&amp;""?text=""&amp;ENCODEURL(""Ya llegue. Codigo: ""&amp;A1329&amp;"". Ubicacion: ""&amp;""https://www.google.com/maps/search/?api=1&amp;query=""&amp;SUBSTITUTE(F1329,"" "","""")),""📲 Avisar al clien"&amp;"te""),"""")"),"")</f>
        <v/>
      </c>
      <c r="L1329" s="5" t="str">
        <f>IFERROR(__xludf.DUMMYFUNCTION("IF(C1329&lt;&gt;"""",""https://api.qrserver.com/v1/create-qr-code/?size=200x200&amp;data=""&amp;ENCODEURL(""https://wa.me/507""&amp;REGEXREPLACE(C1329,""[^0-9]"","""")&amp;""?text=""&amp;ENCODEURL(""Ya llegue. Codigo: ""&amp;A1329&amp;"". Ubicacion: ""&amp;""https://www.google.com/maps/search"&amp;"/?api=1&amp;query=""&amp;SUBSTITUTE(F1329,"" "",""""))),"""")"),"")</f>
        <v/>
      </c>
      <c r="M1329" s="5" t="str">
        <f t="shared" si="6"/>
        <v/>
      </c>
      <c r="N1329" s="5" t="str">
        <f>IFERROR(__xludf.DUMMYFUNCTION("IF(AND(F1329&lt;&gt;"""",REGEXMATCH(SUBSTITUTE(F1329,"" "",""""),""^-?\d+(\.\d+)?,-?\d+(\.\d+)?$""),VALUE(REGEXEXTRACT(SUBSTITUTE(F1329,"" "",""""),""^-?\d+(\.\d+)?""))&gt;=-90,VALUE(REGEXEXTRACT(SUBSTITUTE(F1329,"" "",""""),""^-?\d+(\.\d+)?""))&lt;=90,VALUE(REGEXEXT"&amp;"RACT(SUBSTITUTE(F1329,"" "",""""),""-?\d+(\.\d+)?$""))&gt;=-180,VALUE(REGEXEXTRACT(SUBSTITUTE(F1329,"" "",""""),""-?\d+(\.\d+)?$""))&lt;=180),""OK"",""REVISAR"")"),"#N/A")</f>
        <v>#N/A</v>
      </c>
    </row>
    <row r="1330" ht="15.75" customHeight="1">
      <c r="A1330" s="5" t="str">
        <f t="shared" si="1"/>
        <v>AD507-1328</v>
      </c>
      <c r="C1330" s="5"/>
      <c r="F1330" s="5"/>
      <c r="G1330" s="5" t="str">
        <f t="shared" si="2"/>
        <v/>
      </c>
      <c r="H1330" s="5" t="str">
        <f t="shared" si="3"/>
        <v/>
      </c>
      <c r="I1330" s="5" t="str">
        <f t="shared" si="4"/>
        <v/>
      </c>
      <c r="J1330" s="5" t="str">
        <f t="shared" si="5"/>
        <v/>
      </c>
      <c r="K1330" s="5" t="str">
        <f>IFERROR(__xludf.DUMMYFUNCTION("IF(C1330&lt;&gt;"""",HYPERLINK(""https://wa.me/507""&amp;REGEXREPLACE(C1330,""[^0-9]"","""")&amp;""?text=""&amp;ENCODEURL(""Ya llegue. Codigo: ""&amp;A1330&amp;"". Ubicacion: ""&amp;""https://www.google.com/maps/search/?api=1&amp;query=""&amp;SUBSTITUTE(F1330,"" "","""")),""📲 Avisar al clien"&amp;"te""),"""")"),"")</f>
        <v/>
      </c>
      <c r="L1330" s="5" t="str">
        <f>IFERROR(__xludf.DUMMYFUNCTION("IF(C1330&lt;&gt;"""",""https://api.qrserver.com/v1/create-qr-code/?size=200x200&amp;data=""&amp;ENCODEURL(""https://wa.me/507""&amp;REGEXREPLACE(C1330,""[^0-9]"","""")&amp;""?text=""&amp;ENCODEURL(""Ya llegue. Codigo: ""&amp;A1330&amp;"". Ubicacion: ""&amp;""https://www.google.com/maps/search"&amp;"/?api=1&amp;query=""&amp;SUBSTITUTE(F1330,"" "",""""))),"""")"),"")</f>
        <v/>
      </c>
      <c r="M1330" s="5" t="str">
        <f t="shared" si="6"/>
        <v/>
      </c>
      <c r="N1330" s="5" t="str">
        <f>IFERROR(__xludf.DUMMYFUNCTION("IF(AND(F1330&lt;&gt;"""",REGEXMATCH(SUBSTITUTE(F1330,"" "",""""),""^-?\d+(\.\d+)?,-?\d+(\.\d+)?$""),VALUE(REGEXEXTRACT(SUBSTITUTE(F1330,"" "",""""),""^-?\d+(\.\d+)?""))&gt;=-90,VALUE(REGEXEXTRACT(SUBSTITUTE(F1330,"" "",""""),""^-?\d+(\.\d+)?""))&lt;=90,VALUE(REGEXEXT"&amp;"RACT(SUBSTITUTE(F1330,"" "",""""),""-?\d+(\.\d+)?$""))&gt;=-180,VALUE(REGEXEXTRACT(SUBSTITUTE(F1330,"" "",""""),""-?\d+(\.\d+)?$""))&lt;=180),""OK"",""REVISAR"")"),"#N/A")</f>
        <v>#N/A</v>
      </c>
    </row>
    <row r="1331" ht="15.75" customHeight="1">
      <c r="A1331" s="5" t="str">
        <f t="shared" si="1"/>
        <v>AD507-1329</v>
      </c>
      <c r="C1331" s="5"/>
      <c r="F1331" s="5"/>
      <c r="G1331" s="5" t="str">
        <f t="shared" si="2"/>
        <v/>
      </c>
      <c r="H1331" s="5" t="str">
        <f t="shared" si="3"/>
        <v/>
      </c>
      <c r="I1331" s="5" t="str">
        <f t="shared" si="4"/>
        <v/>
      </c>
      <c r="J1331" s="5" t="str">
        <f t="shared" si="5"/>
        <v/>
      </c>
      <c r="K1331" s="5" t="str">
        <f>IFERROR(__xludf.DUMMYFUNCTION("IF(C1331&lt;&gt;"""",HYPERLINK(""https://wa.me/507""&amp;REGEXREPLACE(C1331,""[^0-9]"","""")&amp;""?text=""&amp;ENCODEURL(""Ya llegue. Codigo: ""&amp;A1331&amp;"". Ubicacion: ""&amp;""https://www.google.com/maps/search/?api=1&amp;query=""&amp;SUBSTITUTE(F1331,"" "","""")),""📲 Avisar al clien"&amp;"te""),"""")"),"")</f>
        <v/>
      </c>
      <c r="L1331" s="5" t="str">
        <f>IFERROR(__xludf.DUMMYFUNCTION("IF(C1331&lt;&gt;"""",""https://api.qrserver.com/v1/create-qr-code/?size=200x200&amp;data=""&amp;ENCODEURL(""https://wa.me/507""&amp;REGEXREPLACE(C1331,""[^0-9]"","""")&amp;""?text=""&amp;ENCODEURL(""Ya llegue. Codigo: ""&amp;A1331&amp;"". Ubicacion: ""&amp;""https://www.google.com/maps/search"&amp;"/?api=1&amp;query=""&amp;SUBSTITUTE(F1331,"" "",""""))),"""")"),"")</f>
        <v/>
      </c>
      <c r="M1331" s="5" t="str">
        <f t="shared" si="6"/>
        <v/>
      </c>
      <c r="N1331" s="5" t="str">
        <f>IFERROR(__xludf.DUMMYFUNCTION("IF(AND(F1331&lt;&gt;"""",REGEXMATCH(SUBSTITUTE(F1331,"" "",""""),""^-?\d+(\.\d+)?,-?\d+(\.\d+)?$""),VALUE(REGEXEXTRACT(SUBSTITUTE(F1331,"" "",""""),""^-?\d+(\.\d+)?""))&gt;=-90,VALUE(REGEXEXTRACT(SUBSTITUTE(F1331,"" "",""""),""^-?\d+(\.\d+)?""))&lt;=90,VALUE(REGEXEXT"&amp;"RACT(SUBSTITUTE(F1331,"" "",""""),""-?\d+(\.\d+)?$""))&gt;=-180,VALUE(REGEXEXTRACT(SUBSTITUTE(F1331,"" "",""""),""-?\d+(\.\d+)?$""))&lt;=180),""OK"",""REVISAR"")"),"#N/A")</f>
        <v>#N/A</v>
      </c>
    </row>
    <row r="1332" ht="15.75" customHeight="1">
      <c r="A1332" s="5" t="str">
        <f t="shared" si="1"/>
        <v>AD507-1330</v>
      </c>
      <c r="C1332" s="5"/>
      <c r="F1332" s="5"/>
      <c r="G1332" s="5" t="str">
        <f t="shared" si="2"/>
        <v/>
      </c>
      <c r="H1332" s="5" t="str">
        <f t="shared" si="3"/>
        <v/>
      </c>
      <c r="I1332" s="5" t="str">
        <f t="shared" si="4"/>
        <v/>
      </c>
      <c r="J1332" s="5" t="str">
        <f t="shared" si="5"/>
        <v/>
      </c>
      <c r="K1332" s="5" t="str">
        <f>IFERROR(__xludf.DUMMYFUNCTION("IF(C1332&lt;&gt;"""",HYPERLINK(""https://wa.me/507""&amp;REGEXREPLACE(C1332,""[^0-9]"","""")&amp;""?text=""&amp;ENCODEURL(""Ya llegue. Codigo: ""&amp;A1332&amp;"". Ubicacion: ""&amp;""https://www.google.com/maps/search/?api=1&amp;query=""&amp;SUBSTITUTE(F1332,"" "","""")),""📲 Avisar al clien"&amp;"te""),"""")"),"")</f>
        <v/>
      </c>
      <c r="L1332" s="5" t="str">
        <f>IFERROR(__xludf.DUMMYFUNCTION("IF(C1332&lt;&gt;"""",""https://api.qrserver.com/v1/create-qr-code/?size=200x200&amp;data=""&amp;ENCODEURL(""https://wa.me/507""&amp;REGEXREPLACE(C1332,""[^0-9]"","""")&amp;""?text=""&amp;ENCODEURL(""Ya llegue. Codigo: ""&amp;A1332&amp;"". Ubicacion: ""&amp;""https://www.google.com/maps/search"&amp;"/?api=1&amp;query=""&amp;SUBSTITUTE(F1332,"" "",""""))),"""")"),"")</f>
        <v/>
      </c>
      <c r="M1332" s="5" t="str">
        <f t="shared" si="6"/>
        <v/>
      </c>
      <c r="N1332" s="5" t="str">
        <f>IFERROR(__xludf.DUMMYFUNCTION("IF(AND(F1332&lt;&gt;"""",REGEXMATCH(SUBSTITUTE(F1332,"" "",""""),""^-?\d+(\.\d+)?,-?\d+(\.\d+)?$""),VALUE(REGEXEXTRACT(SUBSTITUTE(F1332,"" "",""""),""^-?\d+(\.\d+)?""))&gt;=-90,VALUE(REGEXEXTRACT(SUBSTITUTE(F1332,"" "",""""),""^-?\d+(\.\d+)?""))&lt;=90,VALUE(REGEXEXT"&amp;"RACT(SUBSTITUTE(F1332,"" "",""""),""-?\d+(\.\d+)?$""))&gt;=-180,VALUE(REGEXEXTRACT(SUBSTITUTE(F1332,"" "",""""),""-?\d+(\.\d+)?$""))&lt;=180),""OK"",""REVISAR"")"),"#N/A")</f>
        <v>#N/A</v>
      </c>
    </row>
    <row r="1333" ht="15.75" customHeight="1">
      <c r="A1333" s="5" t="str">
        <f t="shared" si="1"/>
        <v>AD507-1331</v>
      </c>
      <c r="C1333" s="5"/>
      <c r="F1333" s="5"/>
      <c r="G1333" s="5" t="str">
        <f t="shared" si="2"/>
        <v/>
      </c>
      <c r="H1333" s="5" t="str">
        <f t="shared" si="3"/>
        <v/>
      </c>
      <c r="I1333" s="5" t="str">
        <f t="shared" si="4"/>
        <v/>
      </c>
      <c r="J1333" s="5" t="str">
        <f t="shared" si="5"/>
        <v/>
      </c>
      <c r="K1333" s="5" t="str">
        <f>IFERROR(__xludf.DUMMYFUNCTION("IF(C1333&lt;&gt;"""",HYPERLINK(""https://wa.me/507""&amp;REGEXREPLACE(C1333,""[^0-9]"","""")&amp;""?text=""&amp;ENCODEURL(""Ya llegue. Codigo: ""&amp;A1333&amp;"". Ubicacion: ""&amp;""https://www.google.com/maps/search/?api=1&amp;query=""&amp;SUBSTITUTE(F1333,"" "","""")),""📲 Avisar al clien"&amp;"te""),"""")"),"")</f>
        <v/>
      </c>
      <c r="L1333" s="5" t="str">
        <f>IFERROR(__xludf.DUMMYFUNCTION("IF(C1333&lt;&gt;"""",""https://api.qrserver.com/v1/create-qr-code/?size=200x200&amp;data=""&amp;ENCODEURL(""https://wa.me/507""&amp;REGEXREPLACE(C1333,""[^0-9]"","""")&amp;""?text=""&amp;ENCODEURL(""Ya llegue. Codigo: ""&amp;A1333&amp;"". Ubicacion: ""&amp;""https://www.google.com/maps/search"&amp;"/?api=1&amp;query=""&amp;SUBSTITUTE(F1333,"" "",""""))),"""")"),"")</f>
        <v/>
      </c>
      <c r="M1333" s="5" t="str">
        <f t="shared" si="6"/>
        <v/>
      </c>
      <c r="N1333" s="5" t="str">
        <f>IFERROR(__xludf.DUMMYFUNCTION("IF(AND(F1333&lt;&gt;"""",REGEXMATCH(SUBSTITUTE(F1333,"" "",""""),""^-?\d+(\.\d+)?,-?\d+(\.\d+)?$""),VALUE(REGEXEXTRACT(SUBSTITUTE(F1333,"" "",""""),""^-?\d+(\.\d+)?""))&gt;=-90,VALUE(REGEXEXTRACT(SUBSTITUTE(F1333,"" "",""""),""^-?\d+(\.\d+)?""))&lt;=90,VALUE(REGEXEXT"&amp;"RACT(SUBSTITUTE(F1333,"" "",""""),""-?\d+(\.\d+)?$""))&gt;=-180,VALUE(REGEXEXTRACT(SUBSTITUTE(F1333,"" "",""""),""-?\d+(\.\d+)?$""))&lt;=180),""OK"",""REVISAR"")"),"#N/A")</f>
        <v>#N/A</v>
      </c>
    </row>
    <row r="1334" ht="15.75" customHeight="1">
      <c r="A1334" s="5" t="str">
        <f t="shared" si="1"/>
        <v>AD507-1332</v>
      </c>
      <c r="C1334" s="5"/>
      <c r="F1334" s="5"/>
      <c r="G1334" s="5" t="str">
        <f t="shared" si="2"/>
        <v/>
      </c>
      <c r="H1334" s="5" t="str">
        <f t="shared" si="3"/>
        <v/>
      </c>
      <c r="I1334" s="5" t="str">
        <f t="shared" si="4"/>
        <v/>
      </c>
      <c r="J1334" s="5" t="str">
        <f t="shared" si="5"/>
        <v/>
      </c>
      <c r="K1334" s="5" t="str">
        <f>IFERROR(__xludf.DUMMYFUNCTION("IF(C1334&lt;&gt;"""",HYPERLINK(""https://wa.me/507""&amp;REGEXREPLACE(C1334,""[^0-9]"","""")&amp;""?text=""&amp;ENCODEURL(""Ya llegue. Codigo: ""&amp;A1334&amp;"". Ubicacion: ""&amp;""https://www.google.com/maps/search/?api=1&amp;query=""&amp;SUBSTITUTE(F1334,"" "","""")),""📲 Avisar al clien"&amp;"te""),"""")"),"")</f>
        <v/>
      </c>
      <c r="L1334" s="5" t="str">
        <f>IFERROR(__xludf.DUMMYFUNCTION("IF(C1334&lt;&gt;"""",""https://api.qrserver.com/v1/create-qr-code/?size=200x200&amp;data=""&amp;ENCODEURL(""https://wa.me/507""&amp;REGEXREPLACE(C1334,""[^0-9]"","""")&amp;""?text=""&amp;ENCODEURL(""Ya llegue. Codigo: ""&amp;A1334&amp;"". Ubicacion: ""&amp;""https://www.google.com/maps/search"&amp;"/?api=1&amp;query=""&amp;SUBSTITUTE(F1334,"" "",""""))),"""")"),"")</f>
        <v/>
      </c>
      <c r="M1334" s="5" t="str">
        <f t="shared" si="6"/>
        <v/>
      </c>
      <c r="N1334" s="5" t="str">
        <f>IFERROR(__xludf.DUMMYFUNCTION("IF(AND(F1334&lt;&gt;"""",REGEXMATCH(SUBSTITUTE(F1334,"" "",""""),""^-?\d+(\.\d+)?,-?\d+(\.\d+)?$""),VALUE(REGEXEXTRACT(SUBSTITUTE(F1334,"" "",""""),""^-?\d+(\.\d+)?""))&gt;=-90,VALUE(REGEXEXTRACT(SUBSTITUTE(F1334,"" "",""""),""^-?\d+(\.\d+)?""))&lt;=90,VALUE(REGEXEXT"&amp;"RACT(SUBSTITUTE(F1334,"" "",""""),""-?\d+(\.\d+)?$""))&gt;=-180,VALUE(REGEXEXTRACT(SUBSTITUTE(F1334,"" "",""""),""-?\d+(\.\d+)?$""))&lt;=180),""OK"",""REVISAR"")"),"#N/A")</f>
        <v>#N/A</v>
      </c>
    </row>
    <row r="1335" ht="15.75" customHeight="1">
      <c r="A1335" s="5" t="str">
        <f t="shared" si="1"/>
        <v>AD507-1333</v>
      </c>
      <c r="C1335" s="5"/>
      <c r="F1335" s="5"/>
      <c r="G1335" s="5" t="str">
        <f t="shared" si="2"/>
        <v/>
      </c>
      <c r="H1335" s="5" t="str">
        <f t="shared" si="3"/>
        <v/>
      </c>
      <c r="I1335" s="5" t="str">
        <f t="shared" si="4"/>
        <v/>
      </c>
      <c r="J1335" s="5" t="str">
        <f t="shared" si="5"/>
        <v/>
      </c>
      <c r="K1335" s="5" t="str">
        <f>IFERROR(__xludf.DUMMYFUNCTION("IF(C1335&lt;&gt;"""",HYPERLINK(""https://wa.me/507""&amp;REGEXREPLACE(C1335,""[^0-9]"","""")&amp;""?text=""&amp;ENCODEURL(""Ya llegue. Codigo: ""&amp;A1335&amp;"". Ubicacion: ""&amp;""https://www.google.com/maps/search/?api=1&amp;query=""&amp;SUBSTITUTE(F1335,"" "","""")),""📲 Avisar al clien"&amp;"te""),"""")"),"")</f>
        <v/>
      </c>
      <c r="L1335" s="5" t="str">
        <f>IFERROR(__xludf.DUMMYFUNCTION("IF(C1335&lt;&gt;"""",""https://api.qrserver.com/v1/create-qr-code/?size=200x200&amp;data=""&amp;ENCODEURL(""https://wa.me/507""&amp;REGEXREPLACE(C1335,""[^0-9]"","""")&amp;""?text=""&amp;ENCODEURL(""Ya llegue. Codigo: ""&amp;A1335&amp;"". Ubicacion: ""&amp;""https://www.google.com/maps/search"&amp;"/?api=1&amp;query=""&amp;SUBSTITUTE(F1335,"" "",""""))),"""")"),"")</f>
        <v/>
      </c>
      <c r="M1335" s="5" t="str">
        <f t="shared" si="6"/>
        <v/>
      </c>
      <c r="N1335" s="5" t="str">
        <f>IFERROR(__xludf.DUMMYFUNCTION("IF(AND(F1335&lt;&gt;"""",REGEXMATCH(SUBSTITUTE(F1335,"" "",""""),""^-?\d+(\.\d+)?,-?\d+(\.\d+)?$""),VALUE(REGEXEXTRACT(SUBSTITUTE(F1335,"" "",""""),""^-?\d+(\.\d+)?""))&gt;=-90,VALUE(REGEXEXTRACT(SUBSTITUTE(F1335,"" "",""""),""^-?\d+(\.\d+)?""))&lt;=90,VALUE(REGEXEXT"&amp;"RACT(SUBSTITUTE(F1335,"" "",""""),""-?\d+(\.\d+)?$""))&gt;=-180,VALUE(REGEXEXTRACT(SUBSTITUTE(F1335,"" "",""""),""-?\d+(\.\d+)?$""))&lt;=180),""OK"",""REVISAR"")"),"#N/A")</f>
        <v>#N/A</v>
      </c>
    </row>
    <row r="1336" ht="15.75" customHeight="1">
      <c r="A1336" s="5" t="str">
        <f t="shared" si="1"/>
        <v>AD507-1334</v>
      </c>
      <c r="C1336" s="5"/>
      <c r="F1336" s="5"/>
      <c r="G1336" s="5" t="str">
        <f t="shared" si="2"/>
        <v/>
      </c>
      <c r="H1336" s="5" t="str">
        <f t="shared" si="3"/>
        <v/>
      </c>
      <c r="I1336" s="5" t="str">
        <f t="shared" si="4"/>
        <v/>
      </c>
      <c r="J1336" s="5" t="str">
        <f t="shared" si="5"/>
        <v/>
      </c>
      <c r="K1336" s="5" t="str">
        <f>IFERROR(__xludf.DUMMYFUNCTION("IF(C1336&lt;&gt;"""",HYPERLINK(""https://wa.me/507""&amp;REGEXREPLACE(C1336,""[^0-9]"","""")&amp;""?text=""&amp;ENCODEURL(""Ya llegue. Codigo: ""&amp;A1336&amp;"". Ubicacion: ""&amp;""https://www.google.com/maps/search/?api=1&amp;query=""&amp;SUBSTITUTE(F1336,"" "","""")),""📲 Avisar al clien"&amp;"te""),"""")"),"")</f>
        <v/>
      </c>
      <c r="L1336" s="5" t="str">
        <f>IFERROR(__xludf.DUMMYFUNCTION("IF(C1336&lt;&gt;"""",""https://api.qrserver.com/v1/create-qr-code/?size=200x200&amp;data=""&amp;ENCODEURL(""https://wa.me/507""&amp;REGEXREPLACE(C1336,""[^0-9]"","""")&amp;""?text=""&amp;ENCODEURL(""Ya llegue. Codigo: ""&amp;A1336&amp;"". Ubicacion: ""&amp;""https://www.google.com/maps/search"&amp;"/?api=1&amp;query=""&amp;SUBSTITUTE(F1336,"" "",""""))),"""")"),"")</f>
        <v/>
      </c>
      <c r="M1336" s="5" t="str">
        <f t="shared" si="6"/>
        <v/>
      </c>
      <c r="N1336" s="5" t="str">
        <f>IFERROR(__xludf.DUMMYFUNCTION("IF(AND(F1336&lt;&gt;"""",REGEXMATCH(SUBSTITUTE(F1336,"" "",""""),""^-?\d+(\.\d+)?,-?\d+(\.\d+)?$""),VALUE(REGEXEXTRACT(SUBSTITUTE(F1336,"" "",""""),""^-?\d+(\.\d+)?""))&gt;=-90,VALUE(REGEXEXTRACT(SUBSTITUTE(F1336,"" "",""""),""^-?\d+(\.\d+)?""))&lt;=90,VALUE(REGEXEXT"&amp;"RACT(SUBSTITUTE(F1336,"" "",""""),""-?\d+(\.\d+)?$""))&gt;=-180,VALUE(REGEXEXTRACT(SUBSTITUTE(F1336,"" "",""""),""-?\d+(\.\d+)?$""))&lt;=180),""OK"",""REVISAR"")"),"#N/A")</f>
        <v>#N/A</v>
      </c>
    </row>
    <row r="1337" ht="15.75" customHeight="1">
      <c r="A1337" s="5" t="str">
        <f t="shared" si="1"/>
        <v>AD507-1335</v>
      </c>
      <c r="C1337" s="5"/>
      <c r="F1337" s="5"/>
      <c r="G1337" s="5" t="str">
        <f t="shared" si="2"/>
        <v/>
      </c>
      <c r="H1337" s="5" t="str">
        <f t="shared" si="3"/>
        <v/>
      </c>
      <c r="I1337" s="5" t="str">
        <f t="shared" si="4"/>
        <v/>
      </c>
      <c r="J1337" s="5" t="str">
        <f t="shared" si="5"/>
        <v/>
      </c>
      <c r="K1337" s="5" t="str">
        <f>IFERROR(__xludf.DUMMYFUNCTION("IF(C1337&lt;&gt;"""",HYPERLINK(""https://wa.me/507""&amp;REGEXREPLACE(C1337,""[^0-9]"","""")&amp;""?text=""&amp;ENCODEURL(""Ya llegue. Codigo: ""&amp;A1337&amp;"". Ubicacion: ""&amp;""https://www.google.com/maps/search/?api=1&amp;query=""&amp;SUBSTITUTE(F1337,"" "","""")),""📲 Avisar al clien"&amp;"te""),"""")"),"")</f>
        <v/>
      </c>
      <c r="L1337" s="5" t="str">
        <f>IFERROR(__xludf.DUMMYFUNCTION("IF(C1337&lt;&gt;"""",""https://api.qrserver.com/v1/create-qr-code/?size=200x200&amp;data=""&amp;ENCODEURL(""https://wa.me/507""&amp;REGEXREPLACE(C1337,""[^0-9]"","""")&amp;""?text=""&amp;ENCODEURL(""Ya llegue. Codigo: ""&amp;A1337&amp;"". Ubicacion: ""&amp;""https://www.google.com/maps/search"&amp;"/?api=1&amp;query=""&amp;SUBSTITUTE(F1337,"" "",""""))),"""")"),"")</f>
        <v/>
      </c>
      <c r="M1337" s="5" t="str">
        <f t="shared" si="6"/>
        <v/>
      </c>
      <c r="N1337" s="5" t="str">
        <f>IFERROR(__xludf.DUMMYFUNCTION("IF(AND(F1337&lt;&gt;"""",REGEXMATCH(SUBSTITUTE(F1337,"" "",""""),""^-?\d+(\.\d+)?,-?\d+(\.\d+)?$""),VALUE(REGEXEXTRACT(SUBSTITUTE(F1337,"" "",""""),""^-?\d+(\.\d+)?""))&gt;=-90,VALUE(REGEXEXTRACT(SUBSTITUTE(F1337,"" "",""""),""^-?\d+(\.\d+)?""))&lt;=90,VALUE(REGEXEXT"&amp;"RACT(SUBSTITUTE(F1337,"" "",""""),""-?\d+(\.\d+)?$""))&gt;=-180,VALUE(REGEXEXTRACT(SUBSTITUTE(F1337,"" "",""""),""-?\d+(\.\d+)?$""))&lt;=180),""OK"",""REVISAR"")"),"#N/A")</f>
        <v>#N/A</v>
      </c>
    </row>
    <row r="1338" ht="15.75" customHeight="1">
      <c r="A1338" s="5" t="str">
        <f t="shared" si="1"/>
        <v>AD507-1336</v>
      </c>
      <c r="C1338" s="5"/>
      <c r="F1338" s="5"/>
      <c r="G1338" s="5" t="str">
        <f t="shared" si="2"/>
        <v/>
      </c>
      <c r="H1338" s="5" t="str">
        <f t="shared" si="3"/>
        <v/>
      </c>
      <c r="I1338" s="5" t="str">
        <f t="shared" si="4"/>
        <v/>
      </c>
      <c r="J1338" s="5" t="str">
        <f t="shared" si="5"/>
        <v/>
      </c>
      <c r="K1338" s="5" t="str">
        <f>IFERROR(__xludf.DUMMYFUNCTION("IF(C1338&lt;&gt;"""",HYPERLINK(""https://wa.me/507""&amp;REGEXREPLACE(C1338,""[^0-9]"","""")&amp;""?text=""&amp;ENCODEURL(""Ya llegue. Codigo: ""&amp;A1338&amp;"". Ubicacion: ""&amp;""https://www.google.com/maps/search/?api=1&amp;query=""&amp;SUBSTITUTE(F1338,"" "","""")),""📲 Avisar al clien"&amp;"te""),"""")"),"")</f>
        <v/>
      </c>
      <c r="L1338" s="5" t="str">
        <f>IFERROR(__xludf.DUMMYFUNCTION("IF(C1338&lt;&gt;"""",""https://api.qrserver.com/v1/create-qr-code/?size=200x200&amp;data=""&amp;ENCODEURL(""https://wa.me/507""&amp;REGEXREPLACE(C1338,""[^0-9]"","""")&amp;""?text=""&amp;ENCODEURL(""Ya llegue. Codigo: ""&amp;A1338&amp;"". Ubicacion: ""&amp;""https://www.google.com/maps/search"&amp;"/?api=1&amp;query=""&amp;SUBSTITUTE(F1338,"" "",""""))),"""")"),"")</f>
        <v/>
      </c>
      <c r="M1338" s="5" t="str">
        <f t="shared" si="6"/>
        <v/>
      </c>
      <c r="N1338" s="5" t="str">
        <f>IFERROR(__xludf.DUMMYFUNCTION("IF(AND(F1338&lt;&gt;"""",REGEXMATCH(SUBSTITUTE(F1338,"" "",""""),""^-?\d+(\.\d+)?,-?\d+(\.\d+)?$""),VALUE(REGEXEXTRACT(SUBSTITUTE(F1338,"" "",""""),""^-?\d+(\.\d+)?""))&gt;=-90,VALUE(REGEXEXTRACT(SUBSTITUTE(F1338,"" "",""""),""^-?\d+(\.\d+)?""))&lt;=90,VALUE(REGEXEXT"&amp;"RACT(SUBSTITUTE(F1338,"" "",""""),""-?\d+(\.\d+)?$""))&gt;=-180,VALUE(REGEXEXTRACT(SUBSTITUTE(F1338,"" "",""""),""-?\d+(\.\d+)?$""))&lt;=180),""OK"",""REVISAR"")"),"#N/A")</f>
        <v>#N/A</v>
      </c>
    </row>
    <row r="1339" ht="15.75" customHeight="1">
      <c r="A1339" s="5" t="str">
        <f t="shared" si="1"/>
        <v>AD507-1337</v>
      </c>
      <c r="C1339" s="5"/>
      <c r="F1339" s="5"/>
      <c r="G1339" s="5" t="str">
        <f t="shared" si="2"/>
        <v/>
      </c>
      <c r="H1339" s="5" t="str">
        <f t="shared" si="3"/>
        <v/>
      </c>
      <c r="I1339" s="5" t="str">
        <f t="shared" si="4"/>
        <v/>
      </c>
      <c r="J1339" s="5" t="str">
        <f t="shared" si="5"/>
        <v/>
      </c>
      <c r="K1339" s="5" t="str">
        <f>IFERROR(__xludf.DUMMYFUNCTION("IF(C1339&lt;&gt;"""",HYPERLINK(""https://wa.me/507""&amp;REGEXREPLACE(C1339,""[^0-9]"","""")&amp;""?text=""&amp;ENCODEURL(""Ya llegue. Codigo: ""&amp;A1339&amp;"". Ubicacion: ""&amp;""https://www.google.com/maps/search/?api=1&amp;query=""&amp;SUBSTITUTE(F1339,"" "","""")),""📲 Avisar al clien"&amp;"te""),"""")"),"")</f>
        <v/>
      </c>
      <c r="L1339" s="5" t="str">
        <f>IFERROR(__xludf.DUMMYFUNCTION("IF(C1339&lt;&gt;"""",""https://api.qrserver.com/v1/create-qr-code/?size=200x200&amp;data=""&amp;ENCODEURL(""https://wa.me/507""&amp;REGEXREPLACE(C1339,""[^0-9]"","""")&amp;""?text=""&amp;ENCODEURL(""Ya llegue. Codigo: ""&amp;A1339&amp;"". Ubicacion: ""&amp;""https://www.google.com/maps/search"&amp;"/?api=1&amp;query=""&amp;SUBSTITUTE(F1339,"" "",""""))),"""")"),"")</f>
        <v/>
      </c>
      <c r="M1339" s="5" t="str">
        <f t="shared" si="6"/>
        <v/>
      </c>
      <c r="N1339" s="5" t="str">
        <f>IFERROR(__xludf.DUMMYFUNCTION("IF(AND(F1339&lt;&gt;"""",REGEXMATCH(SUBSTITUTE(F1339,"" "",""""),""^-?\d+(\.\d+)?,-?\d+(\.\d+)?$""),VALUE(REGEXEXTRACT(SUBSTITUTE(F1339,"" "",""""),""^-?\d+(\.\d+)?""))&gt;=-90,VALUE(REGEXEXTRACT(SUBSTITUTE(F1339,"" "",""""),""^-?\d+(\.\d+)?""))&lt;=90,VALUE(REGEXEXT"&amp;"RACT(SUBSTITUTE(F1339,"" "",""""),""-?\d+(\.\d+)?$""))&gt;=-180,VALUE(REGEXEXTRACT(SUBSTITUTE(F1339,"" "",""""),""-?\d+(\.\d+)?$""))&lt;=180),""OK"",""REVISAR"")"),"#N/A")</f>
        <v>#N/A</v>
      </c>
    </row>
    <row r="1340" ht="15.75" customHeight="1">
      <c r="A1340" s="5" t="str">
        <f t="shared" si="1"/>
        <v>AD507-1338</v>
      </c>
      <c r="C1340" s="5"/>
      <c r="F1340" s="5"/>
      <c r="G1340" s="5" t="str">
        <f t="shared" si="2"/>
        <v/>
      </c>
      <c r="H1340" s="5" t="str">
        <f t="shared" si="3"/>
        <v/>
      </c>
      <c r="I1340" s="5" t="str">
        <f t="shared" si="4"/>
        <v/>
      </c>
      <c r="J1340" s="5" t="str">
        <f t="shared" si="5"/>
        <v/>
      </c>
      <c r="K1340" s="5" t="str">
        <f>IFERROR(__xludf.DUMMYFUNCTION("IF(C1340&lt;&gt;"""",HYPERLINK(""https://wa.me/507""&amp;REGEXREPLACE(C1340,""[^0-9]"","""")&amp;""?text=""&amp;ENCODEURL(""Ya llegue. Codigo: ""&amp;A1340&amp;"". Ubicacion: ""&amp;""https://www.google.com/maps/search/?api=1&amp;query=""&amp;SUBSTITUTE(F1340,"" "","""")),""📲 Avisar al clien"&amp;"te""),"""")"),"")</f>
        <v/>
      </c>
      <c r="L1340" s="5" t="str">
        <f>IFERROR(__xludf.DUMMYFUNCTION("IF(C1340&lt;&gt;"""",""https://api.qrserver.com/v1/create-qr-code/?size=200x200&amp;data=""&amp;ENCODEURL(""https://wa.me/507""&amp;REGEXREPLACE(C1340,""[^0-9]"","""")&amp;""?text=""&amp;ENCODEURL(""Ya llegue. Codigo: ""&amp;A1340&amp;"". Ubicacion: ""&amp;""https://www.google.com/maps/search"&amp;"/?api=1&amp;query=""&amp;SUBSTITUTE(F1340,"" "",""""))),"""")"),"")</f>
        <v/>
      </c>
      <c r="M1340" s="5" t="str">
        <f t="shared" si="6"/>
        <v/>
      </c>
      <c r="N1340" s="5" t="str">
        <f>IFERROR(__xludf.DUMMYFUNCTION("IF(AND(F1340&lt;&gt;"""",REGEXMATCH(SUBSTITUTE(F1340,"" "",""""),""^-?\d+(\.\d+)?,-?\d+(\.\d+)?$""),VALUE(REGEXEXTRACT(SUBSTITUTE(F1340,"" "",""""),""^-?\d+(\.\d+)?""))&gt;=-90,VALUE(REGEXEXTRACT(SUBSTITUTE(F1340,"" "",""""),""^-?\d+(\.\d+)?""))&lt;=90,VALUE(REGEXEXT"&amp;"RACT(SUBSTITUTE(F1340,"" "",""""),""-?\d+(\.\d+)?$""))&gt;=-180,VALUE(REGEXEXTRACT(SUBSTITUTE(F1340,"" "",""""),""-?\d+(\.\d+)?$""))&lt;=180),""OK"",""REVISAR"")"),"#N/A")</f>
        <v>#N/A</v>
      </c>
    </row>
    <row r="1341" ht="15.75" customHeight="1">
      <c r="A1341" s="5" t="str">
        <f t="shared" si="1"/>
        <v>AD507-1339</v>
      </c>
      <c r="C1341" s="5"/>
      <c r="F1341" s="5"/>
      <c r="G1341" s="5" t="str">
        <f t="shared" si="2"/>
        <v/>
      </c>
      <c r="H1341" s="5" t="str">
        <f t="shared" si="3"/>
        <v/>
      </c>
      <c r="I1341" s="5" t="str">
        <f t="shared" si="4"/>
        <v/>
      </c>
      <c r="J1341" s="5" t="str">
        <f t="shared" si="5"/>
        <v/>
      </c>
      <c r="K1341" s="5" t="str">
        <f>IFERROR(__xludf.DUMMYFUNCTION("IF(C1341&lt;&gt;"""",HYPERLINK(""https://wa.me/507""&amp;REGEXREPLACE(C1341,""[^0-9]"","""")&amp;""?text=""&amp;ENCODEURL(""Ya llegue. Codigo: ""&amp;A1341&amp;"". Ubicacion: ""&amp;""https://www.google.com/maps/search/?api=1&amp;query=""&amp;SUBSTITUTE(F1341,"" "","""")),""📲 Avisar al clien"&amp;"te""),"""")"),"")</f>
        <v/>
      </c>
      <c r="L1341" s="5" t="str">
        <f>IFERROR(__xludf.DUMMYFUNCTION("IF(C1341&lt;&gt;"""",""https://api.qrserver.com/v1/create-qr-code/?size=200x200&amp;data=""&amp;ENCODEURL(""https://wa.me/507""&amp;REGEXREPLACE(C1341,""[^0-9]"","""")&amp;""?text=""&amp;ENCODEURL(""Ya llegue. Codigo: ""&amp;A1341&amp;"". Ubicacion: ""&amp;""https://www.google.com/maps/search"&amp;"/?api=1&amp;query=""&amp;SUBSTITUTE(F1341,"" "",""""))),"""")"),"")</f>
        <v/>
      </c>
      <c r="M1341" s="5" t="str">
        <f t="shared" si="6"/>
        <v/>
      </c>
      <c r="N1341" s="5" t="str">
        <f>IFERROR(__xludf.DUMMYFUNCTION("IF(AND(F1341&lt;&gt;"""",REGEXMATCH(SUBSTITUTE(F1341,"" "",""""),""^-?\d+(\.\d+)?,-?\d+(\.\d+)?$""),VALUE(REGEXEXTRACT(SUBSTITUTE(F1341,"" "",""""),""^-?\d+(\.\d+)?""))&gt;=-90,VALUE(REGEXEXTRACT(SUBSTITUTE(F1341,"" "",""""),""^-?\d+(\.\d+)?""))&lt;=90,VALUE(REGEXEXT"&amp;"RACT(SUBSTITUTE(F1341,"" "",""""),""-?\d+(\.\d+)?$""))&gt;=-180,VALUE(REGEXEXTRACT(SUBSTITUTE(F1341,"" "",""""),""-?\d+(\.\d+)?$""))&lt;=180),""OK"",""REVISAR"")"),"#N/A")</f>
        <v>#N/A</v>
      </c>
    </row>
    <row r="1342" ht="15.75" customHeight="1">
      <c r="A1342" s="5" t="str">
        <f t="shared" si="1"/>
        <v>AD507-1340</v>
      </c>
      <c r="C1342" s="5"/>
      <c r="F1342" s="5"/>
      <c r="G1342" s="5" t="str">
        <f t="shared" si="2"/>
        <v/>
      </c>
      <c r="H1342" s="5" t="str">
        <f t="shared" si="3"/>
        <v/>
      </c>
      <c r="I1342" s="5" t="str">
        <f t="shared" si="4"/>
        <v/>
      </c>
      <c r="J1342" s="5" t="str">
        <f t="shared" si="5"/>
        <v/>
      </c>
      <c r="K1342" s="5" t="str">
        <f>IFERROR(__xludf.DUMMYFUNCTION("IF(C1342&lt;&gt;"""",HYPERLINK(""https://wa.me/507""&amp;REGEXREPLACE(C1342,""[^0-9]"","""")&amp;""?text=""&amp;ENCODEURL(""Ya llegue. Codigo: ""&amp;A1342&amp;"". Ubicacion: ""&amp;""https://www.google.com/maps/search/?api=1&amp;query=""&amp;SUBSTITUTE(F1342,"" "","""")),""📲 Avisar al clien"&amp;"te""),"""")"),"")</f>
        <v/>
      </c>
      <c r="L1342" s="5" t="str">
        <f>IFERROR(__xludf.DUMMYFUNCTION("IF(C1342&lt;&gt;"""",""https://api.qrserver.com/v1/create-qr-code/?size=200x200&amp;data=""&amp;ENCODEURL(""https://wa.me/507""&amp;REGEXREPLACE(C1342,""[^0-9]"","""")&amp;""?text=""&amp;ENCODEURL(""Ya llegue. Codigo: ""&amp;A1342&amp;"". Ubicacion: ""&amp;""https://www.google.com/maps/search"&amp;"/?api=1&amp;query=""&amp;SUBSTITUTE(F1342,"" "",""""))),"""")"),"")</f>
        <v/>
      </c>
      <c r="M1342" s="5" t="str">
        <f t="shared" si="6"/>
        <v/>
      </c>
      <c r="N1342" s="5" t="str">
        <f>IFERROR(__xludf.DUMMYFUNCTION("IF(AND(F1342&lt;&gt;"""",REGEXMATCH(SUBSTITUTE(F1342,"" "",""""),""^-?\d+(\.\d+)?,-?\d+(\.\d+)?$""),VALUE(REGEXEXTRACT(SUBSTITUTE(F1342,"" "",""""),""^-?\d+(\.\d+)?""))&gt;=-90,VALUE(REGEXEXTRACT(SUBSTITUTE(F1342,"" "",""""),""^-?\d+(\.\d+)?""))&lt;=90,VALUE(REGEXEXT"&amp;"RACT(SUBSTITUTE(F1342,"" "",""""),""-?\d+(\.\d+)?$""))&gt;=-180,VALUE(REGEXEXTRACT(SUBSTITUTE(F1342,"" "",""""),""-?\d+(\.\d+)?$""))&lt;=180),""OK"",""REVISAR"")"),"#N/A")</f>
        <v>#N/A</v>
      </c>
    </row>
    <row r="1343" ht="15.75" customHeight="1">
      <c r="A1343" s="5" t="str">
        <f t="shared" si="1"/>
        <v>AD507-1341</v>
      </c>
      <c r="C1343" s="5"/>
      <c r="F1343" s="5"/>
      <c r="G1343" s="5" t="str">
        <f t="shared" si="2"/>
        <v/>
      </c>
      <c r="H1343" s="5" t="str">
        <f t="shared" si="3"/>
        <v/>
      </c>
      <c r="I1343" s="5" t="str">
        <f t="shared" si="4"/>
        <v/>
      </c>
      <c r="J1343" s="5" t="str">
        <f t="shared" si="5"/>
        <v/>
      </c>
      <c r="K1343" s="5" t="str">
        <f>IFERROR(__xludf.DUMMYFUNCTION("IF(C1343&lt;&gt;"""",HYPERLINK(""https://wa.me/507""&amp;REGEXREPLACE(C1343,""[^0-9]"","""")&amp;""?text=""&amp;ENCODEURL(""Ya llegue. Codigo: ""&amp;A1343&amp;"". Ubicacion: ""&amp;""https://www.google.com/maps/search/?api=1&amp;query=""&amp;SUBSTITUTE(F1343,"" "","""")),""📲 Avisar al clien"&amp;"te""),"""")"),"")</f>
        <v/>
      </c>
      <c r="L1343" s="5" t="str">
        <f>IFERROR(__xludf.DUMMYFUNCTION("IF(C1343&lt;&gt;"""",""https://api.qrserver.com/v1/create-qr-code/?size=200x200&amp;data=""&amp;ENCODEURL(""https://wa.me/507""&amp;REGEXREPLACE(C1343,""[^0-9]"","""")&amp;""?text=""&amp;ENCODEURL(""Ya llegue. Codigo: ""&amp;A1343&amp;"". Ubicacion: ""&amp;""https://www.google.com/maps/search"&amp;"/?api=1&amp;query=""&amp;SUBSTITUTE(F1343,"" "",""""))),"""")"),"")</f>
        <v/>
      </c>
      <c r="M1343" s="5" t="str">
        <f t="shared" si="6"/>
        <v/>
      </c>
      <c r="N1343" s="5" t="str">
        <f>IFERROR(__xludf.DUMMYFUNCTION("IF(AND(F1343&lt;&gt;"""",REGEXMATCH(SUBSTITUTE(F1343,"" "",""""),""^-?\d+(\.\d+)?,-?\d+(\.\d+)?$""),VALUE(REGEXEXTRACT(SUBSTITUTE(F1343,"" "",""""),""^-?\d+(\.\d+)?""))&gt;=-90,VALUE(REGEXEXTRACT(SUBSTITUTE(F1343,"" "",""""),""^-?\d+(\.\d+)?""))&lt;=90,VALUE(REGEXEXT"&amp;"RACT(SUBSTITUTE(F1343,"" "",""""),""-?\d+(\.\d+)?$""))&gt;=-180,VALUE(REGEXEXTRACT(SUBSTITUTE(F1343,"" "",""""),""-?\d+(\.\d+)?$""))&lt;=180),""OK"",""REVISAR"")"),"#N/A")</f>
        <v>#N/A</v>
      </c>
    </row>
    <row r="1344" ht="15.75" customHeight="1">
      <c r="A1344" s="5" t="str">
        <f t="shared" si="1"/>
        <v>AD507-1342</v>
      </c>
      <c r="C1344" s="5"/>
      <c r="F1344" s="5"/>
      <c r="G1344" s="5" t="str">
        <f t="shared" si="2"/>
        <v/>
      </c>
      <c r="H1344" s="5" t="str">
        <f t="shared" si="3"/>
        <v/>
      </c>
      <c r="I1344" s="5" t="str">
        <f t="shared" si="4"/>
        <v/>
      </c>
      <c r="J1344" s="5" t="str">
        <f t="shared" si="5"/>
        <v/>
      </c>
      <c r="K1344" s="5" t="str">
        <f>IFERROR(__xludf.DUMMYFUNCTION("IF(C1344&lt;&gt;"""",HYPERLINK(""https://wa.me/507""&amp;REGEXREPLACE(C1344,""[^0-9]"","""")&amp;""?text=""&amp;ENCODEURL(""Ya llegue. Codigo: ""&amp;A1344&amp;"". Ubicacion: ""&amp;""https://www.google.com/maps/search/?api=1&amp;query=""&amp;SUBSTITUTE(F1344,"" "","""")),""📲 Avisar al clien"&amp;"te""),"""")"),"")</f>
        <v/>
      </c>
      <c r="L1344" s="5" t="str">
        <f>IFERROR(__xludf.DUMMYFUNCTION("IF(C1344&lt;&gt;"""",""https://api.qrserver.com/v1/create-qr-code/?size=200x200&amp;data=""&amp;ENCODEURL(""https://wa.me/507""&amp;REGEXREPLACE(C1344,""[^0-9]"","""")&amp;""?text=""&amp;ENCODEURL(""Ya llegue. Codigo: ""&amp;A1344&amp;"". Ubicacion: ""&amp;""https://www.google.com/maps/search"&amp;"/?api=1&amp;query=""&amp;SUBSTITUTE(F1344,"" "",""""))),"""")"),"")</f>
        <v/>
      </c>
      <c r="M1344" s="5" t="str">
        <f t="shared" si="6"/>
        <v/>
      </c>
      <c r="N1344" s="5" t="str">
        <f>IFERROR(__xludf.DUMMYFUNCTION("IF(AND(F1344&lt;&gt;"""",REGEXMATCH(SUBSTITUTE(F1344,"" "",""""),""^-?\d+(\.\d+)?,-?\d+(\.\d+)?$""),VALUE(REGEXEXTRACT(SUBSTITUTE(F1344,"" "",""""),""^-?\d+(\.\d+)?""))&gt;=-90,VALUE(REGEXEXTRACT(SUBSTITUTE(F1344,"" "",""""),""^-?\d+(\.\d+)?""))&lt;=90,VALUE(REGEXEXT"&amp;"RACT(SUBSTITUTE(F1344,"" "",""""),""-?\d+(\.\d+)?$""))&gt;=-180,VALUE(REGEXEXTRACT(SUBSTITUTE(F1344,"" "",""""),""-?\d+(\.\d+)?$""))&lt;=180),""OK"",""REVISAR"")"),"#N/A")</f>
        <v>#N/A</v>
      </c>
    </row>
    <row r="1345" ht="15.75" customHeight="1">
      <c r="A1345" s="5" t="str">
        <f t="shared" si="1"/>
        <v>AD507-1343</v>
      </c>
      <c r="C1345" s="5"/>
      <c r="F1345" s="5"/>
      <c r="G1345" s="5" t="str">
        <f t="shared" si="2"/>
        <v/>
      </c>
      <c r="H1345" s="5" t="str">
        <f t="shared" si="3"/>
        <v/>
      </c>
      <c r="I1345" s="5" t="str">
        <f t="shared" si="4"/>
        <v/>
      </c>
      <c r="J1345" s="5" t="str">
        <f t="shared" si="5"/>
        <v/>
      </c>
      <c r="K1345" s="5" t="str">
        <f>IFERROR(__xludf.DUMMYFUNCTION("IF(C1345&lt;&gt;"""",HYPERLINK(""https://wa.me/507""&amp;REGEXREPLACE(C1345,""[^0-9]"","""")&amp;""?text=""&amp;ENCODEURL(""Ya llegue. Codigo: ""&amp;A1345&amp;"". Ubicacion: ""&amp;""https://www.google.com/maps/search/?api=1&amp;query=""&amp;SUBSTITUTE(F1345,"" "","""")),""📲 Avisar al clien"&amp;"te""),"""")"),"")</f>
        <v/>
      </c>
      <c r="L1345" s="5" t="str">
        <f>IFERROR(__xludf.DUMMYFUNCTION("IF(C1345&lt;&gt;"""",""https://api.qrserver.com/v1/create-qr-code/?size=200x200&amp;data=""&amp;ENCODEURL(""https://wa.me/507""&amp;REGEXREPLACE(C1345,""[^0-9]"","""")&amp;""?text=""&amp;ENCODEURL(""Ya llegue. Codigo: ""&amp;A1345&amp;"". Ubicacion: ""&amp;""https://www.google.com/maps/search"&amp;"/?api=1&amp;query=""&amp;SUBSTITUTE(F1345,"" "",""""))),"""")"),"")</f>
        <v/>
      </c>
      <c r="M1345" s="5" t="str">
        <f t="shared" si="6"/>
        <v/>
      </c>
      <c r="N1345" s="5" t="str">
        <f>IFERROR(__xludf.DUMMYFUNCTION("IF(AND(F1345&lt;&gt;"""",REGEXMATCH(SUBSTITUTE(F1345,"" "",""""),""^-?\d+(\.\d+)?,-?\d+(\.\d+)?$""),VALUE(REGEXEXTRACT(SUBSTITUTE(F1345,"" "",""""),""^-?\d+(\.\d+)?""))&gt;=-90,VALUE(REGEXEXTRACT(SUBSTITUTE(F1345,"" "",""""),""^-?\d+(\.\d+)?""))&lt;=90,VALUE(REGEXEXT"&amp;"RACT(SUBSTITUTE(F1345,"" "",""""),""-?\d+(\.\d+)?$""))&gt;=-180,VALUE(REGEXEXTRACT(SUBSTITUTE(F1345,"" "",""""),""-?\d+(\.\d+)?$""))&lt;=180),""OK"",""REVISAR"")"),"#N/A")</f>
        <v>#N/A</v>
      </c>
    </row>
    <row r="1346" ht="15.75" customHeight="1">
      <c r="A1346" s="5" t="str">
        <f t="shared" si="1"/>
        <v>AD507-1344</v>
      </c>
      <c r="C1346" s="5"/>
      <c r="F1346" s="5"/>
      <c r="G1346" s="5" t="str">
        <f t="shared" si="2"/>
        <v/>
      </c>
      <c r="H1346" s="5" t="str">
        <f t="shared" si="3"/>
        <v/>
      </c>
      <c r="I1346" s="5" t="str">
        <f t="shared" si="4"/>
        <v/>
      </c>
      <c r="J1346" s="5" t="str">
        <f t="shared" si="5"/>
        <v/>
      </c>
      <c r="K1346" s="5" t="str">
        <f>IFERROR(__xludf.DUMMYFUNCTION("IF(C1346&lt;&gt;"""",HYPERLINK(""https://wa.me/507""&amp;REGEXREPLACE(C1346,""[^0-9]"","""")&amp;""?text=""&amp;ENCODEURL(""Ya llegue. Codigo: ""&amp;A1346&amp;"". Ubicacion: ""&amp;""https://www.google.com/maps/search/?api=1&amp;query=""&amp;SUBSTITUTE(F1346,"" "","""")),""📲 Avisar al clien"&amp;"te""),"""")"),"")</f>
        <v/>
      </c>
      <c r="L1346" s="5" t="str">
        <f>IFERROR(__xludf.DUMMYFUNCTION("IF(C1346&lt;&gt;"""",""https://api.qrserver.com/v1/create-qr-code/?size=200x200&amp;data=""&amp;ENCODEURL(""https://wa.me/507""&amp;REGEXREPLACE(C1346,""[^0-9]"","""")&amp;""?text=""&amp;ENCODEURL(""Ya llegue. Codigo: ""&amp;A1346&amp;"". Ubicacion: ""&amp;""https://www.google.com/maps/search"&amp;"/?api=1&amp;query=""&amp;SUBSTITUTE(F1346,"" "",""""))),"""")"),"")</f>
        <v/>
      </c>
      <c r="M1346" s="5" t="str">
        <f t="shared" si="6"/>
        <v/>
      </c>
      <c r="N1346" s="5" t="str">
        <f>IFERROR(__xludf.DUMMYFUNCTION("IF(AND(F1346&lt;&gt;"""",REGEXMATCH(SUBSTITUTE(F1346,"" "",""""),""^-?\d+(\.\d+)?,-?\d+(\.\d+)?$""),VALUE(REGEXEXTRACT(SUBSTITUTE(F1346,"" "",""""),""^-?\d+(\.\d+)?""))&gt;=-90,VALUE(REGEXEXTRACT(SUBSTITUTE(F1346,"" "",""""),""^-?\d+(\.\d+)?""))&lt;=90,VALUE(REGEXEXT"&amp;"RACT(SUBSTITUTE(F1346,"" "",""""),""-?\d+(\.\d+)?$""))&gt;=-180,VALUE(REGEXEXTRACT(SUBSTITUTE(F1346,"" "",""""),""-?\d+(\.\d+)?$""))&lt;=180),""OK"",""REVISAR"")"),"#N/A")</f>
        <v>#N/A</v>
      </c>
    </row>
    <row r="1347" ht="15.75" customHeight="1">
      <c r="A1347" s="5" t="str">
        <f t="shared" si="1"/>
        <v>AD507-1345</v>
      </c>
      <c r="C1347" s="5"/>
      <c r="F1347" s="5"/>
      <c r="G1347" s="5" t="str">
        <f t="shared" si="2"/>
        <v/>
      </c>
      <c r="H1347" s="5" t="str">
        <f t="shared" si="3"/>
        <v/>
      </c>
      <c r="I1347" s="5" t="str">
        <f t="shared" si="4"/>
        <v/>
      </c>
      <c r="J1347" s="5" t="str">
        <f t="shared" si="5"/>
        <v/>
      </c>
      <c r="K1347" s="5" t="str">
        <f>IFERROR(__xludf.DUMMYFUNCTION("IF(C1347&lt;&gt;"""",HYPERLINK(""https://wa.me/507""&amp;REGEXREPLACE(C1347,""[^0-9]"","""")&amp;""?text=""&amp;ENCODEURL(""Ya llegue. Codigo: ""&amp;A1347&amp;"". Ubicacion: ""&amp;""https://www.google.com/maps/search/?api=1&amp;query=""&amp;SUBSTITUTE(F1347,"" "","""")),""📲 Avisar al clien"&amp;"te""),"""")"),"")</f>
        <v/>
      </c>
      <c r="L1347" s="5" t="str">
        <f>IFERROR(__xludf.DUMMYFUNCTION("IF(C1347&lt;&gt;"""",""https://api.qrserver.com/v1/create-qr-code/?size=200x200&amp;data=""&amp;ENCODEURL(""https://wa.me/507""&amp;REGEXREPLACE(C1347,""[^0-9]"","""")&amp;""?text=""&amp;ENCODEURL(""Ya llegue. Codigo: ""&amp;A1347&amp;"". Ubicacion: ""&amp;""https://www.google.com/maps/search"&amp;"/?api=1&amp;query=""&amp;SUBSTITUTE(F1347,"" "",""""))),"""")"),"")</f>
        <v/>
      </c>
      <c r="M1347" s="5" t="str">
        <f t="shared" si="6"/>
        <v/>
      </c>
      <c r="N1347" s="5" t="str">
        <f>IFERROR(__xludf.DUMMYFUNCTION("IF(AND(F1347&lt;&gt;"""",REGEXMATCH(SUBSTITUTE(F1347,"" "",""""),""^-?\d+(\.\d+)?,-?\d+(\.\d+)?$""),VALUE(REGEXEXTRACT(SUBSTITUTE(F1347,"" "",""""),""^-?\d+(\.\d+)?""))&gt;=-90,VALUE(REGEXEXTRACT(SUBSTITUTE(F1347,"" "",""""),""^-?\d+(\.\d+)?""))&lt;=90,VALUE(REGEXEXT"&amp;"RACT(SUBSTITUTE(F1347,"" "",""""),""-?\d+(\.\d+)?$""))&gt;=-180,VALUE(REGEXEXTRACT(SUBSTITUTE(F1347,"" "",""""),""-?\d+(\.\d+)?$""))&lt;=180),""OK"",""REVISAR"")"),"#N/A")</f>
        <v>#N/A</v>
      </c>
    </row>
    <row r="1348" ht="15.75" customHeight="1">
      <c r="A1348" s="5" t="str">
        <f t="shared" si="1"/>
        <v>AD507-1346</v>
      </c>
      <c r="C1348" s="5"/>
      <c r="F1348" s="5"/>
      <c r="G1348" s="5" t="str">
        <f t="shared" si="2"/>
        <v/>
      </c>
      <c r="H1348" s="5" t="str">
        <f t="shared" si="3"/>
        <v/>
      </c>
      <c r="I1348" s="5" t="str">
        <f t="shared" si="4"/>
        <v/>
      </c>
      <c r="J1348" s="5" t="str">
        <f t="shared" si="5"/>
        <v/>
      </c>
      <c r="K1348" s="5" t="str">
        <f>IFERROR(__xludf.DUMMYFUNCTION("IF(C1348&lt;&gt;"""",HYPERLINK(""https://wa.me/507""&amp;REGEXREPLACE(C1348,""[^0-9]"","""")&amp;""?text=""&amp;ENCODEURL(""Ya llegue. Codigo: ""&amp;A1348&amp;"". Ubicacion: ""&amp;""https://www.google.com/maps/search/?api=1&amp;query=""&amp;SUBSTITUTE(F1348,"" "","""")),""📲 Avisar al clien"&amp;"te""),"""")"),"")</f>
        <v/>
      </c>
      <c r="L1348" s="5" t="str">
        <f>IFERROR(__xludf.DUMMYFUNCTION("IF(C1348&lt;&gt;"""",""https://api.qrserver.com/v1/create-qr-code/?size=200x200&amp;data=""&amp;ENCODEURL(""https://wa.me/507""&amp;REGEXREPLACE(C1348,""[^0-9]"","""")&amp;""?text=""&amp;ENCODEURL(""Ya llegue. Codigo: ""&amp;A1348&amp;"". Ubicacion: ""&amp;""https://www.google.com/maps/search"&amp;"/?api=1&amp;query=""&amp;SUBSTITUTE(F1348,"" "",""""))),"""")"),"")</f>
        <v/>
      </c>
      <c r="M1348" s="5" t="str">
        <f t="shared" si="6"/>
        <v/>
      </c>
      <c r="N1348" s="5" t="str">
        <f>IFERROR(__xludf.DUMMYFUNCTION("IF(AND(F1348&lt;&gt;"""",REGEXMATCH(SUBSTITUTE(F1348,"" "",""""),""^-?\d+(\.\d+)?,-?\d+(\.\d+)?$""),VALUE(REGEXEXTRACT(SUBSTITUTE(F1348,"" "",""""),""^-?\d+(\.\d+)?""))&gt;=-90,VALUE(REGEXEXTRACT(SUBSTITUTE(F1348,"" "",""""),""^-?\d+(\.\d+)?""))&lt;=90,VALUE(REGEXEXT"&amp;"RACT(SUBSTITUTE(F1348,"" "",""""),""-?\d+(\.\d+)?$""))&gt;=-180,VALUE(REGEXEXTRACT(SUBSTITUTE(F1348,"" "",""""),""-?\d+(\.\d+)?$""))&lt;=180),""OK"",""REVISAR"")"),"#N/A")</f>
        <v>#N/A</v>
      </c>
    </row>
    <row r="1349" ht="15.75" customHeight="1">
      <c r="A1349" s="5" t="str">
        <f t="shared" si="1"/>
        <v>AD507-1347</v>
      </c>
      <c r="C1349" s="5"/>
      <c r="F1349" s="5"/>
      <c r="G1349" s="5" t="str">
        <f t="shared" si="2"/>
        <v/>
      </c>
      <c r="H1349" s="5" t="str">
        <f t="shared" si="3"/>
        <v/>
      </c>
      <c r="I1349" s="5" t="str">
        <f t="shared" si="4"/>
        <v/>
      </c>
      <c r="J1349" s="5" t="str">
        <f t="shared" si="5"/>
        <v/>
      </c>
      <c r="K1349" s="5" t="str">
        <f>IFERROR(__xludf.DUMMYFUNCTION("IF(C1349&lt;&gt;"""",HYPERLINK(""https://wa.me/507""&amp;REGEXREPLACE(C1349,""[^0-9]"","""")&amp;""?text=""&amp;ENCODEURL(""Ya llegue. Codigo: ""&amp;A1349&amp;"". Ubicacion: ""&amp;""https://www.google.com/maps/search/?api=1&amp;query=""&amp;SUBSTITUTE(F1349,"" "","""")),""📲 Avisar al clien"&amp;"te""),"""")"),"")</f>
        <v/>
      </c>
      <c r="L1349" s="5" t="str">
        <f>IFERROR(__xludf.DUMMYFUNCTION("IF(C1349&lt;&gt;"""",""https://api.qrserver.com/v1/create-qr-code/?size=200x200&amp;data=""&amp;ENCODEURL(""https://wa.me/507""&amp;REGEXREPLACE(C1349,""[^0-9]"","""")&amp;""?text=""&amp;ENCODEURL(""Ya llegue. Codigo: ""&amp;A1349&amp;"". Ubicacion: ""&amp;""https://www.google.com/maps/search"&amp;"/?api=1&amp;query=""&amp;SUBSTITUTE(F1349,"" "",""""))),"""")"),"")</f>
        <v/>
      </c>
      <c r="M1349" s="5" t="str">
        <f t="shared" si="6"/>
        <v/>
      </c>
      <c r="N1349" s="5" t="str">
        <f>IFERROR(__xludf.DUMMYFUNCTION("IF(AND(F1349&lt;&gt;"""",REGEXMATCH(SUBSTITUTE(F1349,"" "",""""),""^-?\d+(\.\d+)?,-?\d+(\.\d+)?$""),VALUE(REGEXEXTRACT(SUBSTITUTE(F1349,"" "",""""),""^-?\d+(\.\d+)?""))&gt;=-90,VALUE(REGEXEXTRACT(SUBSTITUTE(F1349,"" "",""""),""^-?\d+(\.\d+)?""))&lt;=90,VALUE(REGEXEXT"&amp;"RACT(SUBSTITUTE(F1349,"" "",""""),""-?\d+(\.\d+)?$""))&gt;=-180,VALUE(REGEXEXTRACT(SUBSTITUTE(F1349,"" "",""""),""-?\d+(\.\d+)?$""))&lt;=180),""OK"",""REVISAR"")"),"#N/A")</f>
        <v>#N/A</v>
      </c>
    </row>
    <row r="1350" ht="15.75" customHeight="1">
      <c r="A1350" s="5" t="str">
        <f t="shared" si="1"/>
        <v>AD507-1348</v>
      </c>
      <c r="C1350" s="5"/>
      <c r="F1350" s="5"/>
      <c r="G1350" s="5" t="str">
        <f t="shared" si="2"/>
        <v/>
      </c>
      <c r="H1350" s="5" t="str">
        <f t="shared" si="3"/>
        <v/>
      </c>
      <c r="I1350" s="5" t="str">
        <f t="shared" si="4"/>
        <v/>
      </c>
      <c r="J1350" s="5" t="str">
        <f t="shared" si="5"/>
        <v/>
      </c>
      <c r="K1350" s="5" t="str">
        <f>IFERROR(__xludf.DUMMYFUNCTION("IF(C1350&lt;&gt;"""",HYPERLINK(""https://wa.me/507""&amp;REGEXREPLACE(C1350,""[^0-9]"","""")&amp;""?text=""&amp;ENCODEURL(""Ya llegue. Codigo: ""&amp;A1350&amp;"". Ubicacion: ""&amp;""https://www.google.com/maps/search/?api=1&amp;query=""&amp;SUBSTITUTE(F1350,"" "","""")),""📲 Avisar al clien"&amp;"te""),"""")"),"")</f>
        <v/>
      </c>
      <c r="L1350" s="5" t="str">
        <f>IFERROR(__xludf.DUMMYFUNCTION("IF(C1350&lt;&gt;"""",""https://api.qrserver.com/v1/create-qr-code/?size=200x200&amp;data=""&amp;ENCODEURL(""https://wa.me/507""&amp;REGEXREPLACE(C1350,""[^0-9]"","""")&amp;""?text=""&amp;ENCODEURL(""Ya llegue. Codigo: ""&amp;A1350&amp;"". Ubicacion: ""&amp;""https://www.google.com/maps/search"&amp;"/?api=1&amp;query=""&amp;SUBSTITUTE(F1350,"" "",""""))),"""")"),"")</f>
        <v/>
      </c>
      <c r="M1350" s="5" t="str">
        <f t="shared" si="6"/>
        <v/>
      </c>
      <c r="N1350" s="5" t="str">
        <f>IFERROR(__xludf.DUMMYFUNCTION("IF(AND(F1350&lt;&gt;"""",REGEXMATCH(SUBSTITUTE(F1350,"" "",""""),""^-?\d+(\.\d+)?,-?\d+(\.\d+)?$""),VALUE(REGEXEXTRACT(SUBSTITUTE(F1350,"" "",""""),""^-?\d+(\.\d+)?""))&gt;=-90,VALUE(REGEXEXTRACT(SUBSTITUTE(F1350,"" "",""""),""^-?\d+(\.\d+)?""))&lt;=90,VALUE(REGEXEXT"&amp;"RACT(SUBSTITUTE(F1350,"" "",""""),""-?\d+(\.\d+)?$""))&gt;=-180,VALUE(REGEXEXTRACT(SUBSTITUTE(F1350,"" "",""""),""-?\d+(\.\d+)?$""))&lt;=180),""OK"",""REVISAR"")"),"#N/A")</f>
        <v>#N/A</v>
      </c>
    </row>
    <row r="1351" ht="15.75" customHeight="1">
      <c r="A1351" s="5" t="str">
        <f t="shared" si="1"/>
        <v>AD507-1349</v>
      </c>
      <c r="C1351" s="5"/>
      <c r="F1351" s="5"/>
      <c r="G1351" s="5" t="str">
        <f t="shared" si="2"/>
        <v/>
      </c>
      <c r="H1351" s="5" t="str">
        <f t="shared" si="3"/>
        <v/>
      </c>
      <c r="I1351" s="5" t="str">
        <f t="shared" si="4"/>
        <v/>
      </c>
      <c r="J1351" s="5" t="str">
        <f t="shared" si="5"/>
        <v/>
      </c>
      <c r="K1351" s="5" t="str">
        <f>IFERROR(__xludf.DUMMYFUNCTION("IF(C1351&lt;&gt;"""",HYPERLINK(""https://wa.me/507""&amp;REGEXREPLACE(C1351,""[^0-9]"","""")&amp;""?text=""&amp;ENCODEURL(""Ya llegue. Codigo: ""&amp;A1351&amp;"". Ubicacion: ""&amp;""https://www.google.com/maps/search/?api=1&amp;query=""&amp;SUBSTITUTE(F1351,"" "","""")),""📲 Avisar al clien"&amp;"te""),"""")"),"")</f>
        <v/>
      </c>
      <c r="L1351" s="5" t="str">
        <f>IFERROR(__xludf.DUMMYFUNCTION("IF(C1351&lt;&gt;"""",""https://api.qrserver.com/v1/create-qr-code/?size=200x200&amp;data=""&amp;ENCODEURL(""https://wa.me/507""&amp;REGEXREPLACE(C1351,""[^0-9]"","""")&amp;""?text=""&amp;ENCODEURL(""Ya llegue. Codigo: ""&amp;A1351&amp;"". Ubicacion: ""&amp;""https://www.google.com/maps/search"&amp;"/?api=1&amp;query=""&amp;SUBSTITUTE(F1351,"" "",""""))),"""")"),"")</f>
        <v/>
      </c>
      <c r="M1351" s="5" t="str">
        <f t="shared" si="6"/>
        <v/>
      </c>
      <c r="N1351" s="5" t="str">
        <f>IFERROR(__xludf.DUMMYFUNCTION("IF(AND(F1351&lt;&gt;"""",REGEXMATCH(SUBSTITUTE(F1351,"" "",""""),""^-?\d+(\.\d+)?,-?\d+(\.\d+)?$""),VALUE(REGEXEXTRACT(SUBSTITUTE(F1351,"" "",""""),""^-?\d+(\.\d+)?""))&gt;=-90,VALUE(REGEXEXTRACT(SUBSTITUTE(F1351,"" "",""""),""^-?\d+(\.\d+)?""))&lt;=90,VALUE(REGEXEXT"&amp;"RACT(SUBSTITUTE(F1351,"" "",""""),""-?\d+(\.\d+)?$""))&gt;=-180,VALUE(REGEXEXTRACT(SUBSTITUTE(F1351,"" "",""""),""-?\d+(\.\d+)?$""))&lt;=180),""OK"",""REVISAR"")"),"#N/A")</f>
        <v>#N/A</v>
      </c>
    </row>
    <row r="1352" ht="15.75" customHeight="1">
      <c r="A1352" s="5" t="str">
        <f t="shared" si="1"/>
        <v>AD507-1350</v>
      </c>
      <c r="C1352" s="5"/>
      <c r="F1352" s="5"/>
      <c r="G1352" s="5" t="str">
        <f t="shared" si="2"/>
        <v/>
      </c>
      <c r="H1352" s="5" t="str">
        <f t="shared" si="3"/>
        <v/>
      </c>
      <c r="I1352" s="5" t="str">
        <f t="shared" si="4"/>
        <v/>
      </c>
      <c r="J1352" s="5" t="str">
        <f t="shared" si="5"/>
        <v/>
      </c>
      <c r="K1352" s="5" t="str">
        <f>IFERROR(__xludf.DUMMYFUNCTION("IF(C1352&lt;&gt;"""",HYPERLINK(""https://wa.me/507""&amp;REGEXREPLACE(C1352,""[^0-9]"","""")&amp;""?text=""&amp;ENCODEURL(""Ya llegue. Codigo: ""&amp;A1352&amp;"". Ubicacion: ""&amp;""https://www.google.com/maps/search/?api=1&amp;query=""&amp;SUBSTITUTE(F1352,"" "","""")),""📲 Avisar al clien"&amp;"te""),"""")"),"")</f>
        <v/>
      </c>
      <c r="L1352" s="5" t="str">
        <f>IFERROR(__xludf.DUMMYFUNCTION("IF(C1352&lt;&gt;"""",""https://api.qrserver.com/v1/create-qr-code/?size=200x200&amp;data=""&amp;ENCODEURL(""https://wa.me/507""&amp;REGEXREPLACE(C1352,""[^0-9]"","""")&amp;""?text=""&amp;ENCODEURL(""Ya llegue. Codigo: ""&amp;A1352&amp;"". Ubicacion: ""&amp;""https://www.google.com/maps/search"&amp;"/?api=1&amp;query=""&amp;SUBSTITUTE(F1352,"" "",""""))),"""")"),"")</f>
        <v/>
      </c>
      <c r="M1352" s="5" t="str">
        <f t="shared" si="6"/>
        <v/>
      </c>
      <c r="N1352" s="5" t="str">
        <f>IFERROR(__xludf.DUMMYFUNCTION("IF(AND(F1352&lt;&gt;"""",REGEXMATCH(SUBSTITUTE(F1352,"" "",""""),""^-?\d+(\.\d+)?,-?\d+(\.\d+)?$""),VALUE(REGEXEXTRACT(SUBSTITUTE(F1352,"" "",""""),""^-?\d+(\.\d+)?""))&gt;=-90,VALUE(REGEXEXTRACT(SUBSTITUTE(F1352,"" "",""""),""^-?\d+(\.\d+)?""))&lt;=90,VALUE(REGEXEXT"&amp;"RACT(SUBSTITUTE(F1352,"" "",""""),""-?\d+(\.\d+)?$""))&gt;=-180,VALUE(REGEXEXTRACT(SUBSTITUTE(F1352,"" "",""""),""-?\d+(\.\d+)?$""))&lt;=180),""OK"",""REVISAR"")"),"#N/A")</f>
        <v>#N/A</v>
      </c>
    </row>
    <row r="1353" ht="15.75" customHeight="1">
      <c r="A1353" s="5" t="str">
        <f t="shared" si="1"/>
        <v>AD507-1351</v>
      </c>
      <c r="C1353" s="5"/>
      <c r="F1353" s="5"/>
      <c r="G1353" s="5" t="str">
        <f t="shared" si="2"/>
        <v/>
      </c>
      <c r="H1353" s="5" t="str">
        <f t="shared" si="3"/>
        <v/>
      </c>
      <c r="I1353" s="5" t="str">
        <f t="shared" si="4"/>
        <v/>
      </c>
      <c r="J1353" s="5" t="str">
        <f t="shared" si="5"/>
        <v/>
      </c>
      <c r="K1353" s="5" t="str">
        <f>IFERROR(__xludf.DUMMYFUNCTION("IF(C1353&lt;&gt;"""",HYPERLINK(""https://wa.me/507""&amp;REGEXREPLACE(C1353,""[^0-9]"","""")&amp;""?text=""&amp;ENCODEURL(""Ya llegue. Codigo: ""&amp;A1353&amp;"". Ubicacion: ""&amp;""https://www.google.com/maps/search/?api=1&amp;query=""&amp;SUBSTITUTE(F1353,"" "","""")),""📲 Avisar al clien"&amp;"te""),"""")"),"")</f>
        <v/>
      </c>
      <c r="L1353" s="5" t="str">
        <f>IFERROR(__xludf.DUMMYFUNCTION("IF(C1353&lt;&gt;"""",""https://api.qrserver.com/v1/create-qr-code/?size=200x200&amp;data=""&amp;ENCODEURL(""https://wa.me/507""&amp;REGEXREPLACE(C1353,""[^0-9]"","""")&amp;""?text=""&amp;ENCODEURL(""Ya llegue. Codigo: ""&amp;A1353&amp;"". Ubicacion: ""&amp;""https://www.google.com/maps/search"&amp;"/?api=1&amp;query=""&amp;SUBSTITUTE(F1353,"" "",""""))),"""")"),"")</f>
        <v/>
      </c>
      <c r="M1353" s="5" t="str">
        <f t="shared" si="6"/>
        <v/>
      </c>
      <c r="N1353" s="5" t="str">
        <f>IFERROR(__xludf.DUMMYFUNCTION("IF(AND(F1353&lt;&gt;"""",REGEXMATCH(SUBSTITUTE(F1353,"" "",""""),""^-?\d+(\.\d+)?,-?\d+(\.\d+)?$""),VALUE(REGEXEXTRACT(SUBSTITUTE(F1353,"" "",""""),""^-?\d+(\.\d+)?""))&gt;=-90,VALUE(REGEXEXTRACT(SUBSTITUTE(F1353,"" "",""""),""^-?\d+(\.\d+)?""))&lt;=90,VALUE(REGEXEXT"&amp;"RACT(SUBSTITUTE(F1353,"" "",""""),""-?\d+(\.\d+)?$""))&gt;=-180,VALUE(REGEXEXTRACT(SUBSTITUTE(F1353,"" "",""""),""-?\d+(\.\d+)?$""))&lt;=180),""OK"",""REVISAR"")"),"#N/A")</f>
        <v>#N/A</v>
      </c>
    </row>
    <row r="1354" ht="15.75" customHeight="1">
      <c r="A1354" s="5" t="str">
        <f t="shared" si="1"/>
        <v>AD507-1352</v>
      </c>
      <c r="C1354" s="5"/>
      <c r="F1354" s="5"/>
      <c r="G1354" s="5" t="str">
        <f t="shared" si="2"/>
        <v/>
      </c>
      <c r="H1354" s="5" t="str">
        <f t="shared" si="3"/>
        <v/>
      </c>
      <c r="I1354" s="5" t="str">
        <f t="shared" si="4"/>
        <v/>
      </c>
      <c r="J1354" s="5" t="str">
        <f t="shared" si="5"/>
        <v/>
      </c>
      <c r="K1354" s="5" t="str">
        <f>IFERROR(__xludf.DUMMYFUNCTION("IF(C1354&lt;&gt;"""",HYPERLINK(""https://wa.me/507""&amp;REGEXREPLACE(C1354,""[^0-9]"","""")&amp;""?text=""&amp;ENCODEURL(""Ya llegue. Codigo: ""&amp;A1354&amp;"". Ubicacion: ""&amp;""https://www.google.com/maps/search/?api=1&amp;query=""&amp;SUBSTITUTE(F1354,"" "","""")),""📲 Avisar al clien"&amp;"te""),"""")"),"")</f>
        <v/>
      </c>
      <c r="L1354" s="5" t="str">
        <f>IFERROR(__xludf.DUMMYFUNCTION("IF(C1354&lt;&gt;"""",""https://api.qrserver.com/v1/create-qr-code/?size=200x200&amp;data=""&amp;ENCODEURL(""https://wa.me/507""&amp;REGEXREPLACE(C1354,""[^0-9]"","""")&amp;""?text=""&amp;ENCODEURL(""Ya llegue. Codigo: ""&amp;A1354&amp;"". Ubicacion: ""&amp;""https://www.google.com/maps/search"&amp;"/?api=1&amp;query=""&amp;SUBSTITUTE(F1354,"" "",""""))),"""")"),"")</f>
        <v/>
      </c>
      <c r="M1354" s="5" t="str">
        <f t="shared" si="6"/>
        <v/>
      </c>
      <c r="N1354" s="5" t="str">
        <f>IFERROR(__xludf.DUMMYFUNCTION("IF(AND(F1354&lt;&gt;"""",REGEXMATCH(SUBSTITUTE(F1354,"" "",""""),""^-?\d+(\.\d+)?,-?\d+(\.\d+)?$""),VALUE(REGEXEXTRACT(SUBSTITUTE(F1354,"" "",""""),""^-?\d+(\.\d+)?""))&gt;=-90,VALUE(REGEXEXTRACT(SUBSTITUTE(F1354,"" "",""""),""^-?\d+(\.\d+)?""))&lt;=90,VALUE(REGEXEXT"&amp;"RACT(SUBSTITUTE(F1354,"" "",""""),""-?\d+(\.\d+)?$""))&gt;=-180,VALUE(REGEXEXTRACT(SUBSTITUTE(F1354,"" "",""""),""-?\d+(\.\d+)?$""))&lt;=180),""OK"",""REVISAR"")"),"#N/A")</f>
        <v>#N/A</v>
      </c>
    </row>
    <row r="1355" ht="15.75" customHeight="1">
      <c r="A1355" s="5" t="str">
        <f t="shared" si="1"/>
        <v>AD507-1353</v>
      </c>
      <c r="C1355" s="5"/>
      <c r="F1355" s="5"/>
      <c r="G1355" s="5" t="str">
        <f t="shared" si="2"/>
        <v/>
      </c>
      <c r="H1355" s="5" t="str">
        <f t="shared" si="3"/>
        <v/>
      </c>
      <c r="I1355" s="5" t="str">
        <f t="shared" si="4"/>
        <v/>
      </c>
      <c r="J1355" s="5" t="str">
        <f t="shared" si="5"/>
        <v/>
      </c>
      <c r="K1355" s="5" t="str">
        <f>IFERROR(__xludf.DUMMYFUNCTION("IF(C1355&lt;&gt;"""",HYPERLINK(""https://wa.me/507""&amp;REGEXREPLACE(C1355,""[^0-9]"","""")&amp;""?text=""&amp;ENCODEURL(""Ya llegue. Codigo: ""&amp;A1355&amp;"". Ubicacion: ""&amp;""https://www.google.com/maps/search/?api=1&amp;query=""&amp;SUBSTITUTE(F1355,"" "","""")),""📲 Avisar al clien"&amp;"te""),"""")"),"")</f>
        <v/>
      </c>
      <c r="L1355" s="5" t="str">
        <f>IFERROR(__xludf.DUMMYFUNCTION("IF(C1355&lt;&gt;"""",""https://api.qrserver.com/v1/create-qr-code/?size=200x200&amp;data=""&amp;ENCODEURL(""https://wa.me/507""&amp;REGEXREPLACE(C1355,""[^0-9]"","""")&amp;""?text=""&amp;ENCODEURL(""Ya llegue. Codigo: ""&amp;A1355&amp;"". Ubicacion: ""&amp;""https://www.google.com/maps/search"&amp;"/?api=1&amp;query=""&amp;SUBSTITUTE(F1355,"" "",""""))),"""")"),"")</f>
        <v/>
      </c>
      <c r="M1355" s="5" t="str">
        <f t="shared" si="6"/>
        <v/>
      </c>
      <c r="N1355" s="5" t="str">
        <f>IFERROR(__xludf.DUMMYFUNCTION("IF(AND(F1355&lt;&gt;"""",REGEXMATCH(SUBSTITUTE(F1355,"" "",""""),""^-?\d+(\.\d+)?,-?\d+(\.\d+)?$""),VALUE(REGEXEXTRACT(SUBSTITUTE(F1355,"" "",""""),""^-?\d+(\.\d+)?""))&gt;=-90,VALUE(REGEXEXTRACT(SUBSTITUTE(F1355,"" "",""""),""^-?\d+(\.\d+)?""))&lt;=90,VALUE(REGEXEXT"&amp;"RACT(SUBSTITUTE(F1355,"" "",""""),""-?\d+(\.\d+)?$""))&gt;=-180,VALUE(REGEXEXTRACT(SUBSTITUTE(F1355,"" "",""""),""-?\d+(\.\d+)?$""))&lt;=180),""OK"",""REVISAR"")"),"#N/A")</f>
        <v>#N/A</v>
      </c>
    </row>
    <row r="1356" ht="15.75" customHeight="1">
      <c r="A1356" s="5" t="str">
        <f t="shared" si="1"/>
        <v>AD507-1354</v>
      </c>
      <c r="C1356" s="5"/>
      <c r="F1356" s="5"/>
      <c r="G1356" s="5" t="str">
        <f t="shared" si="2"/>
        <v/>
      </c>
      <c r="H1356" s="5" t="str">
        <f t="shared" si="3"/>
        <v/>
      </c>
      <c r="I1356" s="5" t="str">
        <f t="shared" si="4"/>
        <v/>
      </c>
      <c r="J1356" s="5" t="str">
        <f t="shared" si="5"/>
        <v/>
      </c>
      <c r="K1356" s="5" t="str">
        <f>IFERROR(__xludf.DUMMYFUNCTION("IF(C1356&lt;&gt;"""",HYPERLINK(""https://wa.me/507""&amp;REGEXREPLACE(C1356,""[^0-9]"","""")&amp;""?text=""&amp;ENCODEURL(""Ya llegue. Codigo: ""&amp;A1356&amp;"". Ubicacion: ""&amp;""https://www.google.com/maps/search/?api=1&amp;query=""&amp;SUBSTITUTE(F1356,"" "","""")),""📲 Avisar al clien"&amp;"te""),"""")"),"")</f>
        <v/>
      </c>
      <c r="L1356" s="5" t="str">
        <f>IFERROR(__xludf.DUMMYFUNCTION("IF(C1356&lt;&gt;"""",""https://api.qrserver.com/v1/create-qr-code/?size=200x200&amp;data=""&amp;ENCODEURL(""https://wa.me/507""&amp;REGEXREPLACE(C1356,""[^0-9]"","""")&amp;""?text=""&amp;ENCODEURL(""Ya llegue. Codigo: ""&amp;A1356&amp;"". Ubicacion: ""&amp;""https://www.google.com/maps/search"&amp;"/?api=1&amp;query=""&amp;SUBSTITUTE(F1356,"" "",""""))),"""")"),"")</f>
        <v/>
      </c>
      <c r="M1356" s="5" t="str">
        <f t="shared" si="6"/>
        <v/>
      </c>
      <c r="N1356" s="5" t="str">
        <f>IFERROR(__xludf.DUMMYFUNCTION("IF(AND(F1356&lt;&gt;"""",REGEXMATCH(SUBSTITUTE(F1356,"" "",""""),""^-?\d+(\.\d+)?,-?\d+(\.\d+)?$""),VALUE(REGEXEXTRACT(SUBSTITUTE(F1356,"" "",""""),""^-?\d+(\.\d+)?""))&gt;=-90,VALUE(REGEXEXTRACT(SUBSTITUTE(F1356,"" "",""""),""^-?\d+(\.\d+)?""))&lt;=90,VALUE(REGEXEXT"&amp;"RACT(SUBSTITUTE(F1356,"" "",""""),""-?\d+(\.\d+)?$""))&gt;=-180,VALUE(REGEXEXTRACT(SUBSTITUTE(F1356,"" "",""""),""-?\d+(\.\d+)?$""))&lt;=180),""OK"",""REVISAR"")"),"#N/A")</f>
        <v>#N/A</v>
      </c>
    </row>
    <row r="1357" ht="15.75" customHeight="1">
      <c r="A1357" s="5" t="str">
        <f t="shared" si="1"/>
        <v>AD507-1355</v>
      </c>
      <c r="C1357" s="5"/>
      <c r="F1357" s="5"/>
      <c r="G1357" s="5" t="str">
        <f t="shared" si="2"/>
        <v/>
      </c>
      <c r="H1357" s="5" t="str">
        <f t="shared" si="3"/>
        <v/>
      </c>
      <c r="I1357" s="5" t="str">
        <f t="shared" si="4"/>
        <v/>
      </c>
      <c r="J1357" s="5" t="str">
        <f t="shared" si="5"/>
        <v/>
      </c>
      <c r="K1357" s="5" t="str">
        <f>IFERROR(__xludf.DUMMYFUNCTION("IF(C1357&lt;&gt;"""",HYPERLINK(""https://wa.me/507""&amp;REGEXREPLACE(C1357,""[^0-9]"","""")&amp;""?text=""&amp;ENCODEURL(""Ya llegue. Codigo: ""&amp;A1357&amp;"". Ubicacion: ""&amp;""https://www.google.com/maps/search/?api=1&amp;query=""&amp;SUBSTITUTE(F1357,"" "","""")),""📲 Avisar al clien"&amp;"te""),"""")"),"")</f>
        <v/>
      </c>
      <c r="L1357" s="5" t="str">
        <f>IFERROR(__xludf.DUMMYFUNCTION("IF(C1357&lt;&gt;"""",""https://api.qrserver.com/v1/create-qr-code/?size=200x200&amp;data=""&amp;ENCODEURL(""https://wa.me/507""&amp;REGEXREPLACE(C1357,""[^0-9]"","""")&amp;""?text=""&amp;ENCODEURL(""Ya llegue. Codigo: ""&amp;A1357&amp;"". Ubicacion: ""&amp;""https://www.google.com/maps/search"&amp;"/?api=1&amp;query=""&amp;SUBSTITUTE(F1357,"" "",""""))),"""")"),"")</f>
        <v/>
      </c>
      <c r="M1357" s="5" t="str">
        <f t="shared" si="6"/>
        <v/>
      </c>
      <c r="N1357" s="5" t="str">
        <f>IFERROR(__xludf.DUMMYFUNCTION("IF(AND(F1357&lt;&gt;"""",REGEXMATCH(SUBSTITUTE(F1357,"" "",""""),""^-?\d+(\.\d+)?,-?\d+(\.\d+)?$""),VALUE(REGEXEXTRACT(SUBSTITUTE(F1357,"" "",""""),""^-?\d+(\.\d+)?""))&gt;=-90,VALUE(REGEXEXTRACT(SUBSTITUTE(F1357,"" "",""""),""^-?\d+(\.\d+)?""))&lt;=90,VALUE(REGEXEXT"&amp;"RACT(SUBSTITUTE(F1357,"" "",""""),""-?\d+(\.\d+)?$""))&gt;=-180,VALUE(REGEXEXTRACT(SUBSTITUTE(F1357,"" "",""""),""-?\d+(\.\d+)?$""))&lt;=180),""OK"",""REVISAR"")"),"#N/A")</f>
        <v>#N/A</v>
      </c>
    </row>
    <row r="1358" ht="15.75" customHeight="1">
      <c r="A1358" s="5" t="str">
        <f t="shared" si="1"/>
        <v>AD507-1356</v>
      </c>
      <c r="C1358" s="5"/>
      <c r="F1358" s="5"/>
      <c r="G1358" s="5" t="str">
        <f t="shared" si="2"/>
        <v/>
      </c>
      <c r="H1358" s="5" t="str">
        <f t="shared" si="3"/>
        <v/>
      </c>
      <c r="I1358" s="5" t="str">
        <f t="shared" si="4"/>
        <v/>
      </c>
      <c r="J1358" s="5" t="str">
        <f t="shared" si="5"/>
        <v/>
      </c>
      <c r="K1358" s="5" t="str">
        <f>IFERROR(__xludf.DUMMYFUNCTION("IF(C1358&lt;&gt;"""",HYPERLINK(""https://wa.me/507""&amp;REGEXREPLACE(C1358,""[^0-9]"","""")&amp;""?text=""&amp;ENCODEURL(""Ya llegue. Codigo: ""&amp;A1358&amp;"". Ubicacion: ""&amp;""https://www.google.com/maps/search/?api=1&amp;query=""&amp;SUBSTITUTE(F1358,"" "","""")),""📲 Avisar al clien"&amp;"te""),"""")"),"")</f>
        <v/>
      </c>
      <c r="L1358" s="5" t="str">
        <f>IFERROR(__xludf.DUMMYFUNCTION("IF(C1358&lt;&gt;"""",""https://api.qrserver.com/v1/create-qr-code/?size=200x200&amp;data=""&amp;ENCODEURL(""https://wa.me/507""&amp;REGEXREPLACE(C1358,""[^0-9]"","""")&amp;""?text=""&amp;ENCODEURL(""Ya llegue. Codigo: ""&amp;A1358&amp;"". Ubicacion: ""&amp;""https://www.google.com/maps/search"&amp;"/?api=1&amp;query=""&amp;SUBSTITUTE(F1358,"" "",""""))),"""")"),"")</f>
        <v/>
      </c>
      <c r="M1358" s="5" t="str">
        <f t="shared" si="6"/>
        <v/>
      </c>
      <c r="N1358" s="5" t="str">
        <f>IFERROR(__xludf.DUMMYFUNCTION("IF(AND(F1358&lt;&gt;"""",REGEXMATCH(SUBSTITUTE(F1358,"" "",""""),""^-?\d+(\.\d+)?,-?\d+(\.\d+)?$""),VALUE(REGEXEXTRACT(SUBSTITUTE(F1358,"" "",""""),""^-?\d+(\.\d+)?""))&gt;=-90,VALUE(REGEXEXTRACT(SUBSTITUTE(F1358,"" "",""""),""^-?\d+(\.\d+)?""))&lt;=90,VALUE(REGEXEXT"&amp;"RACT(SUBSTITUTE(F1358,"" "",""""),""-?\d+(\.\d+)?$""))&gt;=-180,VALUE(REGEXEXTRACT(SUBSTITUTE(F1358,"" "",""""),""-?\d+(\.\d+)?$""))&lt;=180),""OK"",""REVISAR"")"),"#N/A")</f>
        <v>#N/A</v>
      </c>
    </row>
    <row r="1359" ht="15.75" customHeight="1">
      <c r="A1359" s="5" t="str">
        <f t="shared" si="1"/>
        <v>AD507-1357</v>
      </c>
      <c r="C1359" s="5"/>
      <c r="F1359" s="5"/>
      <c r="G1359" s="5" t="str">
        <f t="shared" si="2"/>
        <v/>
      </c>
      <c r="H1359" s="5" t="str">
        <f t="shared" si="3"/>
        <v/>
      </c>
      <c r="I1359" s="5" t="str">
        <f t="shared" si="4"/>
        <v/>
      </c>
      <c r="J1359" s="5" t="str">
        <f t="shared" si="5"/>
        <v/>
      </c>
      <c r="K1359" s="5" t="str">
        <f>IFERROR(__xludf.DUMMYFUNCTION("IF(C1359&lt;&gt;"""",HYPERLINK(""https://wa.me/507""&amp;REGEXREPLACE(C1359,""[^0-9]"","""")&amp;""?text=""&amp;ENCODEURL(""Ya llegue. Codigo: ""&amp;A1359&amp;"". Ubicacion: ""&amp;""https://www.google.com/maps/search/?api=1&amp;query=""&amp;SUBSTITUTE(F1359,"" "","""")),""📲 Avisar al clien"&amp;"te""),"""")"),"")</f>
        <v/>
      </c>
      <c r="L1359" s="5" t="str">
        <f>IFERROR(__xludf.DUMMYFUNCTION("IF(C1359&lt;&gt;"""",""https://api.qrserver.com/v1/create-qr-code/?size=200x200&amp;data=""&amp;ENCODEURL(""https://wa.me/507""&amp;REGEXREPLACE(C1359,""[^0-9]"","""")&amp;""?text=""&amp;ENCODEURL(""Ya llegue. Codigo: ""&amp;A1359&amp;"". Ubicacion: ""&amp;""https://www.google.com/maps/search"&amp;"/?api=1&amp;query=""&amp;SUBSTITUTE(F1359,"" "",""""))),"""")"),"")</f>
        <v/>
      </c>
      <c r="M1359" s="5" t="str">
        <f t="shared" si="6"/>
        <v/>
      </c>
      <c r="N1359" s="5" t="str">
        <f>IFERROR(__xludf.DUMMYFUNCTION("IF(AND(F1359&lt;&gt;"""",REGEXMATCH(SUBSTITUTE(F1359,"" "",""""),""^-?\d+(\.\d+)?,-?\d+(\.\d+)?$""),VALUE(REGEXEXTRACT(SUBSTITUTE(F1359,"" "",""""),""^-?\d+(\.\d+)?""))&gt;=-90,VALUE(REGEXEXTRACT(SUBSTITUTE(F1359,"" "",""""),""^-?\d+(\.\d+)?""))&lt;=90,VALUE(REGEXEXT"&amp;"RACT(SUBSTITUTE(F1359,"" "",""""),""-?\d+(\.\d+)?$""))&gt;=-180,VALUE(REGEXEXTRACT(SUBSTITUTE(F1359,"" "",""""),""-?\d+(\.\d+)?$""))&lt;=180),""OK"",""REVISAR"")"),"#N/A")</f>
        <v>#N/A</v>
      </c>
    </row>
    <row r="1360" ht="15.75" customHeight="1">
      <c r="A1360" s="5" t="str">
        <f t="shared" si="1"/>
        <v>AD507-1358</v>
      </c>
      <c r="C1360" s="5"/>
      <c r="F1360" s="5"/>
      <c r="G1360" s="5" t="str">
        <f t="shared" si="2"/>
        <v/>
      </c>
      <c r="H1360" s="5" t="str">
        <f t="shared" si="3"/>
        <v/>
      </c>
      <c r="I1360" s="5" t="str">
        <f t="shared" si="4"/>
        <v/>
      </c>
      <c r="J1360" s="5" t="str">
        <f t="shared" si="5"/>
        <v/>
      </c>
      <c r="K1360" s="5" t="str">
        <f>IFERROR(__xludf.DUMMYFUNCTION("IF(C1360&lt;&gt;"""",HYPERLINK(""https://wa.me/507""&amp;REGEXREPLACE(C1360,""[^0-9]"","""")&amp;""?text=""&amp;ENCODEURL(""Ya llegue. Codigo: ""&amp;A1360&amp;"". Ubicacion: ""&amp;""https://www.google.com/maps/search/?api=1&amp;query=""&amp;SUBSTITUTE(F1360,"" "","""")),""📲 Avisar al clien"&amp;"te""),"""")"),"")</f>
        <v/>
      </c>
      <c r="L1360" s="5" t="str">
        <f>IFERROR(__xludf.DUMMYFUNCTION("IF(C1360&lt;&gt;"""",""https://api.qrserver.com/v1/create-qr-code/?size=200x200&amp;data=""&amp;ENCODEURL(""https://wa.me/507""&amp;REGEXREPLACE(C1360,""[^0-9]"","""")&amp;""?text=""&amp;ENCODEURL(""Ya llegue. Codigo: ""&amp;A1360&amp;"". Ubicacion: ""&amp;""https://www.google.com/maps/search"&amp;"/?api=1&amp;query=""&amp;SUBSTITUTE(F1360,"" "",""""))),"""")"),"")</f>
        <v/>
      </c>
      <c r="M1360" s="5" t="str">
        <f t="shared" si="6"/>
        <v/>
      </c>
      <c r="N1360" s="5" t="str">
        <f>IFERROR(__xludf.DUMMYFUNCTION("IF(AND(F1360&lt;&gt;"""",REGEXMATCH(SUBSTITUTE(F1360,"" "",""""),""^-?\d+(\.\d+)?,-?\d+(\.\d+)?$""),VALUE(REGEXEXTRACT(SUBSTITUTE(F1360,"" "",""""),""^-?\d+(\.\d+)?""))&gt;=-90,VALUE(REGEXEXTRACT(SUBSTITUTE(F1360,"" "",""""),""^-?\d+(\.\d+)?""))&lt;=90,VALUE(REGEXEXT"&amp;"RACT(SUBSTITUTE(F1360,"" "",""""),""-?\d+(\.\d+)?$""))&gt;=-180,VALUE(REGEXEXTRACT(SUBSTITUTE(F1360,"" "",""""),""-?\d+(\.\d+)?$""))&lt;=180),""OK"",""REVISAR"")"),"#N/A")</f>
        <v>#N/A</v>
      </c>
    </row>
    <row r="1361" ht="15.75" customHeight="1">
      <c r="A1361" s="5" t="str">
        <f t="shared" si="1"/>
        <v>AD507-1359</v>
      </c>
      <c r="C1361" s="5"/>
      <c r="F1361" s="5"/>
      <c r="G1361" s="5" t="str">
        <f t="shared" si="2"/>
        <v/>
      </c>
      <c r="H1361" s="5" t="str">
        <f t="shared" si="3"/>
        <v/>
      </c>
      <c r="I1361" s="5" t="str">
        <f t="shared" si="4"/>
        <v/>
      </c>
      <c r="J1361" s="5" t="str">
        <f t="shared" si="5"/>
        <v/>
      </c>
      <c r="K1361" s="5" t="str">
        <f>IFERROR(__xludf.DUMMYFUNCTION("IF(C1361&lt;&gt;"""",HYPERLINK(""https://wa.me/507""&amp;REGEXREPLACE(C1361,""[^0-9]"","""")&amp;""?text=""&amp;ENCODEURL(""Ya llegue. Codigo: ""&amp;A1361&amp;"". Ubicacion: ""&amp;""https://www.google.com/maps/search/?api=1&amp;query=""&amp;SUBSTITUTE(F1361,"" "","""")),""📲 Avisar al clien"&amp;"te""),"""")"),"")</f>
        <v/>
      </c>
      <c r="L1361" s="5" t="str">
        <f>IFERROR(__xludf.DUMMYFUNCTION("IF(C1361&lt;&gt;"""",""https://api.qrserver.com/v1/create-qr-code/?size=200x200&amp;data=""&amp;ENCODEURL(""https://wa.me/507""&amp;REGEXREPLACE(C1361,""[^0-9]"","""")&amp;""?text=""&amp;ENCODEURL(""Ya llegue. Codigo: ""&amp;A1361&amp;"". Ubicacion: ""&amp;""https://www.google.com/maps/search"&amp;"/?api=1&amp;query=""&amp;SUBSTITUTE(F1361,"" "",""""))),"""")"),"")</f>
        <v/>
      </c>
      <c r="M1361" s="5" t="str">
        <f t="shared" si="6"/>
        <v/>
      </c>
      <c r="N1361" s="5" t="str">
        <f>IFERROR(__xludf.DUMMYFUNCTION("IF(AND(F1361&lt;&gt;"""",REGEXMATCH(SUBSTITUTE(F1361,"" "",""""),""^-?\d+(\.\d+)?,-?\d+(\.\d+)?$""),VALUE(REGEXEXTRACT(SUBSTITUTE(F1361,"" "",""""),""^-?\d+(\.\d+)?""))&gt;=-90,VALUE(REGEXEXTRACT(SUBSTITUTE(F1361,"" "",""""),""^-?\d+(\.\d+)?""))&lt;=90,VALUE(REGEXEXT"&amp;"RACT(SUBSTITUTE(F1361,"" "",""""),""-?\d+(\.\d+)?$""))&gt;=-180,VALUE(REGEXEXTRACT(SUBSTITUTE(F1361,"" "",""""),""-?\d+(\.\d+)?$""))&lt;=180),""OK"",""REVISAR"")"),"#N/A")</f>
        <v>#N/A</v>
      </c>
    </row>
    <row r="1362" ht="15.75" customHeight="1">
      <c r="A1362" s="5" t="str">
        <f t="shared" si="1"/>
        <v>AD507-1360</v>
      </c>
      <c r="C1362" s="5"/>
      <c r="F1362" s="5"/>
      <c r="G1362" s="5" t="str">
        <f t="shared" si="2"/>
        <v/>
      </c>
      <c r="H1362" s="5" t="str">
        <f t="shared" si="3"/>
        <v/>
      </c>
      <c r="I1362" s="5" t="str">
        <f t="shared" si="4"/>
        <v/>
      </c>
      <c r="J1362" s="5" t="str">
        <f t="shared" si="5"/>
        <v/>
      </c>
      <c r="K1362" s="5" t="str">
        <f>IFERROR(__xludf.DUMMYFUNCTION("IF(C1362&lt;&gt;"""",HYPERLINK(""https://wa.me/507""&amp;REGEXREPLACE(C1362,""[^0-9]"","""")&amp;""?text=""&amp;ENCODEURL(""Ya llegue. Codigo: ""&amp;A1362&amp;"". Ubicacion: ""&amp;""https://www.google.com/maps/search/?api=1&amp;query=""&amp;SUBSTITUTE(F1362,"" "","""")),""📲 Avisar al clien"&amp;"te""),"""")"),"")</f>
        <v/>
      </c>
      <c r="L1362" s="5" t="str">
        <f>IFERROR(__xludf.DUMMYFUNCTION("IF(C1362&lt;&gt;"""",""https://api.qrserver.com/v1/create-qr-code/?size=200x200&amp;data=""&amp;ENCODEURL(""https://wa.me/507""&amp;REGEXREPLACE(C1362,""[^0-9]"","""")&amp;""?text=""&amp;ENCODEURL(""Ya llegue. Codigo: ""&amp;A1362&amp;"". Ubicacion: ""&amp;""https://www.google.com/maps/search"&amp;"/?api=1&amp;query=""&amp;SUBSTITUTE(F1362,"" "",""""))),"""")"),"")</f>
        <v/>
      </c>
      <c r="M1362" s="5" t="str">
        <f t="shared" si="6"/>
        <v/>
      </c>
      <c r="N1362" s="5" t="str">
        <f>IFERROR(__xludf.DUMMYFUNCTION("IF(AND(F1362&lt;&gt;"""",REGEXMATCH(SUBSTITUTE(F1362,"" "",""""),""^-?\d+(\.\d+)?,-?\d+(\.\d+)?$""),VALUE(REGEXEXTRACT(SUBSTITUTE(F1362,"" "",""""),""^-?\d+(\.\d+)?""))&gt;=-90,VALUE(REGEXEXTRACT(SUBSTITUTE(F1362,"" "",""""),""^-?\d+(\.\d+)?""))&lt;=90,VALUE(REGEXEXT"&amp;"RACT(SUBSTITUTE(F1362,"" "",""""),""-?\d+(\.\d+)?$""))&gt;=-180,VALUE(REGEXEXTRACT(SUBSTITUTE(F1362,"" "",""""),""-?\d+(\.\d+)?$""))&lt;=180),""OK"",""REVISAR"")"),"#N/A")</f>
        <v>#N/A</v>
      </c>
    </row>
    <row r="1363" ht="15.75" customHeight="1">
      <c r="A1363" s="5" t="str">
        <f t="shared" si="1"/>
        <v>AD507-1361</v>
      </c>
      <c r="C1363" s="5"/>
      <c r="F1363" s="5"/>
      <c r="G1363" s="5" t="str">
        <f t="shared" si="2"/>
        <v/>
      </c>
      <c r="H1363" s="5" t="str">
        <f t="shared" si="3"/>
        <v/>
      </c>
      <c r="I1363" s="5" t="str">
        <f t="shared" si="4"/>
        <v/>
      </c>
      <c r="J1363" s="5" t="str">
        <f t="shared" si="5"/>
        <v/>
      </c>
      <c r="K1363" s="5" t="str">
        <f>IFERROR(__xludf.DUMMYFUNCTION("IF(C1363&lt;&gt;"""",HYPERLINK(""https://wa.me/507""&amp;REGEXREPLACE(C1363,""[^0-9]"","""")&amp;""?text=""&amp;ENCODEURL(""Ya llegue. Codigo: ""&amp;A1363&amp;"". Ubicacion: ""&amp;""https://www.google.com/maps/search/?api=1&amp;query=""&amp;SUBSTITUTE(F1363,"" "","""")),""📲 Avisar al clien"&amp;"te""),"""")"),"")</f>
        <v/>
      </c>
      <c r="L1363" s="5" t="str">
        <f>IFERROR(__xludf.DUMMYFUNCTION("IF(C1363&lt;&gt;"""",""https://api.qrserver.com/v1/create-qr-code/?size=200x200&amp;data=""&amp;ENCODEURL(""https://wa.me/507""&amp;REGEXREPLACE(C1363,""[^0-9]"","""")&amp;""?text=""&amp;ENCODEURL(""Ya llegue. Codigo: ""&amp;A1363&amp;"". Ubicacion: ""&amp;""https://www.google.com/maps/search"&amp;"/?api=1&amp;query=""&amp;SUBSTITUTE(F1363,"" "",""""))),"""")"),"")</f>
        <v/>
      </c>
      <c r="M1363" s="5" t="str">
        <f t="shared" si="6"/>
        <v/>
      </c>
      <c r="N1363" s="5" t="str">
        <f>IFERROR(__xludf.DUMMYFUNCTION("IF(AND(F1363&lt;&gt;"""",REGEXMATCH(SUBSTITUTE(F1363,"" "",""""),""^-?\d+(\.\d+)?,-?\d+(\.\d+)?$""),VALUE(REGEXEXTRACT(SUBSTITUTE(F1363,"" "",""""),""^-?\d+(\.\d+)?""))&gt;=-90,VALUE(REGEXEXTRACT(SUBSTITUTE(F1363,"" "",""""),""^-?\d+(\.\d+)?""))&lt;=90,VALUE(REGEXEXT"&amp;"RACT(SUBSTITUTE(F1363,"" "",""""),""-?\d+(\.\d+)?$""))&gt;=-180,VALUE(REGEXEXTRACT(SUBSTITUTE(F1363,"" "",""""),""-?\d+(\.\d+)?$""))&lt;=180),""OK"",""REVISAR"")"),"#N/A")</f>
        <v>#N/A</v>
      </c>
    </row>
    <row r="1364" ht="15.75" customHeight="1">
      <c r="A1364" s="5" t="str">
        <f t="shared" si="1"/>
        <v>AD507-1362</v>
      </c>
      <c r="C1364" s="5"/>
      <c r="F1364" s="5"/>
      <c r="G1364" s="5" t="str">
        <f t="shared" si="2"/>
        <v/>
      </c>
      <c r="H1364" s="5" t="str">
        <f t="shared" si="3"/>
        <v/>
      </c>
      <c r="I1364" s="5" t="str">
        <f t="shared" si="4"/>
        <v/>
      </c>
      <c r="J1364" s="5" t="str">
        <f t="shared" si="5"/>
        <v/>
      </c>
      <c r="K1364" s="5" t="str">
        <f>IFERROR(__xludf.DUMMYFUNCTION("IF(C1364&lt;&gt;"""",HYPERLINK(""https://wa.me/507""&amp;REGEXREPLACE(C1364,""[^0-9]"","""")&amp;""?text=""&amp;ENCODEURL(""Ya llegue. Codigo: ""&amp;A1364&amp;"". Ubicacion: ""&amp;""https://www.google.com/maps/search/?api=1&amp;query=""&amp;SUBSTITUTE(F1364,"" "","""")),""📲 Avisar al clien"&amp;"te""),"""")"),"")</f>
        <v/>
      </c>
      <c r="L1364" s="5" t="str">
        <f>IFERROR(__xludf.DUMMYFUNCTION("IF(C1364&lt;&gt;"""",""https://api.qrserver.com/v1/create-qr-code/?size=200x200&amp;data=""&amp;ENCODEURL(""https://wa.me/507""&amp;REGEXREPLACE(C1364,""[^0-9]"","""")&amp;""?text=""&amp;ENCODEURL(""Ya llegue. Codigo: ""&amp;A1364&amp;"". Ubicacion: ""&amp;""https://www.google.com/maps/search"&amp;"/?api=1&amp;query=""&amp;SUBSTITUTE(F1364,"" "",""""))),"""")"),"")</f>
        <v/>
      </c>
      <c r="M1364" s="5" t="str">
        <f t="shared" si="6"/>
        <v/>
      </c>
      <c r="N1364" s="5" t="str">
        <f>IFERROR(__xludf.DUMMYFUNCTION("IF(AND(F1364&lt;&gt;"""",REGEXMATCH(SUBSTITUTE(F1364,"" "",""""),""^-?\d+(\.\d+)?,-?\d+(\.\d+)?$""),VALUE(REGEXEXTRACT(SUBSTITUTE(F1364,"" "",""""),""^-?\d+(\.\d+)?""))&gt;=-90,VALUE(REGEXEXTRACT(SUBSTITUTE(F1364,"" "",""""),""^-?\d+(\.\d+)?""))&lt;=90,VALUE(REGEXEXT"&amp;"RACT(SUBSTITUTE(F1364,"" "",""""),""-?\d+(\.\d+)?$""))&gt;=-180,VALUE(REGEXEXTRACT(SUBSTITUTE(F1364,"" "",""""),""-?\d+(\.\d+)?$""))&lt;=180),""OK"",""REVISAR"")"),"#N/A")</f>
        <v>#N/A</v>
      </c>
    </row>
    <row r="1365" ht="15.75" customHeight="1">
      <c r="A1365" s="5" t="str">
        <f t="shared" si="1"/>
        <v>AD507-1363</v>
      </c>
      <c r="C1365" s="5"/>
      <c r="F1365" s="5"/>
      <c r="G1365" s="5" t="str">
        <f t="shared" si="2"/>
        <v/>
      </c>
      <c r="H1365" s="5" t="str">
        <f t="shared" si="3"/>
        <v/>
      </c>
      <c r="I1365" s="5" t="str">
        <f t="shared" si="4"/>
        <v/>
      </c>
      <c r="J1365" s="5" t="str">
        <f t="shared" si="5"/>
        <v/>
      </c>
      <c r="K1365" s="5" t="str">
        <f>IFERROR(__xludf.DUMMYFUNCTION("IF(C1365&lt;&gt;"""",HYPERLINK(""https://wa.me/507""&amp;REGEXREPLACE(C1365,""[^0-9]"","""")&amp;""?text=""&amp;ENCODEURL(""Ya llegue. Codigo: ""&amp;A1365&amp;"". Ubicacion: ""&amp;""https://www.google.com/maps/search/?api=1&amp;query=""&amp;SUBSTITUTE(F1365,"" "","""")),""📲 Avisar al clien"&amp;"te""),"""")"),"")</f>
        <v/>
      </c>
      <c r="L1365" s="5" t="str">
        <f>IFERROR(__xludf.DUMMYFUNCTION("IF(C1365&lt;&gt;"""",""https://api.qrserver.com/v1/create-qr-code/?size=200x200&amp;data=""&amp;ENCODEURL(""https://wa.me/507""&amp;REGEXREPLACE(C1365,""[^0-9]"","""")&amp;""?text=""&amp;ENCODEURL(""Ya llegue. Codigo: ""&amp;A1365&amp;"". Ubicacion: ""&amp;""https://www.google.com/maps/search"&amp;"/?api=1&amp;query=""&amp;SUBSTITUTE(F1365,"" "",""""))),"""")"),"")</f>
        <v/>
      </c>
      <c r="M1365" s="5" t="str">
        <f t="shared" si="6"/>
        <v/>
      </c>
      <c r="N1365" s="5" t="str">
        <f>IFERROR(__xludf.DUMMYFUNCTION("IF(AND(F1365&lt;&gt;"""",REGEXMATCH(SUBSTITUTE(F1365,"" "",""""),""^-?\d+(\.\d+)?,-?\d+(\.\d+)?$""),VALUE(REGEXEXTRACT(SUBSTITUTE(F1365,"" "",""""),""^-?\d+(\.\d+)?""))&gt;=-90,VALUE(REGEXEXTRACT(SUBSTITUTE(F1365,"" "",""""),""^-?\d+(\.\d+)?""))&lt;=90,VALUE(REGEXEXT"&amp;"RACT(SUBSTITUTE(F1365,"" "",""""),""-?\d+(\.\d+)?$""))&gt;=-180,VALUE(REGEXEXTRACT(SUBSTITUTE(F1365,"" "",""""),""-?\d+(\.\d+)?$""))&lt;=180),""OK"",""REVISAR"")"),"#N/A")</f>
        <v>#N/A</v>
      </c>
    </row>
    <row r="1366" ht="15.75" customHeight="1">
      <c r="A1366" s="5" t="str">
        <f t="shared" si="1"/>
        <v>AD507-1364</v>
      </c>
      <c r="C1366" s="5"/>
      <c r="F1366" s="5"/>
      <c r="G1366" s="5" t="str">
        <f t="shared" si="2"/>
        <v/>
      </c>
      <c r="H1366" s="5" t="str">
        <f t="shared" si="3"/>
        <v/>
      </c>
      <c r="I1366" s="5" t="str">
        <f t="shared" si="4"/>
        <v/>
      </c>
      <c r="J1366" s="5" t="str">
        <f t="shared" si="5"/>
        <v/>
      </c>
      <c r="K1366" s="5" t="str">
        <f>IFERROR(__xludf.DUMMYFUNCTION("IF(C1366&lt;&gt;"""",HYPERLINK(""https://wa.me/507""&amp;REGEXREPLACE(C1366,""[^0-9]"","""")&amp;""?text=""&amp;ENCODEURL(""Ya llegue. Codigo: ""&amp;A1366&amp;"". Ubicacion: ""&amp;""https://www.google.com/maps/search/?api=1&amp;query=""&amp;SUBSTITUTE(F1366,"" "","""")),""📲 Avisar al clien"&amp;"te""),"""")"),"")</f>
        <v/>
      </c>
      <c r="L1366" s="5" t="str">
        <f>IFERROR(__xludf.DUMMYFUNCTION("IF(C1366&lt;&gt;"""",""https://api.qrserver.com/v1/create-qr-code/?size=200x200&amp;data=""&amp;ENCODEURL(""https://wa.me/507""&amp;REGEXREPLACE(C1366,""[^0-9]"","""")&amp;""?text=""&amp;ENCODEURL(""Ya llegue. Codigo: ""&amp;A1366&amp;"". Ubicacion: ""&amp;""https://www.google.com/maps/search"&amp;"/?api=1&amp;query=""&amp;SUBSTITUTE(F1366,"" "",""""))),"""")"),"")</f>
        <v/>
      </c>
      <c r="M1366" s="5" t="str">
        <f t="shared" si="6"/>
        <v/>
      </c>
      <c r="N1366" s="5" t="str">
        <f>IFERROR(__xludf.DUMMYFUNCTION("IF(AND(F1366&lt;&gt;"""",REGEXMATCH(SUBSTITUTE(F1366,"" "",""""),""^-?\d+(\.\d+)?,-?\d+(\.\d+)?$""),VALUE(REGEXEXTRACT(SUBSTITUTE(F1366,"" "",""""),""^-?\d+(\.\d+)?""))&gt;=-90,VALUE(REGEXEXTRACT(SUBSTITUTE(F1366,"" "",""""),""^-?\d+(\.\d+)?""))&lt;=90,VALUE(REGEXEXT"&amp;"RACT(SUBSTITUTE(F1366,"" "",""""),""-?\d+(\.\d+)?$""))&gt;=-180,VALUE(REGEXEXTRACT(SUBSTITUTE(F1366,"" "",""""),""-?\d+(\.\d+)?$""))&lt;=180),""OK"",""REVISAR"")"),"#N/A")</f>
        <v>#N/A</v>
      </c>
    </row>
    <row r="1367" ht="15.75" customHeight="1">
      <c r="A1367" s="5" t="str">
        <f t="shared" si="1"/>
        <v>AD507-1365</v>
      </c>
      <c r="C1367" s="5"/>
      <c r="F1367" s="5"/>
      <c r="G1367" s="5" t="str">
        <f t="shared" si="2"/>
        <v/>
      </c>
      <c r="H1367" s="5" t="str">
        <f t="shared" si="3"/>
        <v/>
      </c>
      <c r="I1367" s="5" t="str">
        <f t="shared" si="4"/>
        <v/>
      </c>
      <c r="J1367" s="5" t="str">
        <f t="shared" si="5"/>
        <v/>
      </c>
      <c r="K1367" s="5" t="str">
        <f>IFERROR(__xludf.DUMMYFUNCTION("IF(C1367&lt;&gt;"""",HYPERLINK(""https://wa.me/507""&amp;REGEXREPLACE(C1367,""[^0-9]"","""")&amp;""?text=""&amp;ENCODEURL(""Ya llegue. Codigo: ""&amp;A1367&amp;"". Ubicacion: ""&amp;""https://www.google.com/maps/search/?api=1&amp;query=""&amp;SUBSTITUTE(F1367,"" "","""")),""📲 Avisar al clien"&amp;"te""),"""")"),"")</f>
        <v/>
      </c>
      <c r="L1367" s="5" t="str">
        <f>IFERROR(__xludf.DUMMYFUNCTION("IF(C1367&lt;&gt;"""",""https://api.qrserver.com/v1/create-qr-code/?size=200x200&amp;data=""&amp;ENCODEURL(""https://wa.me/507""&amp;REGEXREPLACE(C1367,""[^0-9]"","""")&amp;""?text=""&amp;ENCODEURL(""Ya llegue. Codigo: ""&amp;A1367&amp;"". Ubicacion: ""&amp;""https://www.google.com/maps/search"&amp;"/?api=1&amp;query=""&amp;SUBSTITUTE(F1367,"" "",""""))),"""")"),"")</f>
        <v/>
      </c>
      <c r="M1367" s="5" t="str">
        <f t="shared" si="6"/>
        <v/>
      </c>
      <c r="N1367" s="5" t="str">
        <f>IFERROR(__xludf.DUMMYFUNCTION("IF(AND(F1367&lt;&gt;"""",REGEXMATCH(SUBSTITUTE(F1367,"" "",""""),""^-?\d+(\.\d+)?,-?\d+(\.\d+)?$""),VALUE(REGEXEXTRACT(SUBSTITUTE(F1367,"" "",""""),""^-?\d+(\.\d+)?""))&gt;=-90,VALUE(REGEXEXTRACT(SUBSTITUTE(F1367,"" "",""""),""^-?\d+(\.\d+)?""))&lt;=90,VALUE(REGEXEXT"&amp;"RACT(SUBSTITUTE(F1367,"" "",""""),""-?\d+(\.\d+)?$""))&gt;=-180,VALUE(REGEXEXTRACT(SUBSTITUTE(F1367,"" "",""""),""-?\d+(\.\d+)?$""))&lt;=180),""OK"",""REVISAR"")"),"#N/A")</f>
        <v>#N/A</v>
      </c>
    </row>
    <row r="1368" ht="15.75" customHeight="1">
      <c r="A1368" s="5" t="str">
        <f t="shared" si="1"/>
        <v>AD507-1366</v>
      </c>
      <c r="C1368" s="5"/>
      <c r="F1368" s="5"/>
      <c r="G1368" s="5" t="str">
        <f t="shared" si="2"/>
        <v/>
      </c>
      <c r="H1368" s="5" t="str">
        <f t="shared" si="3"/>
        <v/>
      </c>
      <c r="I1368" s="5" t="str">
        <f t="shared" si="4"/>
        <v/>
      </c>
      <c r="J1368" s="5" t="str">
        <f t="shared" si="5"/>
        <v/>
      </c>
      <c r="K1368" s="5" t="str">
        <f>IFERROR(__xludf.DUMMYFUNCTION("IF(C1368&lt;&gt;"""",HYPERLINK(""https://wa.me/507""&amp;REGEXREPLACE(C1368,""[^0-9]"","""")&amp;""?text=""&amp;ENCODEURL(""Ya llegue. Codigo: ""&amp;A1368&amp;"". Ubicacion: ""&amp;""https://www.google.com/maps/search/?api=1&amp;query=""&amp;SUBSTITUTE(F1368,"" "","""")),""📲 Avisar al clien"&amp;"te""),"""")"),"")</f>
        <v/>
      </c>
      <c r="L1368" s="5" t="str">
        <f>IFERROR(__xludf.DUMMYFUNCTION("IF(C1368&lt;&gt;"""",""https://api.qrserver.com/v1/create-qr-code/?size=200x200&amp;data=""&amp;ENCODEURL(""https://wa.me/507""&amp;REGEXREPLACE(C1368,""[^0-9]"","""")&amp;""?text=""&amp;ENCODEURL(""Ya llegue. Codigo: ""&amp;A1368&amp;"". Ubicacion: ""&amp;""https://www.google.com/maps/search"&amp;"/?api=1&amp;query=""&amp;SUBSTITUTE(F1368,"" "",""""))),"""")"),"")</f>
        <v/>
      </c>
      <c r="M1368" s="5" t="str">
        <f t="shared" si="6"/>
        <v/>
      </c>
      <c r="N1368" s="5" t="str">
        <f>IFERROR(__xludf.DUMMYFUNCTION("IF(AND(F1368&lt;&gt;"""",REGEXMATCH(SUBSTITUTE(F1368,"" "",""""),""^-?\d+(\.\d+)?,-?\d+(\.\d+)?$""),VALUE(REGEXEXTRACT(SUBSTITUTE(F1368,"" "",""""),""^-?\d+(\.\d+)?""))&gt;=-90,VALUE(REGEXEXTRACT(SUBSTITUTE(F1368,"" "",""""),""^-?\d+(\.\d+)?""))&lt;=90,VALUE(REGEXEXT"&amp;"RACT(SUBSTITUTE(F1368,"" "",""""),""-?\d+(\.\d+)?$""))&gt;=-180,VALUE(REGEXEXTRACT(SUBSTITUTE(F1368,"" "",""""),""-?\d+(\.\d+)?$""))&lt;=180),""OK"",""REVISAR"")"),"#N/A")</f>
        <v>#N/A</v>
      </c>
    </row>
    <row r="1369" ht="15.75" customHeight="1">
      <c r="A1369" s="5" t="str">
        <f t="shared" si="1"/>
        <v>AD507-1367</v>
      </c>
      <c r="C1369" s="5"/>
      <c r="F1369" s="5"/>
      <c r="G1369" s="5" t="str">
        <f t="shared" si="2"/>
        <v/>
      </c>
      <c r="H1369" s="5" t="str">
        <f t="shared" si="3"/>
        <v/>
      </c>
      <c r="I1369" s="5" t="str">
        <f t="shared" si="4"/>
        <v/>
      </c>
      <c r="J1369" s="5" t="str">
        <f t="shared" si="5"/>
        <v/>
      </c>
      <c r="K1369" s="5" t="str">
        <f>IFERROR(__xludf.DUMMYFUNCTION("IF(C1369&lt;&gt;"""",HYPERLINK(""https://wa.me/507""&amp;REGEXREPLACE(C1369,""[^0-9]"","""")&amp;""?text=""&amp;ENCODEURL(""Ya llegue. Codigo: ""&amp;A1369&amp;"". Ubicacion: ""&amp;""https://www.google.com/maps/search/?api=1&amp;query=""&amp;SUBSTITUTE(F1369,"" "","""")),""📲 Avisar al clien"&amp;"te""),"""")"),"")</f>
        <v/>
      </c>
      <c r="L1369" s="5" t="str">
        <f>IFERROR(__xludf.DUMMYFUNCTION("IF(C1369&lt;&gt;"""",""https://api.qrserver.com/v1/create-qr-code/?size=200x200&amp;data=""&amp;ENCODEURL(""https://wa.me/507""&amp;REGEXREPLACE(C1369,""[^0-9]"","""")&amp;""?text=""&amp;ENCODEURL(""Ya llegue. Codigo: ""&amp;A1369&amp;"". Ubicacion: ""&amp;""https://www.google.com/maps/search"&amp;"/?api=1&amp;query=""&amp;SUBSTITUTE(F1369,"" "",""""))),"""")"),"")</f>
        <v/>
      </c>
      <c r="M1369" s="5" t="str">
        <f t="shared" si="6"/>
        <v/>
      </c>
      <c r="N1369" s="5" t="str">
        <f>IFERROR(__xludf.DUMMYFUNCTION("IF(AND(F1369&lt;&gt;"""",REGEXMATCH(SUBSTITUTE(F1369,"" "",""""),""^-?\d+(\.\d+)?,-?\d+(\.\d+)?$""),VALUE(REGEXEXTRACT(SUBSTITUTE(F1369,"" "",""""),""^-?\d+(\.\d+)?""))&gt;=-90,VALUE(REGEXEXTRACT(SUBSTITUTE(F1369,"" "",""""),""^-?\d+(\.\d+)?""))&lt;=90,VALUE(REGEXEXT"&amp;"RACT(SUBSTITUTE(F1369,"" "",""""),""-?\d+(\.\d+)?$""))&gt;=-180,VALUE(REGEXEXTRACT(SUBSTITUTE(F1369,"" "",""""),""-?\d+(\.\d+)?$""))&lt;=180),""OK"",""REVISAR"")"),"#N/A")</f>
        <v>#N/A</v>
      </c>
    </row>
    <row r="1370" ht="15.75" customHeight="1">
      <c r="A1370" s="5" t="str">
        <f t="shared" si="1"/>
        <v>AD507-1368</v>
      </c>
      <c r="C1370" s="5"/>
      <c r="F1370" s="5"/>
      <c r="G1370" s="5" t="str">
        <f t="shared" si="2"/>
        <v/>
      </c>
      <c r="H1370" s="5" t="str">
        <f t="shared" si="3"/>
        <v/>
      </c>
      <c r="I1370" s="5" t="str">
        <f t="shared" si="4"/>
        <v/>
      </c>
      <c r="J1370" s="5" t="str">
        <f t="shared" si="5"/>
        <v/>
      </c>
      <c r="K1370" s="5" t="str">
        <f>IFERROR(__xludf.DUMMYFUNCTION("IF(C1370&lt;&gt;"""",HYPERLINK(""https://wa.me/507""&amp;REGEXREPLACE(C1370,""[^0-9]"","""")&amp;""?text=""&amp;ENCODEURL(""Ya llegue. Codigo: ""&amp;A1370&amp;"". Ubicacion: ""&amp;""https://www.google.com/maps/search/?api=1&amp;query=""&amp;SUBSTITUTE(F1370,"" "","""")),""📲 Avisar al clien"&amp;"te""),"""")"),"")</f>
        <v/>
      </c>
      <c r="L1370" s="5" t="str">
        <f>IFERROR(__xludf.DUMMYFUNCTION("IF(C1370&lt;&gt;"""",""https://api.qrserver.com/v1/create-qr-code/?size=200x200&amp;data=""&amp;ENCODEURL(""https://wa.me/507""&amp;REGEXREPLACE(C1370,""[^0-9]"","""")&amp;""?text=""&amp;ENCODEURL(""Ya llegue. Codigo: ""&amp;A1370&amp;"". Ubicacion: ""&amp;""https://www.google.com/maps/search"&amp;"/?api=1&amp;query=""&amp;SUBSTITUTE(F1370,"" "",""""))),"""")"),"")</f>
        <v/>
      </c>
      <c r="M1370" s="5" t="str">
        <f t="shared" si="6"/>
        <v/>
      </c>
      <c r="N1370" s="5" t="str">
        <f>IFERROR(__xludf.DUMMYFUNCTION("IF(AND(F1370&lt;&gt;"""",REGEXMATCH(SUBSTITUTE(F1370,"" "",""""),""^-?\d+(\.\d+)?,-?\d+(\.\d+)?$""),VALUE(REGEXEXTRACT(SUBSTITUTE(F1370,"" "",""""),""^-?\d+(\.\d+)?""))&gt;=-90,VALUE(REGEXEXTRACT(SUBSTITUTE(F1370,"" "",""""),""^-?\d+(\.\d+)?""))&lt;=90,VALUE(REGEXEXT"&amp;"RACT(SUBSTITUTE(F1370,"" "",""""),""-?\d+(\.\d+)?$""))&gt;=-180,VALUE(REGEXEXTRACT(SUBSTITUTE(F1370,"" "",""""),""-?\d+(\.\d+)?$""))&lt;=180),""OK"",""REVISAR"")"),"#N/A")</f>
        <v>#N/A</v>
      </c>
    </row>
    <row r="1371" ht="15.75" customHeight="1">
      <c r="A1371" s="5" t="str">
        <f t="shared" si="1"/>
        <v>AD507-1369</v>
      </c>
      <c r="C1371" s="5"/>
      <c r="F1371" s="5"/>
      <c r="G1371" s="5" t="str">
        <f t="shared" si="2"/>
        <v/>
      </c>
      <c r="H1371" s="5" t="str">
        <f t="shared" si="3"/>
        <v/>
      </c>
      <c r="I1371" s="5" t="str">
        <f t="shared" si="4"/>
        <v/>
      </c>
      <c r="J1371" s="5" t="str">
        <f t="shared" si="5"/>
        <v/>
      </c>
      <c r="K1371" s="5" t="str">
        <f>IFERROR(__xludf.DUMMYFUNCTION("IF(C1371&lt;&gt;"""",HYPERLINK(""https://wa.me/507""&amp;REGEXREPLACE(C1371,""[^0-9]"","""")&amp;""?text=""&amp;ENCODEURL(""Ya llegue. Codigo: ""&amp;A1371&amp;"". Ubicacion: ""&amp;""https://www.google.com/maps/search/?api=1&amp;query=""&amp;SUBSTITUTE(F1371,"" "","""")),""📲 Avisar al clien"&amp;"te""),"""")"),"")</f>
        <v/>
      </c>
      <c r="L1371" s="5" t="str">
        <f>IFERROR(__xludf.DUMMYFUNCTION("IF(C1371&lt;&gt;"""",""https://api.qrserver.com/v1/create-qr-code/?size=200x200&amp;data=""&amp;ENCODEURL(""https://wa.me/507""&amp;REGEXREPLACE(C1371,""[^0-9]"","""")&amp;""?text=""&amp;ENCODEURL(""Ya llegue. Codigo: ""&amp;A1371&amp;"". Ubicacion: ""&amp;""https://www.google.com/maps/search"&amp;"/?api=1&amp;query=""&amp;SUBSTITUTE(F1371,"" "",""""))),"""")"),"")</f>
        <v/>
      </c>
      <c r="M1371" s="5" t="str">
        <f t="shared" si="6"/>
        <v/>
      </c>
      <c r="N1371" s="5" t="str">
        <f>IFERROR(__xludf.DUMMYFUNCTION("IF(AND(F1371&lt;&gt;"""",REGEXMATCH(SUBSTITUTE(F1371,"" "",""""),""^-?\d+(\.\d+)?,-?\d+(\.\d+)?$""),VALUE(REGEXEXTRACT(SUBSTITUTE(F1371,"" "",""""),""^-?\d+(\.\d+)?""))&gt;=-90,VALUE(REGEXEXTRACT(SUBSTITUTE(F1371,"" "",""""),""^-?\d+(\.\d+)?""))&lt;=90,VALUE(REGEXEXT"&amp;"RACT(SUBSTITUTE(F1371,"" "",""""),""-?\d+(\.\d+)?$""))&gt;=-180,VALUE(REGEXEXTRACT(SUBSTITUTE(F1371,"" "",""""),""-?\d+(\.\d+)?$""))&lt;=180),""OK"",""REVISAR"")"),"#N/A")</f>
        <v>#N/A</v>
      </c>
    </row>
    <row r="1372" ht="15.75" customHeight="1">
      <c r="A1372" s="5" t="str">
        <f t="shared" si="1"/>
        <v>AD507-1370</v>
      </c>
      <c r="C1372" s="5"/>
      <c r="F1372" s="5"/>
      <c r="G1372" s="5" t="str">
        <f t="shared" si="2"/>
        <v/>
      </c>
      <c r="H1372" s="5" t="str">
        <f t="shared" si="3"/>
        <v/>
      </c>
      <c r="I1372" s="5" t="str">
        <f t="shared" si="4"/>
        <v/>
      </c>
      <c r="J1372" s="5" t="str">
        <f t="shared" si="5"/>
        <v/>
      </c>
      <c r="K1372" s="5" t="str">
        <f>IFERROR(__xludf.DUMMYFUNCTION("IF(C1372&lt;&gt;"""",HYPERLINK(""https://wa.me/507""&amp;REGEXREPLACE(C1372,""[^0-9]"","""")&amp;""?text=""&amp;ENCODEURL(""Ya llegue. Codigo: ""&amp;A1372&amp;"". Ubicacion: ""&amp;""https://www.google.com/maps/search/?api=1&amp;query=""&amp;SUBSTITUTE(F1372,"" "","""")),""📲 Avisar al clien"&amp;"te""),"""")"),"")</f>
        <v/>
      </c>
      <c r="L1372" s="5" t="str">
        <f>IFERROR(__xludf.DUMMYFUNCTION("IF(C1372&lt;&gt;"""",""https://api.qrserver.com/v1/create-qr-code/?size=200x200&amp;data=""&amp;ENCODEURL(""https://wa.me/507""&amp;REGEXREPLACE(C1372,""[^0-9]"","""")&amp;""?text=""&amp;ENCODEURL(""Ya llegue. Codigo: ""&amp;A1372&amp;"". Ubicacion: ""&amp;""https://www.google.com/maps/search"&amp;"/?api=1&amp;query=""&amp;SUBSTITUTE(F1372,"" "",""""))),"""")"),"")</f>
        <v/>
      </c>
      <c r="M1372" s="5" t="str">
        <f t="shared" si="6"/>
        <v/>
      </c>
      <c r="N1372" s="5" t="str">
        <f>IFERROR(__xludf.DUMMYFUNCTION("IF(AND(F1372&lt;&gt;"""",REGEXMATCH(SUBSTITUTE(F1372,"" "",""""),""^-?\d+(\.\d+)?,-?\d+(\.\d+)?$""),VALUE(REGEXEXTRACT(SUBSTITUTE(F1372,"" "",""""),""^-?\d+(\.\d+)?""))&gt;=-90,VALUE(REGEXEXTRACT(SUBSTITUTE(F1372,"" "",""""),""^-?\d+(\.\d+)?""))&lt;=90,VALUE(REGEXEXT"&amp;"RACT(SUBSTITUTE(F1372,"" "",""""),""-?\d+(\.\d+)?$""))&gt;=-180,VALUE(REGEXEXTRACT(SUBSTITUTE(F1372,"" "",""""),""-?\d+(\.\d+)?$""))&lt;=180),""OK"",""REVISAR"")"),"#N/A")</f>
        <v>#N/A</v>
      </c>
    </row>
    <row r="1373" ht="15.75" customHeight="1">
      <c r="A1373" s="5" t="str">
        <f t="shared" si="1"/>
        <v>AD507-1371</v>
      </c>
      <c r="C1373" s="5"/>
      <c r="F1373" s="5"/>
      <c r="G1373" s="5" t="str">
        <f t="shared" si="2"/>
        <v/>
      </c>
      <c r="H1373" s="5" t="str">
        <f t="shared" si="3"/>
        <v/>
      </c>
      <c r="I1373" s="5" t="str">
        <f t="shared" si="4"/>
        <v/>
      </c>
      <c r="J1373" s="5" t="str">
        <f t="shared" si="5"/>
        <v/>
      </c>
      <c r="K1373" s="5" t="str">
        <f>IFERROR(__xludf.DUMMYFUNCTION("IF(C1373&lt;&gt;"""",HYPERLINK(""https://wa.me/507""&amp;REGEXREPLACE(C1373,""[^0-9]"","""")&amp;""?text=""&amp;ENCODEURL(""Ya llegue. Codigo: ""&amp;A1373&amp;"". Ubicacion: ""&amp;""https://www.google.com/maps/search/?api=1&amp;query=""&amp;SUBSTITUTE(F1373,"" "","""")),""📲 Avisar al clien"&amp;"te""),"""")"),"")</f>
        <v/>
      </c>
      <c r="L1373" s="5" t="str">
        <f>IFERROR(__xludf.DUMMYFUNCTION("IF(C1373&lt;&gt;"""",""https://api.qrserver.com/v1/create-qr-code/?size=200x200&amp;data=""&amp;ENCODEURL(""https://wa.me/507""&amp;REGEXREPLACE(C1373,""[^0-9]"","""")&amp;""?text=""&amp;ENCODEURL(""Ya llegue. Codigo: ""&amp;A1373&amp;"". Ubicacion: ""&amp;""https://www.google.com/maps/search"&amp;"/?api=1&amp;query=""&amp;SUBSTITUTE(F1373,"" "",""""))),"""")"),"")</f>
        <v/>
      </c>
      <c r="M1373" s="5" t="str">
        <f t="shared" si="6"/>
        <v/>
      </c>
      <c r="N1373" s="5" t="str">
        <f>IFERROR(__xludf.DUMMYFUNCTION("IF(AND(F1373&lt;&gt;"""",REGEXMATCH(SUBSTITUTE(F1373,"" "",""""),""^-?\d+(\.\d+)?,-?\d+(\.\d+)?$""),VALUE(REGEXEXTRACT(SUBSTITUTE(F1373,"" "",""""),""^-?\d+(\.\d+)?""))&gt;=-90,VALUE(REGEXEXTRACT(SUBSTITUTE(F1373,"" "",""""),""^-?\d+(\.\d+)?""))&lt;=90,VALUE(REGEXEXT"&amp;"RACT(SUBSTITUTE(F1373,"" "",""""),""-?\d+(\.\d+)?$""))&gt;=-180,VALUE(REGEXEXTRACT(SUBSTITUTE(F1373,"" "",""""),""-?\d+(\.\d+)?$""))&lt;=180),""OK"",""REVISAR"")"),"#N/A")</f>
        <v>#N/A</v>
      </c>
    </row>
    <row r="1374" ht="15.75" customHeight="1">
      <c r="A1374" s="5" t="str">
        <f t="shared" si="1"/>
        <v>AD507-1372</v>
      </c>
      <c r="C1374" s="5"/>
      <c r="F1374" s="5"/>
      <c r="G1374" s="5" t="str">
        <f t="shared" si="2"/>
        <v/>
      </c>
      <c r="H1374" s="5" t="str">
        <f t="shared" si="3"/>
        <v/>
      </c>
      <c r="I1374" s="5" t="str">
        <f t="shared" si="4"/>
        <v/>
      </c>
      <c r="J1374" s="5" t="str">
        <f t="shared" si="5"/>
        <v/>
      </c>
      <c r="K1374" s="5" t="str">
        <f>IFERROR(__xludf.DUMMYFUNCTION("IF(C1374&lt;&gt;"""",HYPERLINK(""https://wa.me/507""&amp;REGEXREPLACE(C1374,""[^0-9]"","""")&amp;""?text=""&amp;ENCODEURL(""Ya llegue. Codigo: ""&amp;A1374&amp;"". Ubicacion: ""&amp;""https://www.google.com/maps/search/?api=1&amp;query=""&amp;SUBSTITUTE(F1374,"" "","""")),""📲 Avisar al clien"&amp;"te""),"""")"),"")</f>
        <v/>
      </c>
      <c r="L1374" s="5" t="str">
        <f>IFERROR(__xludf.DUMMYFUNCTION("IF(C1374&lt;&gt;"""",""https://api.qrserver.com/v1/create-qr-code/?size=200x200&amp;data=""&amp;ENCODEURL(""https://wa.me/507""&amp;REGEXREPLACE(C1374,""[^0-9]"","""")&amp;""?text=""&amp;ENCODEURL(""Ya llegue. Codigo: ""&amp;A1374&amp;"". Ubicacion: ""&amp;""https://www.google.com/maps/search"&amp;"/?api=1&amp;query=""&amp;SUBSTITUTE(F1374,"" "",""""))),"""")"),"")</f>
        <v/>
      </c>
      <c r="M1374" s="5" t="str">
        <f t="shared" si="6"/>
        <v/>
      </c>
      <c r="N1374" s="5" t="str">
        <f>IFERROR(__xludf.DUMMYFUNCTION("IF(AND(F1374&lt;&gt;"""",REGEXMATCH(SUBSTITUTE(F1374,"" "",""""),""^-?\d+(\.\d+)?,-?\d+(\.\d+)?$""),VALUE(REGEXEXTRACT(SUBSTITUTE(F1374,"" "",""""),""^-?\d+(\.\d+)?""))&gt;=-90,VALUE(REGEXEXTRACT(SUBSTITUTE(F1374,"" "",""""),""^-?\d+(\.\d+)?""))&lt;=90,VALUE(REGEXEXT"&amp;"RACT(SUBSTITUTE(F1374,"" "",""""),""-?\d+(\.\d+)?$""))&gt;=-180,VALUE(REGEXEXTRACT(SUBSTITUTE(F1374,"" "",""""),""-?\d+(\.\d+)?$""))&lt;=180),""OK"",""REVISAR"")"),"#N/A")</f>
        <v>#N/A</v>
      </c>
    </row>
    <row r="1375" ht="15.75" customHeight="1">
      <c r="A1375" s="5" t="str">
        <f t="shared" si="1"/>
        <v>AD507-1373</v>
      </c>
      <c r="C1375" s="5"/>
      <c r="F1375" s="5"/>
      <c r="G1375" s="5" t="str">
        <f t="shared" si="2"/>
        <v/>
      </c>
      <c r="H1375" s="5" t="str">
        <f t="shared" si="3"/>
        <v/>
      </c>
      <c r="I1375" s="5" t="str">
        <f t="shared" si="4"/>
        <v/>
      </c>
      <c r="J1375" s="5" t="str">
        <f t="shared" si="5"/>
        <v/>
      </c>
      <c r="K1375" s="5" t="str">
        <f>IFERROR(__xludf.DUMMYFUNCTION("IF(C1375&lt;&gt;"""",HYPERLINK(""https://wa.me/507""&amp;REGEXREPLACE(C1375,""[^0-9]"","""")&amp;""?text=""&amp;ENCODEURL(""Ya llegue. Codigo: ""&amp;A1375&amp;"". Ubicacion: ""&amp;""https://www.google.com/maps/search/?api=1&amp;query=""&amp;SUBSTITUTE(F1375,"" "","""")),""📲 Avisar al clien"&amp;"te""),"""")"),"")</f>
        <v/>
      </c>
      <c r="L1375" s="5" t="str">
        <f>IFERROR(__xludf.DUMMYFUNCTION("IF(C1375&lt;&gt;"""",""https://api.qrserver.com/v1/create-qr-code/?size=200x200&amp;data=""&amp;ENCODEURL(""https://wa.me/507""&amp;REGEXREPLACE(C1375,""[^0-9]"","""")&amp;""?text=""&amp;ENCODEURL(""Ya llegue. Codigo: ""&amp;A1375&amp;"". Ubicacion: ""&amp;""https://www.google.com/maps/search"&amp;"/?api=1&amp;query=""&amp;SUBSTITUTE(F1375,"" "",""""))),"""")"),"")</f>
        <v/>
      </c>
      <c r="M1375" s="5" t="str">
        <f t="shared" si="6"/>
        <v/>
      </c>
      <c r="N1375" s="5" t="str">
        <f>IFERROR(__xludf.DUMMYFUNCTION("IF(AND(F1375&lt;&gt;"""",REGEXMATCH(SUBSTITUTE(F1375,"" "",""""),""^-?\d+(\.\d+)?,-?\d+(\.\d+)?$""),VALUE(REGEXEXTRACT(SUBSTITUTE(F1375,"" "",""""),""^-?\d+(\.\d+)?""))&gt;=-90,VALUE(REGEXEXTRACT(SUBSTITUTE(F1375,"" "",""""),""^-?\d+(\.\d+)?""))&lt;=90,VALUE(REGEXEXT"&amp;"RACT(SUBSTITUTE(F1375,"" "",""""),""-?\d+(\.\d+)?$""))&gt;=-180,VALUE(REGEXEXTRACT(SUBSTITUTE(F1375,"" "",""""),""-?\d+(\.\d+)?$""))&lt;=180),""OK"",""REVISAR"")"),"#N/A")</f>
        <v>#N/A</v>
      </c>
    </row>
    <row r="1376" ht="15.75" customHeight="1">
      <c r="A1376" s="5" t="str">
        <f t="shared" si="1"/>
        <v>AD507-1374</v>
      </c>
      <c r="C1376" s="5"/>
      <c r="F1376" s="5"/>
      <c r="G1376" s="5" t="str">
        <f t="shared" si="2"/>
        <v/>
      </c>
      <c r="H1376" s="5" t="str">
        <f t="shared" si="3"/>
        <v/>
      </c>
      <c r="I1376" s="5" t="str">
        <f t="shared" si="4"/>
        <v/>
      </c>
      <c r="J1376" s="5" t="str">
        <f t="shared" si="5"/>
        <v/>
      </c>
      <c r="K1376" s="5" t="str">
        <f>IFERROR(__xludf.DUMMYFUNCTION("IF(C1376&lt;&gt;"""",HYPERLINK(""https://wa.me/507""&amp;REGEXREPLACE(C1376,""[^0-9]"","""")&amp;""?text=""&amp;ENCODEURL(""Ya llegue. Codigo: ""&amp;A1376&amp;"". Ubicacion: ""&amp;""https://www.google.com/maps/search/?api=1&amp;query=""&amp;SUBSTITUTE(F1376,"" "","""")),""📲 Avisar al clien"&amp;"te""),"""")"),"")</f>
        <v/>
      </c>
      <c r="L1376" s="5" t="str">
        <f>IFERROR(__xludf.DUMMYFUNCTION("IF(C1376&lt;&gt;"""",""https://api.qrserver.com/v1/create-qr-code/?size=200x200&amp;data=""&amp;ENCODEURL(""https://wa.me/507""&amp;REGEXREPLACE(C1376,""[^0-9]"","""")&amp;""?text=""&amp;ENCODEURL(""Ya llegue. Codigo: ""&amp;A1376&amp;"". Ubicacion: ""&amp;""https://www.google.com/maps/search"&amp;"/?api=1&amp;query=""&amp;SUBSTITUTE(F1376,"" "",""""))),"""")"),"")</f>
        <v/>
      </c>
      <c r="M1376" s="5" t="str">
        <f t="shared" si="6"/>
        <v/>
      </c>
      <c r="N1376" s="5" t="str">
        <f>IFERROR(__xludf.DUMMYFUNCTION("IF(AND(F1376&lt;&gt;"""",REGEXMATCH(SUBSTITUTE(F1376,"" "",""""),""^-?\d+(\.\d+)?,-?\d+(\.\d+)?$""),VALUE(REGEXEXTRACT(SUBSTITUTE(F1376,"" "",""""),""^-?\d+(\.\d+)?""))&gt;=-90,VALUE(REGEXEXTRACT(SUBSTITUTE(F1376,"" "",""""),""^-?\d+(\.\d+)?""))&lt;=90,VALUE(REGEXEXT"&amp;"RACT(SUBSTITUTE(F1376,"" "",""""),""-?\d+(\.\d+)?$""))&gt;=-180,VALUE(REGEXEXTRACT(SUBSTITUTE(F1376,"" "",""""),""-?\d+(\.\d+)?$""))&lt;=180),""OK"",""REVISAR"")"),"#N/A")</f>
        <v>#N/A</v>
      </c>
    </row>
    <row r="1377" ht="15.75" customHeight="1">
      <c r="A1377" s="5" t="str">
        <f t="shared" si="1"/>
        <v>AD507-1375</v>
      </c>
      <c r="C1377" s="5"/>
      <c r="F1377" s="5"/>
      <c r="G1377" s="5" t="str">
        <f t="shared" si="2"/>
        <v/>
      </c>
      <c r="H1377" s="5" t="str">
        <f t="shared" si="3"/>
        <v/>
      </c>
      <c r="I1377" s="5" t="str">
        <f t="shared" si="4"/>
        <v/>
      </c>
      <c r="J1377" s="5" t="str">
        <f t="shared" si="5"/>
        <v/>
      </c>
      <c r="K1377" s="5" t="str">
        <f>IFERROR(__xludf.DUMMYFUNCTION("IF(C1377&lt;&gt;"""",HYPERLINK(""https://wa.me/507""&amp;REGEXREPLACE(C1377,""[^0-9]"","""")&amp;""?text=""&amp;ENCODEURL(""Ya llegue. Codigo: ""&amp;A1377&amp;"". Ubicacion: ""&amp;""https://www.google.com/maps/search/?api=1&amp;query=""&amp;SUBSTITUTE(F1377,"" "","""")),""📲 Avisar al clien"&amp;"te""),"""")"),"")</f>
        <v/>
      </c>
      <c r="L1377" s="5" t="str">
        <f>IFERROR(__xludf.DUMMYFUNCTION("IF(C1377&lt;&gt;"""",""https://api.qrserver.com/v1/create-qr-code/?size=200x200&amp;data=""&amp;ENCODEURL(""https://wa.me/507""&amp;REGEXREPLACE(C1377,""[^0-9]"","""")&amp;""?text=""&amp;ENCODEURL(""Ya llegue. Codigo: ""&amp;A1377&amp;"". Ubicacion: ""&amp;""https://www.google.com/maps/search"&amp;"/?api=1&amp;query=""&amp;SUBSTITUTE(F1377,"" "",""""))),"""")"),"")</f>
        <v/>
      </c>
      <c r="M1377" s="5" t="str">
        <f t="shared" si="6"/>
        <v/>
      </c>
      <c r="N1377" s="5" t="str">
        <f>IFERROR(__xludf.DUMMYFUNCTION("IF(AND(F1377&lt;&gt;"""",REGEXMATCH(SUBSTITUTE(F1377,"" "",""""),""^-?\d+(\.\d+)?,-?\d+(\.\d+)?$""),VALUE(REGEXEXTRACT(SUBSTITUTE(F1377,"" "",""""),""^-?\d+(\.\d+)?""))&gt;=-90,VALUE(REGEXEXTRACT(SUBSTITUTE(F1377,"" "",""""),""^-?\d+(\.\d+)?""))&lt;=90,VALUE(REGEXEXT"&amp;"RACT(SUBSTITUTE(F1377,"" "",""""),""-?\d+(\.\d+)?$""))&gt;=-180,VALUE(REGEXEXTRACT(SUBSTITUTE(F1377,"" "",""""),""-?\d+(\.\d+)?$""))&lt;=180),""OK"",""REVISAR"")"),"#N/A")</f>
        <v>#N/A</v>
      </c>
    </row>
    <row r="1378" ht="15.75" customHeight="1">
      <c r="A1378" s="5" t="str">
        <f t="shared" si="1"/>
        <v>AD507-1376</v>
      </c>
      <c r="C1378" s="5"/>
      <c r="F1378" s="5"/>
      <c r="G1378" s="5" t="str">
        <f t="shared" si="2"/>
        <v/>
      </c>
      <c r="H1378" s="5" t="str">
        <f t="shared" si="3"/>
        <v/>
      </c>
      <c r="I1378" s="5" t="str">
        <f t="shared" si="4"/>
        <v/>
      </c>
      <c r="J1378" s="5" t="str">
        <f t="shared" si="5"/>
        <v/>
      </c>
      <c r="K1378" s="5" t="str">
        <f>IFERROR(__xludf.DUMMYFUNCTION("IF(C1378&lt;&gt;"""",HYPERLINK(""https://wa.me/507""&amp;REGEXREPLACE(C1378,""[^0-9]"","""")&amp;""?text=""&amp;ENCODEURL(""Ya llegue. Codigo: ""&amp;A1378&amp;"". Ubicacion: ""&amp;""https://www.google.com/maps/search/?api=1&amp;query=""&amp;SUBSTITUTE(F1378,"" "","""")),""📲 Avisar al clien"&amp;"te""),"""")"),"")</f>
        <v/>
      </c>
      <c r="L1378" s="5" t="str">
        <f>IFERROR(__xludf.DUMMYFUNCTION("IF(C1378&lt;&gt;"""",""https://api.qrserver.com/v1/create-qr-code/?size=200x200&amp;data=""&amp;ENCODEURL(""https://wa.me/507""&amp;REGEXREPLACE(C1378,""[^0-9]"","""")&amp;""?text=""&amp;ENCODEURL(""Ya llegue. Codigo: ""&amp;A1378&amp;"". Ubicacion: ""&amp;""https://www.google.com/maps/search"&amp;"/?api=1&amp;query=""&amp;SUBSTITUTE(F1378,"" "",""""))),"""")"),"")</f>
        <v/>
      </c>
      <c r="M1378" s="5" t="str">
        <f t="shared" si="6"/>
        <v/>
      </c>
      <c r="N1378" s="5" t="str">
        <f>IFERROR(__xludf.DUMMYFUNCTION("IF(AND(F1378&lt;&gt;"""",REGEXMATCH(SUBSTITUTE(F1378,"" "",""""),""^-?\d+(\.\d+)?,-?\d+(\.\d+)?$""),VALUE(REGEXEXTRACT(SUBSTITUTE(F1378,"" "",""""),""^-?\d+(\.\d+)?""))&gt;=-90,VALUE(REGEXEXTRACT(SUBSTITUTE(F1378,"" "",""""),""^-?\d+(\.\d+)?""))&lt;=90,VALUE(REGEXEXT"&amp;"RACT(SUBSTITUTE(F1378,"" "",""""),""-?\d+(\.\d+)?$""))&gt;=-180,VALUE(REGEXEXTRACT(SUBSTITUTE(F1378,"" "",""""),""-?\d+(\.\d+)?$""))&lt;=180),""OK"",""REVISAR"")"),"#N/A")</f>
        <v>#N/A</v>
      </c>
    </row>
    <row r="1379" ht="15.75" customHeight="1">
      <c r="A1379" s="5" t="str">
        <f t="shared" si="1"/>
        <v>AD507-1377</v>
      </c>
      <c r="C1379" s="5"/>
      <c r="F1379" s="5"/>
      <c r="G1379" s="5" t="str">
        <f t="shared" si="2"/>
        <v/>
      </c>
      <c r="H1379" s="5" t="str">
        <f t="shared" si="3"/>
        <v/>
      </c>
      <c r="I1379" s="5" t="str">
        <f t="shared" si="4"/>
        <v/>
      </c>
      <c r="J1379" s="5" t="str">
        <f t="shared" si="5"/>
        <v/>
      </c>
      <c r="K1379" s="5" t="str">
        <f>IFERROR(__xludf.DUMMYFUNCTION("IF(C1379&lt;&gt;"""",HYPERLINK(""https://wa.me/507""&amp;REGEXREPLACE(C1379,""[^0-9]"","""")&amp;""?text=""&amp;ENCODEURL(""Ya llegue. Codigo: ""&amp;A1379&amp;"". Ubicacion: ""&amp;""https://www.google.com/maps/search/?api=1&amp;query=""&amp;SUBSTITUTE(F1379,"" "","""")),""📲 Avisar al clien"&amp;"te""),"""")"),"")</f>
        <v/>
      </c>
      <c r="L1379" s="5" t="str">
        <f>IFERROR(__xludf.DUMMYFUNCTION("IF(C1379&lt;&gt;"""",""https://api.qrserver.com/v1/create-qr-code/?size=200x200&amp;data=""&amp;ENCODEURL(""https://wa.me/507""&amp;REGEXREPLACE(C1379,""[^0-9]"","""")&amp;""?text=""&amp;ENCODEURL(""Ya llegue. Codigo: ""&amp;A1379&amp;"". Ubicacion: ""&amp;""https://www.google.com/maps/search"&amp;"/?api=1&amp;query=""&amp;SUBSTITUTE(F1379,"" "",""""))),"""")"),"")</f>
        <v/>
      </c>
      <c r="M1379" s="5" t="str">
        <f t="shared" si="6"/>
        <v/>
      </c>
      <c r="N1379" s="5" t="str">
        <f>IFERROR(__xludf.DUMMYFUNCTION("IF(AND(F1379&lt;&gt;"""",REGEXMATCH(SUBSTITUTE(F1379,"" "",""""),""^-?\d+(\.\d+)?,-?\d+(\.\d+)?$""),VALUE(REGEXEXTRACT(SUBSTITUTE(F1379,"" "",""""),""^-?\d+(\.\d+)?""))&gt;=-90,VALUE(REGEXEXTRACT(SUBSTITUTE(F1379,"" "",""""),""^-?\d+(\.\d+)?""))&lt;=90,VALUE(REGEXEXT"&amp;"RACT(SUBSTITUTE(F1379,"" "",""""),""-?\d+(\.\d+)?$""))&gt;=-180,VALUE(REGEXEXTRACT(SUBSTITUTE(F1379,"" "",""""),""-?\d+(\.\d+)?$""))&lt;=180),""OK"",""REVISAR"")"),"#N/A")</f>
        <v>#N/A</v>
      </c>
    </row>
    <row r="1380" ht="15.75" customHeight="1">
      <c r="A1380" s="5" t="str">
        <f t="shared" si="1"/>
        <v>AD507-1378</v>
      </c>
      <c r="C1380" s="5"/>
      <c r="F1380" s="5"/>
      <c r="G1380" s="5" t="str">
        <f t="shared" si="2"/>
        <v/>
      </c>
      <c r="H1380" s="5" t="str">
        <f t="shared" si="3"/>
        <v/>
      </c>
      <c r="I1380" s="5" t="str">
        <f t="shared" si="4"/>
        <v/>
      </c>
      <c r="J1380" s="5" t="str">
        <f t="shared" si="5"/>
        <v/>
      </c>
      <c r="K1380" s="5" t="str">
        <f>IFERROR(__xludf.DUMMYFUNCTION("IF(C1380&lt;&gt;"""",HYPERLINK(""https://wa.me/507""&amp;REGEXREPLACE(C1380,""[^0-9]"","""")&amp;""?text=""&amp;ENCODEURL(""Ya llegue. Codigo: ""&amp;A1380&amp;"". Ubicacion: ""&amp;""https://www.google.com/maps/search/?api=1&amp;query=""&amp;SUBSTITUTE(F1380,"" "","""")),""📲 Avisar al clien"&amp;"te""),"""")"),"")</f>
        <v/>
      </c>
      <c r="L1380" s="5" t="str">
        <f>IFERROR(__xludf.DUMMYFUNCTION("IF(C1380&lt;&gt;"""",""https://api.qrserver.com/v1/create-qr-code/?size=200x200&amp;data=""&amp;ENCODEURL(""https://wa.me/507""&amp;REGEXREPLACE(C1380,""[^0-9]"","""")&amp;""?text=""&amp;ENCODEURL(""Ya llegue. Codigo: ""&amp;A1380&amp;"". Ubicacion: ""&amp;""https://www.google.com/maps/search"&amp;"/?api=1&amp;query=""&amp;SUBSTITUTE(F1380,"" "",""""))),"""")"),"")</f>
        <v/>
      </c>
      <c r="M1380" s="5" t="str">
        <f t="shared" si="6"/>
        <v/>
      </c>
      <c r="N1380" s="5" t="str">
        <f>IFERROR(__xludf.DUMMYFUNCTION("IF(AND(F1380&lt;&gt;"""",REGEXMATCH(SUBSTITUTE(F1380,"" "",""""),""^-?\d+(\.\d+)?,-?\d+(\.\d+)?$""),VALUE(REGEXEXTRACT(SUBSTITUTE(F1380,"" "",""""),""^-?\d+(\.\d+)?""))&gt;=-90,VALUE(REGEXEXTRACT(SUBSTITUTE(F1380,"" "",""""),""^-?\d+(\.\d+)?""))&lt;=90,VALUE(REGEXEXT"&amp;"RACT(SUBSTITUTE(F1380,"" "",""""),""-?\d+(\.\d+)?$""))&gt;=-180,VALUE(REGEXEXTRACT(SUBSTITUTE(F1380,"" "",""""),""-?\d+(\.\d+)?$""))&lt;=180),""OK"",""REVISAR"")"),"#N/A")</f>
        <v>#N/A</v>
      </c>
    </row>
    <row r="1381" ht="15.75" customHeight="1">
      <c r="A1381" s="5" t="str">
        <f t="shared" si="1"/>
        <v>AD507-1379</v>
      </c>
      <c r="C1381" s="5"/>
      <c r="F1381" s="5"/>
      <c r="G1381" s="5" t="str">
        <f t="shared" si="2"/>
        <v/>
      </c>
      <c r="H1381" s="5" t="str">
        <f t="shared" si="3"/>
        <v/>
      </c>
      <c r="I1381" s="5" t="str">
        <f t="shared" si="4"/>
        <v/>
      </c>
      <c r="J1381" s="5" t="str">
        <f t="shared" si="5"/>
        <v/>
      </c>
      <c r="K1381" s="5" t="str">
        <f>IFERROR(__xludf.DUMMYFUNCTION("IF(C1381&lt;&gt;"""",HYPERLINK(""https://wa.me/507""&amp;REGEXREPLACE(C1381,""[^0-9]"","""")&amp;""?text=""&amp;ENCODEURL(""Ya llegue. Codigo: ""&amp;A1381&amp;"". Ubicacion: ""&amp;""https://www.google.com/maps/search/?api=1&amp;query=""&amp;SUBSTITUTE(F1381,"" "","""")),""📲 Avisar al clien"&amp;"te""),"""")"),"")</f>
        <v/>
      </c>
      <c r="L1381" s="5" t="str">
        <f>IFERROR(__xludf.DUMMYFUNCTION("IF(C1381&lt;&gt;"""",""https://api.qrserver.com/v1/create-qr-code/?size=200x200&amp;data=""&amp;ENCODEURL(""https://wa.me/507""&amp;REGEXREPLACE(C1381,""[^0-9]"","""")&amp;""?text=""&amp;ENCODEURL(""Ya llegue. Codigo: ""&amp;A1381&amp;"". Ubicacion: ""&amp;""https://www.google.com/maps/search"&amp;"/?api=1&amp;query=""&amp;SUBSTITUTE(F1381,"" "",""""))),"""")"),"")</f>
        <v/>
      </c>
      <c r="M1381" s="5" t="str">
        <f t="shared" si="6"/>
        <v/>
      </c>
      <c r="N1381" s="5" t="str">
        <f>IFERROR(__xludf.DUMMYFUNCTION("IF(AND(F1381&lt;&gt;"""",REGEXMATCH(SUBSTITUTE(F1381,"" "",""""),""^-?\d+(\.\d+)?,-?\d+(\.\d+)?$""),VALUE(REGEXEXTRACT(SUBSTITUTE(F1381,"" "",""""),""^-?\d+(\.\d+)?""))&gt;=-90,VALUE(REGEXEXTRACT(SUBSTITUTE(F1381,"" "",""""),""^-?\d+(\.\d+)?""))&lt;=90,VALUE(REGEXEXT"&amp;"RACT(SUBSTITUTE(F1381,"" "",""""),""-?\d+(\.\d+)?$""))&gt;=-180,VALUE(REGEXEXTRACT(SUBSTITUTE(F1381,"" "",""""),""-?\d+(\.\d+)?$""))&lt;=180),""OK"",""REVISAR"")"),"#N/A")</f>
        <v>#N/A</v>
      </c>
    </row>
    <row r="1382" ht="15.75" customHeight="1">
      <c r="A1382" s="5" t="str">
        <f t="shared" si="1"/>
        <v>AD507-1380</v>
      </c>
      <c r="C1382" s="5"/>
      <c r="F1382" s="5"/>
      <c r="G1382" s="5" t="str">
        <f t="shared" si="2"/>
        <v/>
      </c>
      <c r="H1382" s="5" t="str">
        <f t="shared" si="3"/>
        <v/>
      </c>
      <c r="I1382" s="5" t="str">
        <f t="shared" si="4"/>
        <v/>
      </c>
      <c r="J1382" s="5" t="str">
        <f t="shared" si="5"/>
        <v/>
      </c>
      <c r="K1382" s="5" t="str">
        <f>IFERROR(__xludf.DUMMYFUNCTION("IF(C1382&lt;&gt;"""",HYPERLINK(""https://wa.me/507""&amp;REGEXREPLACE(C1382,""[^0-9]"","""")&amp;""?text=""&amp;ENCODEURL(""Ya llegue. Codigo: ""&amp;A1382&amp;"". Ubicacion: ""&amp;""https://www.google.com/maps/search/?api=1&amp;query=""&amp;SUBSTITUTE(F1382,"" "","""")),""📲 Avisar al clien"&amp;"te""),"""")"),"")</f>
        <v/>
      </c>
      <c r="L1382" s="5" t="str">
        <f>IFERROR(__xludf.DUMMYFUNCTION("IF(C1382&lt;&gt;"""",""https://api.qrserver.com/v1/create-qr-code/?size=200x200&amp;data=""&amp;ENCODEURL(""https://wa.me/507""&amp;REGEXREPLACE(C1382,""[^0-9]"","""")&amp;""?text=""&amp;ENCODEURL(""Ya llegue. Codigo: ""&amp;A1382&amp;"". Ubicacion: ""&amp;""https://www.google.com/maps/search"&amp;"/?api=1&amp;query=""&amp;SUBSTITUTE(F1382,"" "",""""))),"""")"),"")</f>
        <v/>
      </c>
      <c r="M1382" s="5" t="str">
        <f t="shared" si="6"/>
        <v/>
      </c>
      <c r="N1382" s="5" t="str">
        <f>IFERROR(__xludf.DUMMYFUNCTION("IF(AND(F1382&lt;&gt;"""",REGEXMATCH(SUBSTITUTE(F1382,"" "",""""),""^-?\d+(\.\d+)?,-?\d+(\.\d+)?$""),VALUE(REGEXEXTRACT(SUBSTITUTE(F1382,"" "",""""),""^-?\d+(\.\d+)?""))&gt;=-90,VALUE(REGEXEXTRACT(SUBSTITUTE(F1382,"" "",""""),""^-?\d+(\.\d+)?""))&lt;=90,VALUE(REGEXEXT"&amp;"RACT(SUBSTITUTE(F1382,"" "",""""),""-?\d+(\.\d+)?$""))&gt;=-180,VALUE(REGEXEXTRACT(SUBSTITUTE(F1382,"" "",""""),""-?\d+(\.\d+)?$""))&lt;=180),""OK"",""REVISAR"")"),"#N/A")</f>
        <v>#N/A</v>
      </c>
    </row>
    <row r="1383" ht="15.75" customHeight="1">
      <c r="A1383" s="5" t="str">
        <f t="shared" si="1"/>
        <v>AD507-1381</v>
      </c>
      <c r="C1383" s="5"/>
      <c r="F1383" s="5"/>
      <c r="G1383" s="5" t="str">
        <f t="shared" si="2"/>
        <v/>
      </c>
      <c r="H1383" s="5" t="str">
        <f t="shared" si="3"/>
        <v/>
      </c>
      <c r="I1383" s="5" t="str">
        <f t="shared" si="4"/>
        <v/>
      </c>
      <c r="J1383" s="5" t="str">
        <f t="shared" si="5"/>
        <v/>
      </c>
      <c r="K1383" s="5" t="str">
        <f>IFERROR(__xludf.DUMMYFUNCTION("IF(C1383&lt;&gt;"""",HYPERLINK(""https://wa.me/507""&amp;REGEXREPLACE(C1383,""[^0-9]"","""")&amp;""?text=""&amp;ENCODEURL(""Ya llegue. Codigo: ""&amp;A1383&amp;"". Ubicacion: ""&amp;""https://www.google.com/maps/search/?api=1&amp;query=""&amp;SUBSTITUTE(F1383,"" "","""")),""📲 Avisar al clien"&amp;"te""),"""")"),"")</f>
        <v/>
      </c>
      <c r="L1383" s="5" t="str">
        <f>IFERROR(__xludf.DUMMYFUNCTION("IF(C1383&lt;&gt;"""",""https://api.qrserver.com/v1/create-qr-code/?size=200x200&amp;data=""&amp;ENCODEURL(""https://wa.me/507""&amp;REGEXREPLACE(C1383,""[^0-9]"","""")&amp;""?text=""&amp;ENCODEURL(""Ya llegue. Codigo: ""&amp;A1383&amp;"". Ubicacion: ""&amp;""https://www.google.com/maps/search"&amp;"/?api=1&amp;query=""&amp;SUBSTITUTE(F1383,"" "",""""))),"""")"),"")</f>
        <v/>
      </c>
      <c r="M1383" s="5" t="str">
        <f t="shared" si="6"/>
        <v/>
      </c>
      <c r="N1383" s="5" t="str">
        <f>IFERROR(__xludf.DUMMYFUNCTION("IF(AND(F1383&lt;&gt;"""",REGEXMATCH(SUBSTITUTE(F1383,"" "",""""),""^-?\d+(\.\d+)?,-?\d+(\.\d+)?$""),VALUE(REGEXEXTRACT(SUBSTITUTE(F1383,"" "",""""),""^-?\d+(\.\d+)?""))&gt;=-90,VALUE(REGEXEXTRACT(SUBSTITUTE(F1383,"" "",""""),""^-?\d+(\.\d+)?""))&lt;=90,VALUE(REGEXEXT"&amp;"RACT(SUBSTITUTE(F1383,"" "",""""),""-?\d+(\.\d+)?$""))&gt;=-180,VALUE(REGEXEXTRACT(SUBSTITUTE(F1383,"" "",""""),""-?\d+(\.\d+)?$""))&lt;=180),""OK"",""REVISAR"")"),"#N/A")</f>
        <v>#N/A</v>
      </c>
    </row>
    <row r="1384" ht="15.75" customHeight="1">
      <c r="A1384" s="5" t="str">
        <f t="shared" si="1"/>
        <v>AD507-1382</v>
      </c>
      <c r="C1384" s="5"/>
      <c r="F1384" s="5"/>
      <c r="G1384" s="5" t="str">
        <f t="shared" si="2"/>
        <v/>
      </c>
      <c r="H1384" s="5" t="str">
        <f t="shared" si="3"/>
        <v/>
      </c>
      <c r="I1384" s="5" t="str">
        <f t="shared" si="4"/>
        <v/>
      </c>
      <c r="J1384" s="5" t="str">
        <f t="shared" si="5"/>
        <v/>
      </c>
      <c r="K1384" s="5" t="str">
        <f>IFERROR(__xludf.DUMMYFUNCTION("IF(C1384&lt;&gt;"""",HYPERLINK(""https://wa.me/507""&amp;REGEXREPLACE(C1384,""[^0-9]"","""")&amp;""?text=""&amp;ENCODEURL(""Ya llegue. Codigo: ""&amp;A1384&amp;"". Ubicacion: ""&amp;""https://www.google.com/maps/search/?api=1&amp;query=""&amp;SUBSTITUTE(F1384,"" "","""")),""📲 Avisar al clien"&amp;"te""),"""")"),"")</f>
        <v/>
      </c>
      <c r="L1384" s="5" t="str">
        <f>IFERROR(__xludf.DUMMYFUNCTION("IF(C1384&lt;&gt;"""",""https://api.qrserver.com/v1/create-qr-code/?size=200x200&amp;data=""&amp;ENCODEURL(""https://wa.me/507""&amp;REGEXREPLACE(C1384,""[^0-9]"","""")&amp;""?text=""&amp;ENCODEURL(""Ya llegue. Codigo: ""&amp;A1384&amp;"". Ubicacion: ""&amp;""https://www.google.com/maps/search"&amp;"/?api=1&amp;query=""&amp;SUBSTITUTE(F1384,"" "",""""))),"""")"),"")</f>
        <v/>
      </c>
      <c r="M1384" s="5" t="str">
        <f t="shared" si="6"/>
        <v/>
      </c>
      <c r="N1384" s="5" t="str">
        <f>IFERROR(__xludf.DUMMYFUNCTION("IF(AND(F1384&lt;&gt;"""",REGEXMATCH(SUBSTITUTE(F1384,"" "",""""),""^-?\d+(\.\d+)?,-?\d+(\.\d+)?$""),VALUE(REGEXEXTRACT(SUBSTITUTE(F1384,"" "",""""),""^-?\d+(\.\d+)?""))&gt;=-90,VALUE(REGEXEXTRACT(SUBSTITUTE(F1384,"" "",""""),""^-?\d+(\.\d+)?""))&lt;=90,VALUE(REGEXEXT"&amp;"RACT(SUBSTITUTE(F1384,"" "",""""),""-?\d+(\.\d+)?$""))&gt;=-180,VALUE(REGEXEXTRACT(SUBSTITUTE(F1384,"" "",""""),""-?\d+(\.\d+)?$""))&lt;=180),""OK"",""REVISAR"")"),"#N/A")</f>
        <v>#N/A</v>
      </c>
    </row>
    <row r="1385" ht="15.75" customHeight="1">
      <c r="A1385" s="5" t="str">
        <f t="shared" si="1"/>
        <v>AD507-1383</v>
      </c>
      <c r="C1385" s="5"/>
      <c r="F1385" s="5"/>
      <c r="G1385" s="5" t="str">
        <f t="shared" si="2"/>
        <v/>
      </c>
      <c r="H1385" s="5" t="str">
        <f t="shared" si="3"/>
        <v/>
      </c>
      <c r="I1385" s="5" t="str">
        <f t="shared" si="4"/>
        <v/>
      </c>
      <c r="J1385" s="5" t="str">
        <f t="shared" si="5"/>
        <v/>
      </c>
      <c r="K1385" s="5" t="str">
        <f>IFERROR(__xludf.DUMMYFUNCTION("IF(C1385&lt;&gt;"""",HYPERLINK(""https://wa.me/507""&amp;REGEXREPLACE(C1385,""[^0-9]"","""")&amp;""?text=""&amp;ENCODEURL(""Ya llegue. Codigo: ""&amp;A1385&amp;"". Ubicacion: ""&amp;""https://www.google.com/maps/search/?api=1&amp;query=""&amp;SUBSTITUTE(F1385,"" "","""")),""📲 Avisar al clien"&amp;"te""),"""")"),"")</f>
        <v/>
      </c>
      <c r="L1385" s="5" t="str">
        <f>IFERROR(__xludf.DUMMYFUNCTION("IF(C1385&lt;&gt;"""",""https://api.qrserver.com/v1/create-qr-code/?size=200x200&amp;data=""&amp;ENCODEURL(""https://wa.me/507""&amp;REGEXREPLACE(C1385,""[^0-9]"","""")&amp;""?text=""&amp;ENCODEURL(""Ya llegue. Codigo: ""&amp;A1385&amp;"". Ubicacion: ""&amp;""https://www.google.com/maps/search"&amp;"/?api=1&amp;query=""&amp;SUBSTITUTE(F1385,"" "",""""))),"""")"),"")</f>
        <v/>
      </c>
      <c r="M1385" s="5" t="str">
        <f t="shared" si="6"/>
        <v/>
      </c>
      <c r="N1385" s="5" t="str">
        <f>IFERROR(__xludf.DUMMYFUNCTION("IF(AND(F1385&lt;&gt;"""",REGEXMATCH(SUBSTITUTE(F1385,"" "",""""),""^-?\d+(\.\d+)?,-?\d+(\.\d+)?$""),VALUE(REGEXEXTRACT(SUBSTITUTE(F1385,"" "",""""),""^-?\d+(\.\d+)?""))&gt;=-90,VALUE(REGEXEXTRACT(SUBSTITUTE(F1385,"" "",""""),""^-?\d+(\.\d+)?""))&lt;=90,VALUE(REGEXEXT"&amp;"RACT(SUBSTITUTE(F1385,"" "",""""),""-?\d+(\.\d+)?$""))&gt;=-180,VALUE(REGEXEXTRACT(SUBSTITUTE(F1385,"" "",""""),""-?\d+(\.\d+)?$""))&lt;=180),""OK"",""REVISAR"")"),"#N/A")</f>
        <v>#N/A</v>
      </c>
    </row>
    <row r="1386" ht="15.75" customHeight="1">
      <c r="A1386" s="5" t="str">
        <f t="shared" si="1"/>
        <v>AD507-1384</v>
      </c>
      <c r="C1386" s="5"/>
      <c r="F1386" s="5"/>
      <c r="G1386" s="5" t="str">
        <f t="shared" si="2"/>
        <v/>
      </c>
      <c r="H1386" s="5" t="str">
        <f t="shared" si="3"/>
        <v/>
      </c>
      <c r="I1386" s="5" t="str">
        <f t="shared" si="4"/>
        <v/>
      </c>
      <c r="J1386" s="5" t="str">
        <f t="shared" si="5"/>
        <v/>
      </c>
      <c r="K1386" s="5" t="str">
        <f>IFERROR(__xludf.DUMMYFUNCTION("IF(C1386&lt;&gt;"""",HYPERLINK(""https://wa.me/507""&amp;REGEXREPLACE(C1386,""[^0-9]"","""")&amp;""?text=""&amp;ENCODEURL(""Ya llegue. Codigo: ""&amp;A1386&amp;"". Ubicacion: ""&amp;""https://www.google.com/maps/search/?api=1&amp;query=""&amp;SUBSTITUTE(F1386,"" "","""")),""📲 Avisar al clien"&amp;"te""),"""")"),"")</f>
        <v/>
      </c>
      <c r="L1386" s="5" t="str">
        <f>IFERROR(__xludf.DUMMYFUNCTION("IF(C1386&lt;&gt;"""",""https://api.qrserver.com/v1/create-qr-code/?size=200x200&amp;data=""&amp;ENCODEURL(""https://wa.me/507""&amp;REGEXREPLACE(C1386,""[^0-9]"","""")&amp;""?text=""&amp;ENCODEURL(""Ya llegue. Codigo: ""&amp;A1386&amp;"". Ubicacion: ""&amp;""https://www.google.com/maps/search"&amp;"/?api=1&amp;query=""&amp;SUBSTITUTE(F1386,"" "",""""))),"""")"),"")</f>
        <v/>
      </c>
      <c r="M1386" s="5" t="str">
        <f t="shared" si="6"/>
        <v/>
      </c>
      <c r="N1386" s="5" t="str">
        <f>IFERROR(__xludf.DUMMYFUNCTION("IF(AND(F1386&lt;&gt;"""",REGEXMATCH(SUBSTITUTE(F1386,"" "",""""),""^-?\d+(\.\d+)?,-?\d+(\.\d+)?$""),VALUE(REGEXEXTRACT(SUBSTITUTE(F1386,"" "",""""),""^-?\d+(\.\d+)?""))&gt;=-90,VALUE(REGEXEXTRACT(SUBSTITUTE(F1386,"" "",""""),""^-?\d+(\.\d+)?""))&lt;=90,VALUE(REGEXEXT"&amp;"RACT(SUBSTITUTE(F1386,"" "",""""),""-?\d+(\.\d+)?$""))&gt;=-180,VALUE(REGEXEXTRACT(SUBSTITUTE(F1386,"" "",""""),""-?\d+(\.\d+)?$""))&lt;=180),""OK"",""REVISAR"")"),"#N/A")</f>
        <v>#N/A</v>
      </c>
    </row>
    <row r="1387" ht="15.75" customHeight="1">
      <c r="A1387" s="5" t="str">
        <f t="shared" si="1"/>
        <v>AD507-1385</v>
      </c>
      <c r="C1387" s="5"/>
      <c r="F1387" s="5"/>
      <c r="G1387" s="5" t="str">
        <f t="shared" si="2"/>
        <v/>
      </c>
      <c r="H1387" s="5" t="str">
        <f t="shared" si="3"/>
        <v/>
      </c>
      <c r="I1387" s="5" t="str">
        <f t="shared" si="4"/>
        <v/>
      </c>
      <c r="J1387" s="5" t="str">
        <f t="shared" si="5"/>
        <v/>
      </c>
      <c r="K1387" s="5" t="str">
        <f>IFERROR(__xludf.DUMMYFUNCTION("IF(C1387&lt;&gt;"""",HYPERLINK(""https://wa.me/507""&amp;REGEXREPLACE(C1387,""[^0-9]"","""")&amp;""?text=""&amp;ENCODEURL(""Ya llegue. Codigo: ""&amp;A1387&amp;"". Ubicacion: ""&amp;""https://www.google.com/maps/search/?api=1&amp;query=""&amp;SUBSTITUTE(F1387,"" "","""")),""📲 Avisar al clien"&amp;"te""),"""")"),"")</f>
        <v/>
      </c>
      <c r="L1387" s="5" t="str">
        <f>IFERROR(__xludf.DUMMYFUNCTION("IF(C1387&lt;&gt;"""",""https://api.qrserver.com/v1/create-qr-code/?size=200x200&amp;data=""&amp;ENCODEURL(""https://wa.me/507""&amp;REGEXREPLACE(C1387,""[^0-9]"","""")&amp;""?text=""&amp;ENCODEURL(""Ya llegue. Codigo: ""&amp;A1387&amp;"". Ubicacion: ""&amp;""https://www.google.com/maps/search"&amp;"/?api=1&amp;query=""&amp;SUBSTITUTE(F1387,"" "",""""))),"""")"),"")</f>
        <v/>
      </c>
      <c r="M1387" s="5" t="str">
        <f t="shared" si="6"/>
        <v/>
      </c>
      <c r="N1387" s="5" t="str">
        <f>IFERROR(__xludf.DUMMYFUNCTION("IF(AND(F1387&lt;&gt;"""",REGEXMATCH(SUBSTITUTE(F1387,"" "",""""),""^-?\d+(\.\d+)?,-?\d+(\.\d+)?$""),VALUE(REGEXEXTRACT(SUBSTITUTE(F1387,"" "",""""),""^-?\d+(\.\d+)?""))&gt;=-90,VALUE(REGEXEXTRACT(SUBSTITUTE(F1387,"" "",""""),""^-?\d+(\.\d+)?""))&lt;=90,VALUE(REGEXEXT"&amp;"RACT(SUBSTITUTE(F1387,"" "",""""),""-?\d+(\.\d+)?$""))&gt;=-180,VALUE(REGEXEXTRACT(SUBSTITUTE(F1387,"" "",""""),""-?\d+(\.\d+)?$""))&lt;=180),""OK"",""REVISAR"")"),"#N/A")</f>
        <v>#N/A</v>
      </c>
    </row>
    <row r="1388" ht="15.75" customHeight="1">
      <c r="A1388" s="5" t="str">
        <f t="shared" si="1"/>
        <v>AD507-1386</v>
      </c>
      <c r="C1388" s="5"/>
      <c r="F1388" s="5"/>
      <c r="G1388" s="5" t="str">
        <f t="shared" si="2"/>
        <v/>
      </c>
      <c r="H1388" s="5" t="str">
        <f t="shared" si="3"/>
        <v/>
      </c>
      <c r="I1388" s="5" t="str">
        <f t="shared" si="4"/>
        <v/>
      </c>
      <c r="J1388" s="5" t="str">
        <f t="shared" si="5"/>
        <v/>
      </c>
      <c r="K1388" s="5" t="str">
        <f>IFERROR(__xludf.DUMMYFUNCTION("IF(C1388&lt;&gt;"""",HYPERLINK(""https://wa.me/507""&amp;REGEXREPLACE(C1388,""[^0-9]"","""")&amp;""?text=""&amp;ENCODEURL(""Ya llegue. Codigo: ""&amp;A1388&amp;"". Ubicacion: ""&amp;""https://www.google.com/maps/search/?api=1&amp;query=""&amp;SUBSTITUTE(F1388,"" "","""")),""📲 Avisar al clien"&amp;"te""),"""")"),"")</f>
        <v/>
      </c>
      <c r="L1388" s="5" t="str">
        <f>IFERROR(__xludf.DUMMYFUNCTION("IF(C1388&lt;&gt;"""",""https://api.qrserver.com/v1/create-qr-code/?size=200x200&amp;data=""&amp;ENCODEURL(""https://wa.me/507""&amp;REGEXREPLACE(C1388,""[^0-9]"","""")&amp;""?text=""&amp;ENCODEURL(""Ya llegue. Codigo: ""&amp;A1388&amp;"". Ubicacion: ""&amp;""https://www.google.com/maps/search"&amp;"/?api=1&amp;query=""&amp;SUBSTITUTE(F1388,"" "",""""))),"""")"),"")</f>
        <v/>
      </c>
      <c r="M1388" s="5" t="str">
        <f t="shared" si="6"/>
        <v/>
      </c>
      <c r="N1388" s="5" t="str">
        <f>IFERROR(__xludf.DUMMYFUNCTION("IF(AND(F1388&lt;&gt;"""",REGEXMATCH(SUBSTITUTE(F1388,"" "",""""),""^-?\d+(\.\d+)?,-?\d+(\.\d+)?$""),VALUE(REGEXEXTRACT(SUBSTITUTE(F1388,"" "",""""),""^-?\d+(\.\d+)?""))&gt;=-90,VALUE(REGEXEXTRACT(SUBSTITUTE(F1388,"" "",""""),""^-?\d+(\.\d+)?""))&lt;=90,VALUE(REGEXEXT"&amp;"RACT(SUBSTITUTE(F1388,"" "",""""),""-?\d+(\.\d+)?$""))&gt;=-180,VALUE(REGEXEXTRACT(SUBSTITUTE(F1388,"" "",""""),""-?\d+(\.\d+)?$""))&lt;=180),""OK"",""REVISAR"")"),"#N/A")</f>
        <v>#N/A</v>
      </c>
    </row>
    <row r="1389" ht="15.75" customHeight="1">
      <c r="A1389" s="5" t="str">
        <f t="shared" si="1"/>
        <v>AD507-1387</v>
      </c>
      <c r="C1389" s="5"/>
      <c r="F1389" s="5"/>
      <c r="G1389" s="5" t="str">
        <f t="shared" si="2"/>
        <v/>
      </c>
      <c r="H1389" s="5" t="str">
        <f t="shared" si="3"/>
        <v/>
      </c>
      <c r="I1389" s="5" t="str">
        <f t="shared" si="4"/>
        <v/>
      </c>
      <c r="J1389" s="5" t="str">
        <f t="shared" si="5"/>
        <v/>
      </c>
      <c r="K1389" s="5" t="str">
        <f>IFERROR(__xludf.DUMMYFUNCTION("IF(C1389&lt;&gt;"""",HYPERLINK(""https://wa.me/507""&amp;REGEXREPLACE(C1389,""[^0-9]"","""")&amp;""?text=""&amp;ENCODEURL(""Ya llegue. Codigo: ""&amp;A1389&amp;"". Ubicacion: ""&amp;""https://www.google.com/maps/search/?api=1&amp;query=""&amp;SUBSTITUTE(F1389,"" "","""")),""📲 Avisar al clien"&amp;"te""),"""")"),"")</f>
        <v/>
      </c>
      <c r="L1389" s="5" t="str">
        <f>IFERROR(__xludf.DUMMYFUNCTION("IF(C1389&lt;&gt;"""",""https://api.qrserver.com/v1/create-qr-code/?size=200x200&amp;data=""&amp;ENCODEURL(""https://wa.me/507""&amp;REGEXREPLACE(C1389,""[^0-9]"","""")&amp;""?text=""&amp;ENCODEURL(""Ya llegue. Codigo: ""&amp;A1389&amp;"". Ubicacion: ""&amp;""https://www.google.com/maps/search"&amp;"/?api=1&amp;query=""&amp;SUBSTITUTE(F1389,"" "",""""))),"""")"),"")</f>
        <v/>
      </c>
      <c r="M1389" s="5" t="str">
        <f t="shared" si="6"/>
        <v/>
      </c>
      <c r="N1389" s="5" t="str">
        <f>IFERROR(__xludf.DUMMYFUNCTION("IF(AND(F1389&lt;&gt;"""",REGEXMATCH(SUBSTITUTE(F1389,"" "",""""),""^-?\d+(\.\d+)?,-?\d+(\.\d+)?$""),VALUE(REGEXEXTRACT(SUBSTITUTE(F1389,"" "",""""),""^-?\d+(\.\d+)?""))&gt;=-90,VALUE(REGEXEXTRACT(SUBSTITUTE(F1389,"" "",""""),""^-?\d+(\.\d+)?""))&lt;=90,VALUE(REGEXEXT"&amp;"RACT(SUBSTITUTE(F1389,"" "",""""),""-?\d+(\.\d+)?$""))&gt;=-180,VALUE(REGEXEXTRACT(SUBSTITUTE(F1389,"" "",""""),""-?\d+(\.\d+)?$""))&lt;=180),""OK"",""REVISAR"")"),"#N/A")</f>
        <v>#N/A</v>
      </c>
    </row>
    <row r="1390" ht="15.75" customHeight="1">
      <c r="A1390" s="5" t="str">
        <f t="shared" si="1"/>
        <v>AD507-1388</v>
      </c>
      <c r="C1390" s="5"/>
      <c r="F1390" s="5"/>
      <c r="G1390" s="5" t="str">
        <f t="shared" si="2"/>
        <v/>
      </c>
      <c r="H1390" s="5" t="str">
        <f t="shared" si="3"/>
        <v/>
      </c>
      <c r="I1390" s="5" t="str">
        <f t="shared" si="4"/>
        <v/>
      </c>
      <c r="J1390" s="5" t="str">
        <f t="shared" si="5"/>
        <v/>
      </c>
      <c r="K1390" s="5" t="str">
        <f>IFERROR(__xludf.DUMMYFUNCTION("IF(C1390&lt;&gt;"""",HYPERLINK(""https://wa.me/507""&amp;REGEXREPLACE(C1390,""[^0-9]"","""")&amp;""?text=""&amp;ENCODEURL(""Ya llegue. Codigo: ""&amp;A1390&amp;"". Ubicacion: ""&amp;""https://www.google.com/maps/search/?api=1&amp;query=""&amp;SUBSTITUTE(F1390,"" "","""")),""📲 Avisar al clien"&amp;"te""),"""")"),"")</f>
        <v/>
      </c>
      <c r="L1390" s="5" t="str">
        <f>IFERROR(__xludf.DUMMYFUNCTION("IF(C1390&lt;&gt;"""",""https://api.qrserver.com/v1/create-qr-code/?size=200x200&amp;data=""&amp;ENCODEURL(""https://wa.me/507""&amp;REGEXREPLACE(C1390,""[^0-9]"","""")&amp;""?text=""&amp;ENCODEURL(""Ya llegue. Codigo: ""&amp;A1390&amp;"". Ubicacion: ""&amp;""https://www.google.com/maps/search"&amp;"/?api=1&amp;query=""&amp;SUBSTITUTE(F1390,"" "",""""))),"""")"),"")</f>
        <v/>
      </c>
      <c r="M1390" s="5" t="str">
        <f t="shared" si="6"/>
        <v/>
      </c>
      <c r="N1390" s="5" t="str">
        <f>IFERROR(__xludf.DUMMYFUNCTION("IF(AND(F1390&lt;&gt;"""",REGEXMATCH(SUBSTITUTE(F1390,"" "",""""),""^-?\d+(\.\d+)?,-?\d+(\.\d+)?$""),VALUE(REGEXEXTRACT(SUBSTITUTE(F1390,"" "",""""),""^-?\d+(\.\d+)?""))&gt;=-90,VALUE(REGEXEXTRACT(SUBSTITUTE(F1390,"" "",""""),""^-?\d+(\.\d+)?""))&lt;=90,VALUE(REGEXEXT"&amp;"RACT(SUBSTITUTE(F1390,"" "",""""),""-?\d+(\.\d+)?$""))&gt;=-180,VALUE(REGEXEXTRACT(SUBSTITUTE(F1390,"" "",""""),""-?\d+(\.\d+)?$""))&lt;=180),""OK"",""REVISAR"")"),"#N/A")</f>
        <v>#N/A</v>
      </c>
    </row>
    <row r="1391" ht="15.75" customHeight="1">
      <c r="A1391" s="5" t="str">
        <f t="shared" si="1"/>
        <v>AD507-1389</v>
      </c>
      <c r="C1391" s="5"/>
      <c r="F1391" s="5"/>
      <c r="G1391" s="5" t="str">
        <f t="shared" si="2"/>
        <v/>
      </c>
      <c r="H1391" s="5" t="str">
        <f t="shared" si="3"/>
        <v/>
      </c>
      <c r="I1391" s="5" t="str">
        <f t="shared" si="4"/>
        <v/>
      </c>
      <c r="J1391" s="5" t="str">
        <f t="shared" si="5"/>
        <v/>
      </c>
      <c r="K1391" s="5" t="str">
        <f>IFERROR(__xludf.DUMMYFUNCTION("IF(C1391&lt;&gt;"""",HYPERLINK(""https://wa.me/507""&amp;REGEXREPLACE(C1391,""[^0-9]"","""")&amp;""?text=""&amp;ENCODEURL(""Ya llegue. Codigo: ""&amp;A1391&amp;"". Ubicacion: ""&amp;""https://www.google.com/maps/search/?api=1&amp;query=""&amp;SUBSTITUTE(F1391,"" "","""")),""📲 Avisar al clien"&amp;"te""),"""")"),"")</f>
        <v/>
      </c>
      <c r="L1391" s="5" t="str">
        <f>IFERROR(__xludf.DUMMYFUNCTION("IF(C1391&lt;&gt;"""",""https://api.qrserver.com/v1/create-qr-code/?size=200x200&amp;data=""&amp;ENCODEURL(""https://wa.me/507""&amp;REGEXREPLACE(C1391,""[^0-9]"","""")&amp;""?text=""&amp;ENCODEURL(""Ya llegue. Codigo: ""&amp;A1391&amp;"". Ubicacion: ""&amp;""https://www.google.com/maps/search"&amp;"/?api=1&amp;query=""&amp;SUBSTITUTE(F1391,"" "",""""))),"""")"),"")</f>
        <v/>
      </c>
      <c r="M1391" s="5" t="str">
        <f t="shared" si="6"/>
        <v/>
      </c>
      <c r="N1391" s="5" t="str">
        <f>IFERROR(__xludf.DUMMYFUNCTION("IF(AND(F1391&lt;&gt;"""",REGEXMATCH(SUBSTITUTE(F1391,"" "",""""),""^-?\d+(\.\d+)?,-?\d+(\.\d+)?$""),VALUE(REGEXEXTRACT(SUBSTITUTE(F1391,"" "",""""),""^-?\d+(\.\d+)?""))&gt;=-90,VALUE(REGEXEXTRACT(SUBSTITUTE(F1391,"" "",""""),""^-?\d+(\.\d+)?""))&lt;=90,VALUE(REGEXEXT"&amp;"RACT(SUBSTITUTE(F1391,"" "",""""),""-?\d+(\.\d+)?$""))&gt;=-180,VALUE(REGEXEXTRACT(SUBSTITUTE(F1391,"" "",""""),""-?\d+(\.\d+)?$""))&lt;=180),""OK"",""REVISAR"")"),"#N/A")</f>
        <v>#N/A</v>
      </c>
    </row>
    <row r="1392" ht="15.75" customHeight="1">
      <c r="A1392" s="5" t="str">
        <f t="shared" si="1"/>
        <v>AD507-1390</v>
      </c>
      <c r="C1392" s="5"/>
      <c r="F1392" s="5"/>
      <c r="G1392" s="5" t="str">
        <f t="shared" si="2"/>
        <v/>
      </c>
      <c r="H1392" s="5" t="str">
        <f t="shared" si="3"/>
        <v/>
      </c>
      <c r="I1392" s="5" t="str">
        <f t="shared" si="4"/>
        <v/>
      </c>
      <c r="J1392" s="5" t="str">
        <f t="shared" si="5"/>
        <v/>
      </c>
      <c r="K1392" s="5" t="str">
        <f>IFERROR(__xludf.DUMMYFUNCTION("IF(C1392&lt;&gt;"""",HYPERLINK(""https://wa.me/507""&amp;REGEXREPLACE(C1392,""[^0-9]"","""")&amp;""?text=""&amp;ENCODEURL(""Ya llegue. Codigo: ""&amp;A1392&amp;"". Ubicacion: ""&amp;""https://www.google.com/maps/search/?api=1&amp;query=""&amp;SUBSTITUTE(F1392,"" "","""")),""📲 Avisar al clien"&amp;"te""),"""")"),"")</f>
        <v/>
      </c>
      <c r="L1392" s="5" t="str">
        <f>IFERROR(__xludf.DUMMYFUNCTION("IF(C1392&lt;&gt;"""",""https://api.qrserver.com/v1/create-qr-code/?size=200x200&amp;data=""&amp;ENCODEURL(""https://wa.me/507""&amp;REGEXREPLACE(C1392,""[^0-9]"","""")&amp;""?text=""&amp;ENCODEURL(""Ya llegue. Codigo: ""&amp;A1392&amp;"". Ubicacion: ""&amp;""https://www.google.com/maps/search"&amp;"/?api=1&amp;query=""&amp;SUBSTITUTE(F1392,"" "",""""))),"""")"),"")</f>
        <v/>
      </c>
      <c r="M1392" s="5" t="str">
        <f t="shared" si="6"/>
        <v/>
      </c>
      <c r="N1392" s="5" t="str">
        <f>IFERROR(__xludf.DUMMYFUNCTION("IF(AND(F1392&lt;&gt;"""",REGEXMATCH(SUBSTITUTE(F1392,"" "",""""),""^-?\d+(\.\d+)?,-?\d+(\.\d+)?$""),VALUE(REGEXEXTRACT(SUBSTITUTE(F1392,"" "",""""),""^-?\d+(\.\d+)?""))&gt;=-90,VALUE(REGEXEXTRACT(SUBSTITUTE(F1392,"" "",""""),""^-?\d+(\.\d+)?""))&lt;=90,VALUE(REGEXEXT"&amp;"RACT(SUBSTITUTE(F1392,"" "",""""),""-?\d+(\.\d+)?$""))&gt;=-180,VALUE(REGEXEXTRACT(SUBSTITUTE(F1392,"" "",""""),""-?\d+(\.\d+)?$""))&lt;=180),""OK"",""REVISAR"")"),"#N/A")</f>
        <v>#N/A</v>
      </c>
    </row>
    <row r="1393" ht="15.75" customHeight="1">
      <c r="A1393" s="5" t="str">
        <f t="shared" si="1"/>
        <v>AD507-1391</v>
      </c>
      <c r="C1393" s="5"/>
      <c r="F1393" s="5"/>
      <c r="G1393" s="5" t="str">
        <f t="shared" si="2"/>
        <v/>
      </c>
      <c r="H1393" s="5" t="str">
        <f t="shared" si="3"/>
        <v/>
      </c>
      <c r="I1393" s="5" t="str">
        <f t="shared" si="4"/>
        <v/>
      </c>
      <c r="J1393" s="5" t="str">
        <f t="shared" si="5"/>
        <v/>
      </c>
      <c r="K1393" s="5" t="str">
        <f>IFERROR(__xludf.DUMMYFUNCTION("IF(C1393&lt;&gt;"""",HYPERLINK(""https://wa.me/507""&amp;REGEXREPLACE(C1393,""[^0-9]"","""")&amp;""?text=""&amp;ENCODEURL(""Ya llegue. Codigo: ""&amp;A1393&amp;"". Ubicacion: ""&amp;""https://www.google.com/maps/search/?api=1&amp;query=""&amp;SUBSTITUTE(F1393,"" "","""")),""📲 Avisar al clien"&amp;"te""),"""")"),"")</f>
        <v/>
      </c>
      <c r="L1393" s="5" t="str">
        <f>IFERROR(__xludf.DUMMYFUNCTION("IF(C1393&lt;&gt;"""",""https://api.qrserver.com/v1/create-qr-code/?size=200x200&amp;data=""&amp;ENCODEURL(""https://wa.me/507""&amp;REGEXREPLACE(C1393,""[^0-9]"","""")&amp;""?text=""&amp;ENCODEURL(""Ya llegue. Codigo: ""&amp;A1393&amp;"". Ubicacion: ""&amp;""https://www.google.com/maps/search"&amp;"/?api=1&amp;query=""&amp;SUBSTITUTE(F1393,"" "",""""))),"""")"),"")</f>
        <v/>
      </c>
      <c r="M1393" s="5" t="str">
        <f t="shared" si="6"/>
        <v/>
      </c>
      <c r="N1393" s="5" t="str">
        <f>IFERROR(__xludf.DUMMYFUNCTION("IF(AND(F1393&lt;&gt;"""",REGEXMATCH(SUBSTITUTE(F1393,"" "",""""),""^-?\d+(\.\d+)?,-?\d+(\.\d+)?$""),VALUE(REGEXEXTRACT(SUBSTITUTE(F1393,"" "",""""),""^-?\d+(\.\d+)?""))&gt;=-90,VALUE(REGEXEXTRACT(SUBSTITUTE(F1393,"" "",""""),""^-?\d+(\.\d+)?""))&lt;=90,VALUE(REGEXEXT"&amp;"RACT(SUBSTITUTE(F1393,"" "",""""),""-?\d+(\.\d+)?$""))&gt;=-180,VALUE(REGEXEXTRACT(SUBSTITUTE(F1393,"" "",""""),""-?\d+(\.\d+)?$""))&lt;=180),""OK"",""REVISAR"")"),"#N/A")</f>
        <v>#N/A</v>
      </c>
    </row>
    <row r="1394" ht="15.75" customHeight="1">
      <c r="A1394" s="5" t="str">
        <f t="shared" si="1"/>
        <v>AD507-1392</v>
      </c>
      <c r="C1394" s="5"/>
      <c r="F1394" s="5"/>
      <c r="G1394" s="5" t="str">
        <f t="shared" si="2"/>
        <v/>
      </c>
      <c r="H1394" s="5" t="str">
        <f t="shared" si="3"/>
        <v/>
      </c>
      <c r="I1394" s="5" t="str">
        <f t="shared" si="4"/>
        <v/>
      </c>
      <c r="J1394" s="5" t="str">
        <f t="shared" si="5"/>
        <v/>
      </c>
      <c r="K1394" s="5" t="str">
        <f>IFERROR(__xludf.DUMMYFUNCTION("IF(C1394&lt;&gt;"""",HYPERLINK(""https://wa.me/507""&amp;REGEXREPLACE(C1394,""[^0-9]"","""")&amp;""?text=""&amp;ENCODEURL(""Ya llegue. Codigo: ""&amp;A1394&amp;"". Ubicacion: ""&amp;""https://www.google.com/maps/search/?api=1&amp;query=""&amp;SUBSTITUTE(F1394,"" "","""")),""📲 Avisar al clien"&amp;"te""),"""")"),"")</f>
        <v/>
      </c>
      <c r="L1394" s="5" t="str">
        <f>IFERROR(__xludf.DUMMYFUNCTION("IF(C1394&lt;&gt;"""",""https://api.qrserver.com/v1/create-qr-code/?size=200x200&amp;data=""&amp;ENCODEURL(""https://wa.me/507""&amp;REGEXREPLACE(C1394,""[^0-9]"","""")&amp;""?text=""&amp;ENCODEURL(""Ya llegue. Codigo: ""&amp;A1394&amp;"". Ubicacion: ""&amp;""https://www.google.com/maps/search"&amp;"/?api=1&amp;query=""&amp;SUBSTITUTE(F1394,"" "",""""))),"""")"),"")</f>
        <v/>
      </c>
      <c r="M1394" s="5" t="str">
        <f t="shared" si="6"/>
        <v/>
      </c>
      <c r="N1394" s="5" t="str">
        <f>IFERROR(__xludf.DUMMYFUNCTION("IF(AND(F1394&lt;&gt;"""",REGEXMATCH(SUBSTITUTE(F1394,"" "",""""),""^-?\d+(\.\d+)?,-?\d+(\.\d+)?$""),VALUE(REGEXEXTRACT(SUBSTITUTE(F1394,"" "",""""),""^-?\d+(\.\d+)?""))&gt;=-90,VALUE(REGEXEXTRACT(SUBSTITUTE(F1394,"" "",""""),""^-?\d+(\.\d+)?""))&lt;=90,VALUE(REGEXEXT"&amp;"RACT(SUBSTITUTE(F1394,"" "",""""),""-?\d+(\.\d+)?$""))&gt;=-180,VALUE(REGEXEXTRACT(SUBSTITUTE(F1394,"" "",""""),""-?\d+(\.\d+)?$""))&lt;=180),""OK"",""REVISAR"")"),"#N/A")</f>
        <v>#N/A</v>
      </c>
    </row>
    <row r="1395" ht="15.75" customHeight="1">
      <c r="A1395" s="5" t="str">
        <f t="shared" si="1"/>
        <v>AD507-1393</v>
      </c>
      <c r="C1395" s="5"/>
      <c r="F1395" s="5"/>
      <c r="G1395" s="5" t="str">
        <f t="shared" si="2"/>
        <v/>
      </c>
      <c r="H1395" s="5" t="str">
        <f t="shared" si="3"/>
        <v/>
      </c>
      <c r="I1395" s="5" t="str">
        <f t="shared" si="4"/>
        <v/>
      </c>
      <c r="J1395" s="5" t="str">
        <f t="shared" si="5"/>
        <v/>
      </c>
      <c r="K1395" s="5" t="str">
        <f>IFERROR(__xludf.DUMMYFUNCTION("IF(C1395&lt;&gt;"""",HYPERLINK(""https://wa.me/507""&amp;REGEXREPLACE(C1395,""[^0-9]"","""")&amp;""?text=""&amp;ENCODEURL(""Ya llegue. Codigo: ""&amp;A1395&amp;"". Ubicacion: ""&amp;""https://www.google.com/maps/search/?api=1&amp;query=""&amp;SUBSTITUTE(F1395,"" "","""")),""📲 Avisar al clien"&amp;"te""),"""")"),"")</f>
        <v/>
      </c>
      <c r="L1395" s="5" t="str">
        <f>IFERROR(__xludf.DUMMYFUNCTION("IF(C1395&lt;&gt;"""",""https://api.qrserver.com/v1/create-qr-code/?size=200x200&amp;data=""&amp;ENCODEURL(""https://wa.me/507""&amp;REGEXREPLACE(C1395,""[^0-9]"","""")&amp;""?text=""&amp;ENCODEURL(""Ya llegue. Codigo: ""&amp;A1395&amp;"". Ubicacion: ""&amp;""https://www.google.com/maps/search"&amp;"/?api=1&amp;query=""&amp;SUBSTITUTE(F1395,"" "",""""))),"""")"),"")</f>
        <v/>
      </c>
      <c r="M1395" s="5" t="str">
        <f t="shared" si="6"/>
        <v/>
      </c>
      <c r="N1395" s="5" t="str">
        <f>IFERROR(__xludf.DUMMYFUNCTION("IF(AND(F1395&lt;&gt;"""",REGEXMATCH(SUBSTITUTE(F1395,"" "",""""),""^-?\d+(\.\d+)?,-?\d+(\.\d+)?$""),VALUE(REGEXEXTRACT(SUBSTITUTE(F1395,"" "",""""),""^-?\d+(\.\d+)?""))&gt;=-90,VALUE(REGEXEXTRACT(SUBSTITUTE(F1395,"" "",""""),""^-?\d+(\.\d+)?""))&lt;=90,VALUE(REGEXEXT"&amp;"RACT(SUBSTITUTE(F1395,"" "",""""),""-?\d+(\.\d+)?$""))&gt;=-180,VALUE(REGEXEXTRACT(SUBSTITUTE(F1395,"" "",""""),""-?\d+(\.\d+)?$""))&lt;=180),""OK"",""REVISAR"")"),"#N/A")</f>
        <v>#N/A</v>
      </c>
    </row>
    <row r="1396" ht="15.75" customHeight="1">
      <c r="A1396" s="5" t="str">
        <f t="shared" si="1"/>
        <v>AD507-1394</v>
      </c>
      <c r="C1396" s="5"/>
      <c r="F1396" s="5"/>
      <c r="G1396" s="5" t="str">
        <f t="shared" si="2"/>
        <v/>
      </c>
      <c r="H1396" s="5" t="str">
        <f t="shared" si="3"/>
        <v/>
      </c>
      <c r="I1396" s="5" t="str">
        <f t="shared" si="4"/>
        <v/>
      </c>
      <c r="J1396" s="5" t="str">
        <f t="shared" si="5"/>
        <v/>
      </c>
      <c r="K1396" s="5" t="str">
        <f>IFERROR(__xludf.DUMMYFUNCTION("IF(C1396&lt;&gt;"""",HYPERLINK(""https://wa.me/507""&amp;REGEXREPLACE(C1396,""[^0-9]"","""")&amp;""?text=""&amp;ENCODEURL(""Ya llegue. Codigo: ""&amp;A1396&amp;"". Ubicacion: ""&amp;""https://www.google.com/maps/search/?api=1&amp;query=""&amp;SUBSTITUTE(F1396,"" "","""")),""📲 Avisar al clien"&amp;"te""),"""")"),"")</f>
        <v/>
      </c>
      <c r="L1396" s="5" t="str">
        <f>IFERROR(__xludf.DUMMYFUNCTION("IF(C1396&lt;&gt;"""",""https://api.qrserver.com/v1/create-qr-code/?size=200x200&amp;data=""&amp;ENCODEURL(""https://wa.me/507""&amp;REGEXREPLACE(C1396,""[^0-9]"","""")&amp;""?text=""&amp;ENCODEURL(""Ya llegue. Codigo: ""&amp;A1396&amp;"". Ubicacion: ""&amp;""https://www.google.com/maps/search"&amp;"/?api=1&amp;query=""&amp;SUBSTITUTE(F1396,"" "",""""))),"""")"),"")</f>
        <v/>
      </c>
      <c r="M1396" s="5" t="str">
        <f t="shared" si="6"/>
        <v/>
      </c>
      <c r="N1396" s="5" t="str">
        <f>IFERROR(__xludf.DUMMYFUNCTION("IF(AND(F1396&lt;&gt;"""",REGEXMATCH(SUBSTITUTE(F1396,"" "",""""),""^-?\d+(\.\d+)?,-?\d+(\.\d+)?$""),VALUE(REGEXEXTRACT(SUBSTITUTE(F1396,"" "",""""),""^-?\d+(\.\d+)?""))&gt;=-90,VALUE(REGEXEXTRACT(SUBSTITUTE(F1396,"" "",""""),""^-?\d+(\.\d+)?""))&lt;=90,VALUE(REGEXEXT"&amp;"RACT(SUBSTITUTE(F1396,"" "",""""),""-?\d+(\.\d+)?$""))&gt;=-180,VALUE(REGEXEXTRACT(SUBSTITUTE(F1396,"" "",""""),""-?\d+(\.\d+)?$""))&lt;=180),""OK"",""REVISAR"")"),"#N/A")</f>
        <v>#N/A</v>
      </c>
    </row>
    <row r="1397" ht="15.75" customHeight="1">
      <c r="A1397" s="5" t="str">
        <f t="shared" si="1"/>
        <v>AD507-1395</v>
      </c>
      <c r="C1397" s="5"/>
      <c r="F1397" s="5"/>
      <c r="G1397" s="5" t="str">
        <f t="shared" si="2"/>
        <v/>
      </c>
      <c r="H1397" s="5" t="str">
        <f t="shared" si="3"/>
        <v/>
      </c>
      <c r="I1397" s="5" t="str">
        <f t="shared" si="4"/>
        <v/>
      </c>
      <c r="J1397" s="5" t="str">
        <f t="shared" si="5"/>
        <v/>
      </c>
      <c r="K1397" s="5" t="str">
        <f>IFERROR(__xludf.DUMMYFUNCTION("IF(C1397&lt;&gt;"""",HYPERLINK(""https://wa.me/507""&amp;REGEXREPLACE(C1397,""[^0-9]"","""")&amp;""?text=""&amp;ENCODEURL(""Ya llegue. Codigo: ""&amp;A1397&amp;"". Ubicacion: ""&amp;""https://www.google.com/maps/search/?api=1&amp;query=""&amp;SUBSTITUTE(F1397,"" "","""")),""📲 Avisar al clien"&amp;"te""),"""")"),"")</f>
        <v/>
      </c>
      <c r="L1397" s="5" t="str">
        <f>IFERROR(__xludf.DUMMYFUNCTION("IF(C1397&lt;&gt;"""",""https://api.qrserver.com/v1/create-qr-code/?size=200x200&amp;data=""&amp;ENCODEURL(""https://wa.me/507""&amp;REGEXREPLACE(C1397,""[^0-9]"","""")&amp;""?text=""&amp;ENCODEURL(""Ya llegue. Codigo: ""&amp;A1397&amp;"". Ubicacion: ""&amp;""https://www.google.com/maps/search"&amp;"/?api=1&amp;query=""&amp;SUBSTITUTE(F1397,"" "",""""))),"""")"),"")</f>
        <v/>
      </c>
      <c r="M1397" s="5" t="str">
        <f t="shared" si="6"/>
        <v/>
      </c>
      <c r="N1397" s="5" t="str">
        <f>IFERROR(__xludf.DUMMYFUNCTION("IF(AND(F1397&lt;&gt;"""",REGEXMATCH(SUBSTITUTE(F1397,"" "",""""),""^-?\d+(\.\d+)?,-?\d+(\.\d+)?$""),VALUE(REGEXEXTRACT(SUBSTITUTE(F1397,"" "",""""),""^-?\d+(\.\d+)?""))&gt;=-90,VALUE(REGEXEXTRACT(SUBSTITUTE(F1397,"" "",""""),""^-?\d+(\.\d+)?""))&lt;=90,VALUE(REGEXEXT"&amp;"RACT(SUBSTITUTE(F1397,"" "",""""),""-?\d+(\.\d+)?$""))&gt;=-180,VALUE(REGEXEXTRACT(SUBSTITUTE(F1397,"" "",""""),""-?\d+(\.\d+)?$""))&lt;=180),""OK"",""REVISAR"")"),"#N/A")</f>
        <v>#N/A</v>
      </c>
    </row>
    <row r="1398" ht="15.75" customHeight="1">
      <c r="A1398" s="5" t="str">
        <f t="shared" si="1"/>
        <v>AD507-1396</v>
      </c>
      <c r="C1398" s="5"/>
      <c r="F1398" s="5"/>
      <c r="G1398" s="5" t="str">
        <f t="shared" si="2"/>
        <v/>
      </c>
      <c r="H1398" s="5" t="str">
        <f t="shared" si="3"/>
        <v/>
      </c>
      <c r="I1398" s="5" t="str">
        <f t="shared" si="4"/>
        <v/>
      </c>
      <c r="J1398" s="5" t="str">
        <f t="shared" si="5"/>
        <v/>
      </c>
      <c r="K1398" s="5" t="str">
        <f>IFERROR(__xludf.DUMMYFUNCTION("IF(C1398&lt;&gt;"""",HYPERLINK(""https://wa.me/507""&amp;REGEXREPLACE(C1398,""[^0-9]"","""")&amp;""?text=""&amp;ENCODEURL(""Ya llegue. Codigo: ""&amp;A1398&amp;"". Ubicacion: ""&amp;""https://www.google.com/maps/search/?api=1&amp;query=""&amp;SUBSTITUTE(F1398,"" "","""")),""📲 Avisar al clien"&amp;"te""),"""")"),"")</f>
        <v/>
      </c>
      <c r="L1398" s="5" t="str">
        <f>IFERROR(__xludf.DUMMYFUNCTION("IF(C1398&lt;&gt;"""",""https://api.qrserver.com/v1/create-qr-code/?size=200x200&amp;data=""&amp;ENCODEURL(""https://wa.me/507""&amp;REGEXREPLACE(C1398,""[^0-9]"","""")&amp;""?text=""&amp;ENCODEURL(""Ya llegue. Codigo: ""&amp;A1398&amp;"". Ubicacion: ""&amp;""https://www.google.com/maps/search"&amp;"/?api=1&amp;query=""&amp;SUBSTITUTE(F1398,"" "",""""))),"""")"),"")</f>
        <v/>
      </c>
      <c r="M1398" s="5" t="str">
        <f t="shared" si="6"/>
        <v/>
      </c>
      <c r="N1398" s="5" t="str">
        <f>IFERROR(__xludf.DUMMYFUNCTION("IF(AND(F1398&lt;&gt;"""",REGEXMATCH(SUBSTITUTE(F1398,"" "",""""),""^-?\d+(\.\d+)?,-?\d+(\.\d+)?$""),VALUE(REGEXEXTRACT(SUBSTITUTE(F1398,"" "",""""),""^-?\d+(\.\d+)?""))&gt;=-90,VALUE(REGEXEXTRACT(SUBSTITUTE(F1398,"" "",""""),""^-?\d+(\.\d+)?""))&lt;=90,VALUE(REGEXEXT"&amp;"RACT(SUBSTITUTE(F1398,"" "",""""),""-?\d+(\.\d+)?$""))&gt;=-180,VALUE(REGEXEXTRACT(SUBSTITUTE(F1398,"" "",""""),""-?\d+(\.\d+)?$""))&lt;=180),""OK"",""REVISAR"")"),"#N/A")</f>
        <v>#N/A</v>
      </c>
    </row>
    <row r="1399" ht="15.75" customHeight="1">
      <c r="A1399" s="5" t="str">
        <f t="shared" si="1"/>
        <v>AD507-1397</v>
      </c>
      <c r="C1399" s="5"/>
      <c r="F1399" s="5"/>
      <c r="G1399" s="5" t="str">
        <f t="shared" si="2"/>
        <v/>
      </c>
      <c r="H1399" s="5" t="str">
        <f t="shared" si="3"/>
        <v/>
      </c>
      <c r="I1399" s="5" t="str">
        <f t="shared" si="4"/>
        <v/>
      </c>
      <c r="J1399" s="5" t="str">
        <f t="shared" si="5"/>
        <v/>
      </c>
      <c r="K1399" s="5" t="str">
        <f>IFERROR(__xludf.DUMMYFUNCTION("IF(C1399&lt;&gt;"""",HYPERLINK(""https://wa.me/507""&amp;REGEXREPLACE(C1399,""[^0-9]"","""")&amp;""?text=""&amp;ENCODEURL(""Ya llegue. Codigo: ""&amp;A1399&amp;"". Ubicacion: ""&amp;""https://www.google.com/maps/search/?api=1&amp;query=""&amp;SUBSTITUTE(F1399,"" "","""")),""📲 Avisar al clien"&amp;"te""),"""")"),"")</f>
        <v/>
      </c>
      <c r="L1399" s="5" t="str">
        <f>IFERROR(__xludf.DUMMYFUNCTION("IF(C1399&lt;&gt;"""",""https://api.qrserver.com/v1/create-qr-code/?size=200x200&amp;data=""&amp;ENCODEURL(""https://wa.me/507""&amp;REGEXREPLACE(C1399,""[^0-9]"","""")&amp;""?text=""&amp;ENCODEURL(""Ya llegue. Codigo: ""&amp;A1399&amp;"". Ubicacion: ""&amp;""https://www.google.com/maps/search"&amp;"/?api=1&amp;query=""&amp;SUBSTITUTE(F1399,"" "",""""))),"""")"),"")</f>
        <v/>
      </c>
      <c r="M1399" s="5" t="str">
        <f t="shared" si="6"/>
        <v/>
      </c>
      <c r="N1399" s="5" t="str">
        <f>IFERROR(__xludf.DUMMYFUNCTION("IF(AND(F1399&lt;&gt;"""",REGEXMATCH(SUBSTITUTE(F1399,"" "",""""),""^-?\d+(\.\d+)?,-?\d+(\.\d+)?$""),VALUE(REGEXEXTRACT(SUBSTITUTE(F1399,"" "",""""),""^-?\d+(\.\d+)?""))&gt;=-90,VALUE(REGEXEXTRACT(SUBSTITUTE(F1399,"" "",""""),""^-?\d+(\.\d+)?""))&lt;=90,VALUE(REGEXEXT"&amp;"RACT(SUBSTITUTE(F1399,"" "",""""),""-?\d+(\.\d+)?$""))&gt;=-180,VALUE(REGEXEXTRACT(SUBSTITUTE(F1399,"" "",""""),""-?\d+(\.\d+)?$""))&lt;=180),""OK"",""REVISAR"")"),"#N/A")</f>
        <v>#N/A</v>
      </c>
    </row>
    <row r="1400" ht="15.75" customHeight="1">
      <c r="A1400" s="5" t="str">
        <f t="shared" si="1"/>
        <v>AD507-1398</v>
      </c>
      <c r="C1400" s="5"/>
      <c r="F1400" s="5"/>
      <c r="G1400" s="5" t="str">
        <f t="shared" si="2"/>
        <v/>
      </c>
      <c r="H1400" s="5" t="str">
        <f t="shared" si="3"/>
        <v/>
      </c>
      <c r="I1400" s="5" t="str">
        <f t="shared" si="4"/>
        <v/>
      </c>
      <c r="J1400" s="5" t="str">
        <f t="shared" si="5"/>
        <v/>
      </c>
      <c r="K1400" s="5" t="str">
        <f>IFERROR(__xludf.DUMMYFUNCTION("IF(C1400&lt;&gt;"""",HYPERLINK(""https://wa.me/507""&amp;REGEXREPLACE(C1400,""[^0-9]"","""")&amp;""?text=""&amp;ENCODEURL(""Ya llegue. Codigo: ""&amp;A1400&amp;"". Ubicacion: ""&amp;""https://www.google.com/maps/search/?api=1&amp;query=""&amp;SUBSTITUTE(F1400,"" "","""")),""📲 Avisar al clien"&amp;"te""),"""")"),"")</f>
        <v/>
      </c>
      <c r="L1400" s="5" t="str">
        <f>IFERROR(__xludf.DUMMYFUNCTION("IF(C1400&lt;&gt;"""",""https://api.qrserver.com/v1/create-qr-code/?size=200x200&amp;data=""&amp;ENCODEURL(""https://wa.me/507""&amp;REGEXREPLACE(C1400,""[^0-9]"","""")&amp;""?text=""&amp;ENCODEURL(""Ya llegue. Codigo: ""&amp;A1400&amp;"". Ubicacion: ""&amp;""https://www.google.com/maps/search"&amp;"/?api=1&amp;query=""&amp;SUBSTITUTE(F1400,"" "",""""))),"""")"),"")</f>
        <v/>
      </c>
      <c r="M1400" s="5" t="str">
        <f t="shared" si="6"/>
        <v/>
      </c>
      <c r="N1400" s="5" t="str">
        <f>IFERROR(__xludf.DUMMYFUNCTION("IF(AND(F1400&lt;&gt;"""",REGEXMATCH(SUBSTITUTE(F1400,"" "",""""),""^-?\d+(\.\d+)?,-?\d+(\.\d+)?$""),VALUE(REGEXEXTRACT(SUBSTITUTE(F1400,"" "",""""),""^-?\d+(\.\d+)?""))&gt;=-90,VALUE(REGEXEXTRACT(SUBSTITUTE(F1400,"" "",""""),""^-?\d+(\.\d+)?""))&lt;=90,VALUE(REGEXEXT"&amp;"RACT(SUBSTITUTE(F1400,"" "",""""),""-?\d+(\.\d+)?$""))&gt;=-180,VALUE(REGEXEXTRACT(SUBSTITUTE(F1400,"" "",""""),""-?\d+(\.\d+)?$""))&lt;=180),""OK"",""REVISAR"")"),"#N/A")</f>
        <v>#N/A</v>
      </c>
    </row>
    <row r="1401" ht="15.75" customHeight="1">
      <c r="A1401" s="5" t="str">
        <f t="shared" si="1"/>
        <v>AD507-1399</v>
      </c>
      <c r="C1401" s="5"/>
      <c r="F1401" s="5"/>
      <c r="G1401" s="5" t="str">
        <f t="shared" si="2"/>
        <v/>
      </c>
      <c r="H1401" s="5" t="str">
        <f t="shared" si="3"/>
        <v/>
      </c>
      <c r="I1401" s="5" t="str">
        <f t="shared" si="4"/>
        <v/>
      </c>
      <c r="J1401" s="5" t="str">
        <f t="shared" si="5"/>
        <v/>
      </c>
      <c r="K1401" s="5" t="str">
        <f>IFERROR(__xludf.DUMMYFUNCTION("IF(C1401&lt;&gt;"""",HYPERLINK(""https://wa.me/507""&amp;REGEXREPLACE(C1401,""[^0-9]"","""")&amp;""?text=""&amp;ENCODEURL(""Ya llegue. Codigo: ""&amp;A1401&amp;"". Ubicacion: ""&amp;""https://www.google.com/maps/search/?api=1&amp;query=""&amp;SUBSTITUTE(F1401,"" "","""")),""📲 Avisar al clien"&amp;"te""),"""")"),"")</f>
        <v/>
      </c>
      <c r="L1401" s="5" t="str">
        <f>IFERROR(__xludf.DUMMYFUNCTION("IF(C1401&lt;&gt;"""",""https://api.qrserver.com/v1/create-qr-code/?size=200x200&amp;data=""&amp;ENCODEURL(""https://wa.me/507""&amp;REGEXREPLACE(C1401,""[^0-9]"","""")&amp;""?text=""&amp;ENCODEURL(""Ya llegue. Codigo: ""&amp;A1401&amp;"". Ubicacion: ""&amp;""https://www.google.com/maps/search"&amp;"/?api=1&amp;query=""&amp;SUBSTITUTE(F1401,"" "",""""))),"""")"),"")</f>
        <v/>
      </c>
      <c r="M1401" s="5" t="str">
        <f t="shared" si="6"/>
        <v/>
      </c>
      <c r="N1401" s="5" t="str">
        <f>IFERROR(__xludf.DUMMYFUNCTION("IF(AND(F1401&lt;&gt;"""",REGEXMATCH(SUBSTITUTE(F1401,"" "",""""),""^-?\d+(\.\d+)?,-?\d+(\.\d+)?$""),VALUE(REGEXEXTRACT(SUBSTITUTE(F1401,"" "",""""),""^-?\d+(\.\d+)?""))&gt;=-90,VALUE(REGEXEXTRACT(SUBSTITUTE(F1401,"" "",""""),""^-?\d+(\.\d+)?""))&lt;=90,VALUE(REGEXEXT"&amp;"RACT(SUBSTITUTE(F1401,"" "",""""),""-?\d+(\.\d+)?$""))&gt;=-180,VALUE(REGEXEXTRACT(SUBSTITUTE(F1401,"" "",""""),""-?\d+(\.\d+)?$""))&lt;=180),""OK"",""REVISAR"")"),"#N/A")</f>
        <v>#N/A</v>
      </c>
    </row>
    <row r="1402" ht="15.75" customHeight="1">
      <c r="A1402" s="5" t="str">
        <f t="shared" si="1"/>
        <v>AD507-1400</v>
      </c>
      <c r="C1402" s="5"/>
      <c r="F1402" s="5"/>
      <c r="G1402" s="5" t="str">
        <f t="shared" si="2"/>
        <v/>
      </c>
      <c r="H1402" s="5" t="str">
        <f t="shared" si="3"/>
        <v/>
      </c>
      <c r="I1402" s="5" t="str">
        <f t="shared" si="4"/>
        <v/>
      </c>
      <c r="J1402" s="5" t="str">
        <f t="shared" si="5"/>
        <v/>
      </c>
      <c r="K1402" s="5" t="str">
        <f>IFERROR(__xludf.DUMMYFUNCTION("IF(C1402&lt;&gt;"""",HYPERLINK(""https://wa.me/507""&amp;REGEXREPLACE(C1402,""[^0-9]"","""")&amp;""?text=""&amp;ENCODEURL(""Ya llegue. Codigo: ""&amp;A1402&amp;"". Ubicacion: ""&amp;""https://www.google.com/maps/search/?api=1&amp;query=""&amp;SUBSTITUTE(F1402,"" "","""")),""📲 Avisar al clien"&amp;"te""),"""")"),"")</f>
        <v/>
      </c>
      <c r="L1402" s="5" t="str">
        <f>IFERROR(__xludf.DUMMYFUNCTION("IF(C1402&lt;&gt;"""",""https://api.qrserver.com/v1/create-qr-code/?size=200x200&amp;data=""&amp;ENCODEURL(""https://wa.me/507""&amp;REGEXREPLACE(C1402,""[^0-9]"","""")&amp;""?text=""&amp;ENCODEURL(""Ya llegue. Codigo: ""&amp;A1402&amp;"". Ubicacion: ""&amp;""https://www.google.com/maps/search"&amp;"/?api=1&amp;query=""&amp;SUBSTITUTE(F1402,"" "",""""))),"""")"),"")</f>
        <v/>
      </c>
      <c r="M1402" s="5" t="str">
        <f t="shared" si="6"/>
        <v/>
      </c>
      <c r="N1402" s="5" t="str">
        <f>IFERROR(__xludf.DUMMYFUNCTION("IF(AND(F1402&lt;&gt;"""",REGEXMATCH(SUBSTITUTE(F1402,"" "",""""),""^-?\d+(\.\d+)?,-?\d+(\.\d+)?$""),VALUE(REGEXEXTRACT(SUBSTITUTE(F1402,"" "",""""),""^-?\d+(\.\d+)?""))&gt;=-90,VALUE(REGEXEXTRACT(SUBSTITUTE(F1402,"" "",""""),""^-?\d+(\.\d+)?""))&lt;=90,VALUE(REGEXEXT"&amp;"RACT(SUBSTITUTE(F1402,"" "",""""),""-?\d+(\.\d+)?$""))&gt;=-180,VALUE(REGEXEXTRACT(SUBSTITUTE(F1402,"" "",""""),""-?\d+(\.\d+)?$""))&lt;=180),""OK"",""REVISAR"")"),"#N/A")</f>
        <v>#N/A</v>
      </c>
    </row>
    <row r="1403" ht="15.75" customHeight="1">
      <c r="A1403" s="5" t="str">
        <f t="shared" si="1"/>
        <v>AD507-1401</v>
      </c>
      <c r="C1403" s="5"/>
      <c r="F1403" s="5"/>
      <c r="G1403" s="5" t="str">
        <f t="shared" si="2"/>
        <v/>
      </c>
      <c r="H1403" s="5" t="str">
        <f t="shared" si="3"/>
        <v/>
      </c>
      <c r="I1403" s="5" t="str">
        <f t="shared" si="4"/>
        <v/>
      </c>
      <c r="J1403" s="5" t="str">
        <f t="shared" si="5"/>
        <v/>
      </c>
      <c r="K1403" s="5" t="str">
        <f>IFERROR(__xludf.DUMMYFUNCTION("IF(C1403&lt;&gt;"""",HYPERLINK(""https://wa.me/507""&amp;REGEXREPLACE(C1403,""[^0-9]"","""")&amp;""?text=""&amp;ENCODEURL(""Ya llegue. Codigo: ""&amp;A1403&amp;"". Ubicacion: ""&amp;""https://www.google.com/maps/search/?api=1&amp;query=""&amp;SUBSTITUTE(F1403,"" "","""")),""📲 Avisar al clien"&amp;"te""),"""")"),"")</f>
        <v/>
      </c>
      <c r="L1403" s="5" t="str">
        <f>IFERROR(__xludf.DUMMYFUNCTION("IF(C1403&lt;&gt;"""",""https://api.qrserver.com/v1/create-qr-code/?size=200x200&amp;data=""&amp;ENCODEURL(""https://wa.me/507""&amp;REGEXREPLACE(C1403,""[^0-9]"","""")&amp;""?text=""&amp;ENCODEURL(""Ya llegue. Codigo: ""&amp;A1403&amp;"". Ubicacion: ""&amp;""https://www.google.com/maps/search"&amp;"/?api=1&amp;query=""&amp;SUBSTITUTE(F1403,"" "",""""))),"""")"),"")</f>
        <v/>
      </c>
      <c r="M1403" s="5" t="str">
        <f t="shared" si="6"/>
        <v/>
      </c>
      <c r="N1403" s="5" t="str">
        <f>IFERROR(__xludf.DUMMYFUNCTION("IF(AND(F1403&lt;&gt;"""",REGEXMATCH(SUBSTITUTE(F1403,"" "",""""),""^-?\d+(\.\d+)?,-?\d+(\.\d+)?$""),VALUE(REGEXEXTRACT(SUBSTITUTE(F1403,"" "",""""),""^-?\d+(\.\d+)?""))&gt;=-90,VALUE(REGEXEXTRACT(SUBSTITUTE(F1403,"" "",""""),""^-?\d+(\.\d+)?""))&lt;=90,VALUE(REGEXEXT"&amp;"RACT(SUBSTITUTE(F1403,"" "",""""),""-?\d+(\.\d+)?$""))&gt;=-180,VALUE(REGEXEXTRACT(SUBSTITUTE(F1403,"" "",""""),""-?\d+(\.\d+)?$""))&lt;=180),""OK"",""REVISAR"")"),"#N/A")</f>
        <v>#N/A</v>
      </c>
    </row>
    <row r="1404" ht="15.75" customHeight="1">
      <c r="A1404" s="5" t="str">
        <f t="shared" si="1"/>
        <v>AD507-1402</v>
      </c>
      <c r="C1404" s="5"/>
      <c r="F1404" s="5"/>
      <c r="G1404" s="5" t="str">
        <f t="shared" si="2"/>
        <v/>
      </c>
      <c r="H1404" s="5" t="str">
        <f t="shared" si="3"/>
        <v/>
      </c>
      <c r="I1404" s="5" t="str">
        <f t="shared" si="4"/>
        <v/>
      </c>
      <c r="J1404" s="5" t="str">
        <f t="shared" si="5"/>
        <v/>
      </c>
      <c r="K1404" s="5" t="str">
        <f>IFERROR(__xludf.DUMMYFUNCTION("IF(C1404&lt;&gt;"""",HYPERLINK(""https://wa.me/507""&amp;REGEXREPLACE(C1404,""[^0-9]"","""")&amp;""?text=""&amp;ENCODEURL(""Ya llegue. Codigo: ""&amp;A1404&amp;"". Ubicacion: ""&amp;""https://www.google.com/maps/search/?api=1&amp;query=""&amp;SUBSTITUTE(F1404,"" "","""")),""📲 Avisar al clien"&amp;"te""),"""")"),"")</f>
        <v/>
      </c>
      <c r="L1404" s="5" t="str">
        <f>IFERROR(__xludf.DUMMYFUNCTION("IF(C1404&lt;&gt;"""",""https://api.qrserver.com/v1/create-qr-code/?size=200x200&amp;data=""&amp;ENCODEURL(""https://wa.me/507""&amp;REGEXREPLACE(C1404,""[^0-9]"","""")&amp;""?text=""&amp;ENCODEURL(""Ya llegue. Codigo: ""&amp;A1404&amp;"". Ubicacion: ""&amp;""https://www.google.com/maps/search"&amp;"/?api=1&amp;query=""&amp;SUBSTITUTE(F1404,"" "",""""))),"""")"),"")</f>
        <v/>
      </c>
      <c r="M1404" s="5" t="str">
        <f t="shared" si="6"/>
        <v/>
      </c>
      <c r="N1404" s="5" t="str">
        <f>IFERROR(__xludf.DUMMYFUNCTION("IF(AND(F1404&lt;&gt;"""",REGEXMATCH(SUBSTITUTE(F1404,"" "",""""),""^-?\d+(\.\d+)?,-?\d+(\.\d+)?$""),VALUE(REGEXEXTRACT(SUBSTITUTE(F1404,"" "",""""),""^-?\d+(\.\d+)?""))&gt;=-90,VALUE(REGEXEXTRACT(SUBSTITUTE(F1404,"" "",""""),""^-?\d+(\.\d+)?""))&lt;=90,VALUE(REGEXEXT"&amp;"RACT(SUBSTITUTE(F1404,"" "",""""),""-?\d+(\.\d+)?$""))&gt;=-180,VALUE(REGEXEXTRACT(SUBSTITUTE(F1404,"" "",""""),""-?\d+(\.\d+)?$""))&lt;=180),""OK"",""REVISAR"")"),"#N/A")</f>
        <v>#N/A</v>
      </c>
    </row>
    <row r="1405" ht="15.75" customHeight="1">
      <c r="A1405" s="5" t="str">
        <f t="shared" si="1"/>
        <v>AD507-1403</v>
      </c>
      <c r="C1405" s="5"/>
      <c r="F1405" s="5"/>
      <c r="G1405" s="5" t="str">
        <f t="shared" si="2"/>
        <v/>
      </c>
      <c r="H1405" s="5" t="str">
        <f t="shared" si="3"/>
        <v/>
      </c>
      <c r="I1405" s="5" t="str">
        <f t="shared" si="4"/>
        <v/>
      </c>
      <c r="J1405" s="5" t="str">
        <f t="shared" si="5"/>
        <v/>
      </c>
      <c r="K1405" s="5" t="str">
        <f>IFERROR(__xludf.DUMMYFUNCTION("IF(C1405&lt;&gt;"""",HYPERLINK(""https://wa.me/507""&amp;REGEXREPLACE(C1405,""[^0-9]"","""")&amp;""?text=""&amp;ENCODEURL(""Ya llegue. Codigo: ""&amp;A1405&amp;"". Ubicacion: ""&amp;""https://www.google.com/maps/search/?api=1&amp;query=""&amp;SUBSTITUTE(F1405,"" "","""")),""📲 Avisar al clien"&amp;"te""),"""")"),"")</f>
        <v/>
      </c>
      <c r="L1405" s="5" t="str">
        <f>IFERROR(__xludf.DUMMYFUNCTION("IF(C1405&lt;&gt;"""",""https://api.qrserver.com/v1/create-qr-code/?size=200x200&amp;data=""&amp;ENCODEURL(""https://wa.me/507""&amp;REGEXREPLACE(C1405,""[^0-9]"","""")&amp;""?text=""&amp;ENCODEURL(""Ya llegue. Codigo: ""&amp;A1405&amp;"". Ubicacion: ""&amp;""https://www.google.com/maps/search"&amp;"/?api=1&amp;query=""&amp;SUBSTITUTE(F1405,"" "",""""))),"""")"),"")</f>
        <v/>
      </c>
      <c r="M1405" s="5" t="str">
        <f t="shared" si="6"/>
        <v/>
      </c>
      <c r="N1405" s="5" t="str">
        <f>IFERROR(__xludf.DUMMYFUNCTION("IF(AND(F1405&lt;&gt;"""",REGEXMATCH(SUBSTITUTE(F1405,"" "",""""),""^-?\d+(\.\d+)?,-?\d+(\.\d+)?$""),VALUE(REGEXEXTRACT(SUBSTITUTE(F1405,"" "",""""),""^-?\d+(\.\d+)?""))&gt;=-90,VALUE(REGEXEXTRACT(SUBSTITUTE(F1405,"" "",""""),""^-?\d+(\.\d+)?""))&lt;=90,VALUE(REGEXEXT"&amp;"RACT(SUBSTITUTE(F1405,"" "",""""),""-?\d+(\.\d+)?$""))&gt;=-180,VALUE(REGEXEXTRACT(SUBSTITUTE(F1405,"" "",""""),""-?\d+(\.\d+)?$""))&lt;=180),""OK"",""REVISAR"")"),"#N/A")</f>
        <v>#N/A</v>
      </c>
    </row>
    <row r="1406" ht="15.75" customHeight="1">
      <c r="A1406" s="5" t="str">
        <f t="shared" si="1"/>
        <v>AD507-1404</v>
      </c>
      <c r="C1406" s="5"/>
      <c r="F1406" s="5"/>
      <c r="G1406" s="5" t="str">
        <f t="shared" si="2"/>
        <v/>
      </c>
      <c r="H1406" s="5" t="str">
        <f t="shared" si="3"/>
        <v/>
      </c>
      <c r="I1406" s="5" t="str">
        <f t="shared" si="4"/>
        <v/>
      </c>
      <c r="J1406" s="5" t="str">
        <f t="shared" si="5"/>
        <v/>
      </c>
      <c r="K1406" s="5" t="str">
        <f>IFERROR(__xludf.DUMMYFUNCTION("IF(C1406&lt;&gt;"""",HYPERLINK(""https://wa.me/507""&amp;REGEXREPLACE(C1406,""[^0-9]"","""")&amp;""?text=""&amp;ENCODEURL(""Ya llegue. Codigo: ""&amp;A1406&amp;"". Ubicacion: ""&amp;""https://www.google.com/maps/search/?api=1&amp;query=""&amp;SUBSTITUTE(F1406,"" "","""")),""📲 Avisar al clien"&amp;"te""),"""")"),"")</f>
        <v/>
      </c>
      <c r="L1406" s="5" t="str">
        <f>IFERROR(__xludf.DUMMYFUNCTION("IF(C1406&lt;&gt;"""",""https://api.qrserver.com/v1/create-qr-code/?size=200x200&amp;data=""&amp;ENCODEURL(""https://wa.me/507""&amp;REGEXREPLACE(C1406,""[^0-9]"","""")&amp;""?text=""&amp;ENCODEURL(""Ya llegue. Codigo: ""&amp;A1406&amp;"". Ubicacion: ""&amp;""https://www.google.com/maps/search"&amp;"/?api=1&amp;query=""&amp;SUBSTITUTE(F1406,"" "",""""))),"""")"),"")</f>
        <v/>
      </c>
      <c r="M1406" s="5" t="str">
        <f t="shared" si="6"/>
        <v/>
      </c>
      <c r="N1406" s="5" t="str">
        <f>IFERROR(__xludf.DUMMYFUNCTION("IF(AND(F1406&lt;&gt;"""",REGEXMATCH(SUBSTITUTE(F1406,"" "",""""),""^-?\d+(\.\d+)?,-?\d+(\.\d+)?$""),VALUE(REGEXEXTRACT(SUBSTITUTE(F1406,"" "",""""),""^-?\d+(\.\d+)?""))&gt;=-90,VALUE(REGEXEXTRACT(SUBSTITUTE(F1406,"" "",""""),""^-?\d+(\.\d+)?""))&lt;=90,VALUE(REGEXEXT"&amp;"RACT(SUBSTITUTE(F1406,"" "",""""),""-?\d+(\.\d+)?$""))&gt;=-180,VALUE(REGEXEXTRACT(SUBSTITUTE(F1406,"" "",""""),""-?\d+(\.\d+)?$""))&lt;=180),""OK"",""REVISAR"")"),"#N/A")</f>
        <v>#N/A</v>
      </c>
    </row>
    <row r="1407" ht="15.75" customHeight="1">
      <c r="A1407" s="5" t="str">
        <f t="shared" si="1"/>
        <v>AD507-1405</v>
      </c>
      <c r="C1407" s="5"/>
      <c r="F1407" s="5"/>
      <c r="G1407" s="5" t="str">
        <f t="shared" si="2"/>
        <v/>
      </c>
      <c r="H1407" s="5" t="str">
        <f t="shared" si="3"/>
        <v/>
      </c>
      <c r="I1407" s="5" t="str">
        <f t="shared" si="4"/>
        <v/>
      </c>
      <c r="J1407" s="5" t="str">
        <f t="shared" si="5"/>
        <v/>
      </c>
      <c r="K1407" s="5" t="str">
        <f>IFERROR(__xludf.DUMMYFUNCTION("IF(C1407&lt;&gt;"""",HYPERLINK(""https://wa.me/507""&amp;REGEXREPLACE(C1407,""[^0-9]"","""")&amp;""?text=""&amp;ENCODEURL(""Ya llegue. Codigo: ""&amp;A1407&amp;"". Ubicacion: ""&amp;""https://www.google.com/maps/search/?api=1&amp;query=""&amp;SUBSTITUTE(F1407,"" "","""")),""📲 Avisar al clien"&amp;"te""),"""")"),"")</f>
        <v/>
      </c>
      <c r="L1407" s="5" t="str">
        <f>IFERROR(__xludf.DUMMYFUNCTION("IF(C1407&lt;&gt;"""",""https://api.qrserver.com/v1/create-qr-code/?size=200x200&amp;data=""&amp;ENCODEURL(""https://wa.me/507""&amp;REGEXREPLACE(C1407,""[^0-9]"","""")&amp;""?text=""&amp;ENCODEURL(""Ya llegue. Codigo: ""&amp;A1407&amp;"". Ubicacion: ""&amp;""https://www.google.com/maps/search"&amp;"/?api=1&amp;query=""&amp;SUBSTITUTE(F1407,"" "",""""))),"""")"),"")</f>
        <v/>
      </c>
      <c r="M1407" s="5" t="str">
        <f t="shared" si="6"/>
        <v/>
      </c>
      <c r="N1407" s="5" t="str">
        <f>IFERROR(__xludf.DUMMYFUNCTION("IF(AND(F1407&lt;&gt;"""",REGEXMATCH(SUBSTITUTE(F1407,"" "",""""),""^-?\d+(\.\d+)?,-?\d+(\.\d+)?$""),VALUE(REGEXEXTRACT(SUBSTITUTE(F1407,"" "",""""),""^-?\d+(\.\d+)?""))&gt;=-90,VALUE(REGEXEXTRACT(SUBSTITUTE(F1407,"" "",""""),""^-?\d+(\.\d+)?""))&lt;=90,VALUE(REGEXEXT"&amp;"RACT(SUBSTITUTE(F1407,"" "",""""),""-?\d+(\.\d+)?$""))&gt;=-180,VALUE(REGEXEXTRACT(SUBSTITUTE(F1407,"" "",""""),""-?\d+(\.\d+)?$""))&lt;=180),""OK"",""REVISAR"")"),"#N/A")</f>
        <v>#N/A</v>
      </c>
    </row>
    <row r="1408" ht="15.75" customHeight="1">
      <c r="A1408" s="5" t="str">
        <f t="shared" si="1"/>
        <v>AD507-1406</v>
      </c>
      <c r="C1408" s="5"/>
      <c r="F1408" s="5"/>
      <c r="G1408" s="5" t="str">
        <f t="shared" si="2"/>
        <v/>
      </c>
      <c r="H1408" s="5" t="str">
        <f t="shared" si="3"/>
        <v/>
      </c>
      <c r="I1408" s="5" t="str">
        <f t="shared" si="4"/>
        <v/>
      </c>
      <c r="J1408" s="5" t="str">
        <f t="shared" si="5"/>
        <v/>
      </c>
      <c r="K1408" s="5" t="str">
        <f>IFERROR(__xludf.DUMMYFUNCTION("IF(C1408&lt;&gt;"""",HYPERLINK(""https://wa.me/507""&amp;REGEXREPLACE(C1408,""[^0-9]"","""")&amp;""?text=""&amp;ENCODEURL(""Ya llegue. Codigo: ""&amp;A1408&amp;"". Ubicacion: ""&amp;""https://www.google.com/maps/search/?api=1&amp;query=""&amp;SUBSTITUTE(F1408,"" "","""")),""📲 Avisar al clien"&amp;"te""),"""")"),"")</f>
        <v/>
      </c>
      <c r="L1408" s="5" t="str">
        <f>IFERROR(__xludf.DUMMYFUNCTION("IF(C1408&lt;&gt;"""",""https://api.qrserver.com/v1/create-qr-code/?size=200x200&amp;data=""&amp;ENCODEURL(""https://wa.me/507""&amp;REGEXREPLACE(C1408,""[^0-9]"","""")&amp;""?text=""&amp;ENCODEURL(""Ya llegue. Codigo: ""&amp;A1408&amp;"". Ubicacion: ""&amp;""https://www.google.com/maps/search"&amp;"/?api=1&amp;query=""&amp;SUBSTITUTE(F1408,"" "",""""))),"""")"),"")</f>
        <v/>
      </c>
      <c r="M1408" s="5" t="str">
        <f t="shared" si="6"/>
        <v/>
      </c>
      <c r="N1408" s="5" t="str">
        <f>IFERROR(__xludf.DUMMYFUNCTION("IF(AND(F1408&lt;&gt;"""",REGEXMATCH(SUBSTITUTE(F1408,"" "",""""),""^-?\d+(\.\d+)?,-?\d+(\.\d+)?$""),VALUE(REGEXEXTRACT(SUBSTITUTE(F1408,"" "",""""),""^-?\d+(\.\d+)?""))&gt;=-90,VALUE(REGEXEXTRACT(SUBSTITUTE(F1408,"" "",""""),""^-?\d+(\.\d+)?""))&lt;=90,VALUE(REGEXEXT"&amp;"RACT(SUBSTITUTE(F1408,"" "",""""),""-?\d+(\.\d+)?$""))&gt;=-180,VALUE(REGEXEXTRACT(SUBSTITUTE(F1408,"" "",""""),""-?\d+(\.\d+)?$""))&lt;=180),""OK"",""REVISAR"")"),"#N/A")</f>
        <v>#N/A</v>
      </c>
    </row>
    <row r="1409" ht="15.75" customHeight="1">
      <c r="A1409" s="5" t="str">
        <f t="shared" si="1"/>
        <v>AD507-1407</v>
      </c>
      <c r="C1409" s="5"/>
      <c r="F1409" s="5"/>
      <c r="G1409" s="5" t="str">
        <f t="shared" si="2"/>
        <v/>
      </c>
      <c r="H1409" s="5" t="str">
        <f t="shared" si="3"/>
        <v/>
      </c>
      <c r="I1409" s="5" t="str">
        <f t="shared" si="4"/>
        <v/>
      </c>
      <c r="J1409" s="5" t="str">
        <f t="shared" si="5"/>
        <v/>
      </c>
      <c r="K1409" s="5" t="str">
        <f>IFERROR(__xludf.DUMMYFUNCTION("IF(C1409&lt;&gt;"""",HYPERLINK(""https://wa.me/507""&amp;REGEXREPLACE(C1409,""[^0-9]"","""")&amp;""?text=""&amp;ENCODEURL(""Ya llegue. Codigo: ""&amp;A1409&amp;"". Ubicacion: ""&amp;""https://www.google.com/maps/search/?api=1&amp;query=""&amp;SUBSTITUTE(F1409,"" "","""")),""📲 Avisar al clien"&amp;"te""),"""")"),"")</f>
        <v/>
      </c>
      <c r="L1409" s="5" t="str">
        <f>IFERROR(__xludf.DUMMYFUNCTION("IF(C1409&lt;&gt;"""",""https://api.qrserver.com/v1/create-qr-code/?size=200x200&amp;data=""&amp;ENCODEURL(""https://wa.me/507""&amp;REGEXREPLACE(C1409,""[^0-9]"","""")&amp;""?text=""&amp;ENCODEURL(""Ya llegue. Codigo: ""&amp;A1409&amp;"". Ubicacion: ""&amp;""https://www.google.com/maps/search"&amp;"/?api=1&amp;query=""&amp;SUBSTITUTE(F1409,"" "",""""))),"""")"),"")</f>
        <v/>
      </c>
      <c r="M1409" s="5" t="str">
        <f t="shared" si="6"/>
        <v/>
      </c>
      <c r="N1409" s="5" t="str">
        <f>IFERROR(__xludf.DUMMYFUNCTION("IF(AND(F1409&lt;&gt;"""",REGEXMATCH(SUBSTITUTE(F1409,"" "",""""),""^-?\d+(\.\d+)?,-?\d+(\.\d+)?$""),VALUE(REGEXEXTRACT(SUBSTITUTE(F1409,"" "",""""),""^-?\d+(\.\d+)?""))&gt;=-90,VALUE(REGEXEXTRACT(SUBSTITUTE(F1409,"" "",""""),""^-?\d+(\.\d+)?""))&lt;=90,VALUE(REGEXEXT"&amp;"RACT(SUBSTITUTE(F1409,"" "",""""),""-?\d+(\.\d+)?$""))&gt;=-180,VALUE(REGEXEXTRACT(SUBSTITUTE(F1409,"" "",""""),""-?\d+(\.\d+)?$""))&lt;=180),""OK"",""REVISAR"")"),"#N/A")</f>
        <v>#N/A</v>
      </c>
    </row>
    <row r="1410" ht="15.75" customHeight="1">
      <c r="A1410" s="5" t="str">
        <f t="shared" si="1"/>
        <v>AD507-1408</v>
      </c>
      <c r="C1410" s="5"/>
      <c r="F1410" s="5"/>
      <c r="G1410" s="5" t="str">
        <f t="shared" si="2"/>
        <v/>
      </c>
      <c r="H1410" s="5" t="str">
        <f t="shared" si="3"/>
        <v/>
      </c>
      <c r="I1410" s="5" t="str">
        <f t="shared" si="4"/>
        <v/>
      </c>
      <c r="J1410" s="5" t="str">
        <f t="shared" si="5"/>
        <v/>
      </c>
      <c r="K1410" s="5" t="str">
        <f>IFERROR(__xludf.DUMMYFUNCTION("IF(C1410&lt;&gt;"""",HYPERLINK(""https://wa.me/507""&amp;REGEXREPLACE(C1410,""[^0-9]"","""")&amp;""?text=""&amp;ENCODEURL(""Ya llegue. Codigo: ""&amp;A1410&amp;"". Ubicacion: ""&amp;""https://www.google.com/maps/search/?api=1&amp;query=""&amp;SUBSTITUTE(F1410,"" "","""")),""📲 Avisar al clien"&amp;"te""),"""")"),"")</f>
        <v/>
      </c>
      <c r="L1410" s="5" t="str">
        <f>IFERROR(__xludf.DUMMYFUNCTION("IF(C1410&lt;&gt;"""",""https://api.qrserver.com/v1/create-qr-code/?size=200x200&amp;data=""&amp;ENCODEURL(""https://wa.me/507""&amp;REGEXREPLACE(C1410,""[^0-9]"","""")&amp;""?text=""&amp;ENCODEURL(""Ya llegue. Codigo: ""&amp;A1410&amp;"". Ubicacion: ""&amp;""https://www.google.com/maps/search"&amp;"/?api=1&amp;query=""&amp;SUBSTITUTE(F1410,"" "",""""))),"""")"),"")</f>
        <v/>
      </c>
      <c r="M1410" s="5" t="str">
        <f t="shared" si="6"/>
        <v/>
      </c>
      <c r="N1410" s="5" t="str">
        <f>IFERROR(__xludf.DUMMYFUNCTION("IF(AND(F1410&lt;&gt;"""",REGEXMATCH(SUBSTITUTE(F1410,"" "",""""),""^-?\d+(\.\d+)?,-?\d+(\.\d+)?$""),VALUE(REGEXEXTRACT(SUBSTITUTE(F1410,"" "",""""),""^-?\d+(\.\d+)?""))&gt;=-90,VALUE(REGEXEXTRACT(SUBSTITUTE(F1410,"" "",""""),""^-?\d+(\.\d+)?""))&lt;=90,VALUE(REGEXEXT"&amp;"RACT(SUBSTITUTE(F1410,"" "",""""),""-?\d+(\.\d+)?$""))&gt;=-180,VALUE(REGEXEXTRACT(SUBSTITUTE(F1410,"" "",""""),""-?\d+(\.\d+)?$""))&lt;=180),""OK"",""REVISAR"")"),"#N/A")</f>
        <v>#N/A</v>
      </c>
    </row>
    <row r="1411" ht="15.75" customHeight="1">
      <c r="A1411" s="5" t="str">
        <f t="shared" si="1"/>
        <v>AD507-1409</v>
      </c>
      <c r="C1411" s="5"/>
      <c r="F1411" s="5"/>
      <c r="G1411" s="5" t="str">
        <f t="shared" si="2"/>
        <v/>
      </c>
      <c r="H1411" s="5" t="str">
        <f t="shared" si="3"/>
        <v/>
      </c>
      <c r="I1411" s="5" t="str">
        <f t="shared" si="4"/>
        <v/>
      </c>
      <c r="J1411" s="5" t="str">
        <f t="shared" si="5"/>
        <v/>
      </c>
      <c r="K1411" s="5" t="str">
        <f>IFERROR(__xludf.DUMMYFUNCTION("IF(C1411&lt;&gt;"""",HYPERLINK(""https://wa.me/507""&amp;REGEXREPLACE(C1411,""[^0-9]"","""")&amp;""?text=""&amp;ENCODEURL(""Ya llegue. Codigo: ""&amp;A1411&amp;"". Ubicacion: ""&amp;""https://www.google.com/maps/search/?api=1&amp;query=""&amp;SUBSTITUTE(F1411,"" "","""")),""📲 Avisar al clien"&amp;"te""),"""")"),"")</f>
        <v/>
      </c>
      <c r="L1411" s="5" t="str">
        <f>IFERROR(__xludf.DUMMYFUNCTION("IF(C1411&lt;&gt;"""",""https://api.qrserver.com/v1/create-qr-code/?size=200x200&amp;data=""&amp;ENCODEURL(""https://wa.me/507""&amp;REGEXREPLACE(C1411,""[^0-9]"","""")&amp;""?text=""&amp;ENCODEURL(""Ya llegue. Codigo: ""&amp;A1411&amp;"". Ubicacion: ""&amp;""https://www.google.com/maps/search"&amp;"/?api=1&amp;query=""&amp;SUBSTITUTE(F1411,"" "",""""))),"""")"),"")</f>
        <v/>
      </c>
      <c r="M1411" s="5" t="str">
        <f t="shared" si="6"/>
        <v/>
      </c>
      <c r="N1411" s="5" t="str">
        <f>IFERROR(__xludf.DUMMYFUNCTION("IF(AND(F1411&lt;&gt;"""",REGEXMATCH(SUBSTITUTE(F1411,"" "",""""),""^-?\d+(\.\d+)?,-?\d+(\.\d+)?$""),VALUE(REGEXEXTRACT(SUBSTITUTE(F1411,"" "",""""),""^-?\d+(\.\d+)?""))&gt;=-90,VALUE(REGEXEXTRACT(SUBSTITUTE(F1411,"" "",""""),""^-?\d+(\.\d+)?""))&lt;=90,VALUE(REGEXEXT"&amp;"RACT(SUBSTITUTE(F1411,"" "",""""),""-?\d+(\.\d+)?$""))&gt;=-180,VALUE(REGEXEXTRACT(SUBSTITUTE(F1411,"" "",""""),""-?\d+(\.\d+)?$""))&lt;=180),""OK"",""REVISAR"")"),"#N/A")</f>
        <v>#N/A</v>
      </c>
    </row>
    <row r="1412" ht="15.75" customHeight="1">
      <c r="A1412" s="5" t="str">
        <f t="shared" si="1"/>
        <v>AD507-1410</v>
      </c>
      <c r="C1412" s="5"/>
      <c r="F1412" s="5"/>
      <c r="G1412" s="5" t="str">
        <f t="shared" si="2"/>
        <v/>
      </c>
      <c r="H1412" s="5" t="str">
        <f t="shared" si="3"/>
        <v/>
      </c>
      <c r="I1412" s="5" t="str">
        <f t="shared" si="4"/>
        <v/>
      </c>
      <c r="J1412" s="5" t="str">
        <f t="shared" si="5"/>
        <v/>
      </c>
      <c r="K1412" s="5" t="str">
        <f>IFERROR(__xludf.DUMMYFUNCTION("IF(C1412&lt;&gt;"""",HYPERLINK(""https://wa.me/507""&amp;REGEXREPLACE(C1412,""[^0-9]"","""")&amp;""?text=""&amp;ENCODEURL(""Ya llegue. Codigo: ""&amp;A1412&amp;"". Ubicacion: ""&amp;""https://www.google.com/maps/search/?api=1&amp;query=""&amp;SUBSTITUTE(F1412,"" "","""")),""📲 Avisar al clien"&amp;"te""),"""")"),"")</f>
        <v/>
      </c>
      <c r="L1412" s="5" t="str">
        <f>IFERROR(__xludf.DUMMYFUNCTION("IF(C1412&lt;&gt;"""",""https://api.qrserver.com/v1/create-qr-code/?size=200x200&amp;data=""&amp;ENCODEURL(""https://wa.me/507""&amp;REGEXREPLACE(C1412,""[^0-9]"","""")&amp;""?text=""&amp;ENCODEURL(""Ya llegue. Codigo: ""&amp;A1412&amp;"". Ubicacion: ""&amp;""https://www.google.com/maps/search"&amp;"/?api=1&amp;query=""&amp;SUBSTITUTE(F1412,"" "",""""))),"""")"),"")</f>
        <v/>
      </c>
      <c r="M1412" s="5" t="str">
        <f t="shared" si="6"/>
        <v/>
      </c>
      <c r="N1412" s="5" t="str">
        <f>IFERROR(__xludf.DUMMYFUNCTION("IF(AND(F1412&lt;&gt;"""",REGEXMATCH(SUBSTITUTE(F1412,"" "",""""),""^-?\d+(\.\d+)?,-?\d+(\.\d+)?$""),VALUE(REGEXEXTRACT(SUBSTITUTE(F1412,"" "",""""),""^-?\d+(\.\d+)?""))&gt;=-90,VALUE(REGEXEXTRACT(SUBSTITUTE(F1412,"" "",""""),""^-?\d+(\.\d+)?""))&lt;=90,VALUE(REGEXEXT"&amp;"RACT(SUBSTITUTE(F1412,"" "",""""),""-?\d+(\.\d+)?$""))&gt;=-180,VALUE(REGEXEXTRACT(SUBSTITUTE(F1412,"" "",""""),""-?\d+(\.\d+)?$""))&lt;=180),""OK"",""REVISAR"")"),"#N/A")</f>
        <v>#N/A</v>
      </c>
    </row>
    <row r="1413" ht="15.75" customHeight="1">
      <c r="A1413" s="5" t="str">
        <f t="shared" si="1"/>
        <v>AD507-1411</v>
      </c>
      <c r="C1413" s="5"/>
      <c r="F1413" s="5"/>
      <c r="G1413" s="5" t="str">
        <f t="shared" si="2"/>
        <v/>
      </c>
      <c r="H1413" s="5" t="str">
        <f t="shared" si="3"/>
        <v/>
      </c>
      <c r="I1413" s="5" t="str">
        <f t="shared" si="4"/>
        <v/>
      </c>
      <c r="J1413" s="5" t="str">
        <f t="shared" si="5"/>
        <v/>
      </c>
      <c r="K1413" s="5" t="str">
        <f>IFERROR(__xludf.DUMMYFUNCTION("IF(C1413&lt;&gt;"""",HYPERLINK(""https://wa.me/507""&amp;REGEXREPLACE(C1413,""[^0-9]"","""")&amp;""?text=""&amp;ENCODEURL(""Ya llegue. Codigo: ""&amp;A1413&amp;"". Ubicacion: ""&amp;""https://www.google.com/maps/search/?api=1&amp;query=""&amp;SUBSTITUTE(F1413,"" "","""")),""📲 Avisar al clien"&amp;"te""),"""")"),"")</f>
        <v/>
      </c>
      <c r="L1413" s="5" t="str">
        <f>IFERROR(__xludf.DUMMYFUNCTION("IF(C1413&lt;&gt;"""",""https://api.qrserver.com/v1/create-qr-code/?size=200x200&amp;data=""&amp;ENCODEURL(""https://wa.me/507""&amp;REGEXREPLACE(C1413,""[^0-9]"","""")&amp;""?text=""&amp;ENCODEURL(""Ya llegue. Codigo: ""&amp;A1413&amp;"". Ubicacion: ""&amp;""https://www.google.com/maps/search"&amp;"/?api=1&amp;query=""&amp;SUBSTITUTE(F1413,"" "",""""))),"""")"),"")</f>
        <v/>
      </c>
      <c r="M1413" s="5" t="str">
        <f t="shared" si="6"/>
        <v/>
      </c>
      <c r="N1413" s="5" t="str">
        <f>IFERROR(__xludf.DUMMYFUNCTION("IF(AND(F1413&lt;&gt;"""",REGEXMATCH(SUBSTITUTE(F1413,"" "",""""),""^-?\d+(\.\d+)?,-?\d+(\.\d+)?$""),VALUE(REGEXEXTRACT(SUBSTITUTE(F1413,"" "",""""),""^-?\d+(\.\d+)?""))&gt;=-90,VALUE(REGEXEXTRACT(SUBSTITUTE(F1413,"" "",""""),""^-?\d+(\.\d+)?""))&lt;=90,VALUE(REGEXEXT"&amp;"RACT(SUBSTITUTE(F1413,"" "",""""),""-?\d+(\.\d+)?$""))&gt;=-180,VALUE(REGEXEXTRACT(SUBSTITUTE(F1413,"" "",""""),""-?\d+(\.\d+)?$""))&lt;=180),""OK"",""REVISAR"")"),"#N/A")</f>
        <v>#N/A</v>
      </c>
    </row>
    <row r="1414" ht="15.75" customHeight="1">
      <c r="A1414" s="5" t="str">
        <f t="shared" si="1"/>
        <v>AD507-1412</v>
      </c>
      <c r="C1414" s="5"/>
      <c r="F1414" s="5"/>
      <c r="G1414" s="5" t="str">
        <f t="shared" si="2"/>
        <v/>
      </c>
      <c r="H1414" s="5" t="str">
        <f t="shared" si="3"/>
        <v/>
      </c>
      <c r="I1414" s="5" t="str">
        <f t="shared" si="4"/>
        <v/>
      </c>
      <c r="J1414" s="5" t="str">
        <f t="shared" si="5"/>
        <v/>
      </c>
      <c r="K1414" s="5" t="str">
        <f>IFERROR(__xludf.DUMMYFUNCTION("IF(C1414&lt;&gt;"""",HYPERLINK(""https://wa.me/507""&amp;REGEXREPLACE(C1414,""[^0-9]"","""")&amp;""?text=""&amp;ENCODEURL(""Ya llegue. Codigo: ""&amp;A1414&amp;"". Ubicacion: ""&amp;""https://www.google.com/maps/search/?api=1&amp;query=""&amp;SUBSTITUTE(F1414,"" "","""")),""📲 Avisar al clien"&amp;"te""),"""")"),"")</f>
        <v/>
      </c>
      <c r="L1414" s="5" t="str">
        <f>IFERROR(__xludf.DUMMYFUNCTION("IF(C1414&lt;&gt;"""",""https://api.qrserver.com/v1/create-qr-code/?size=200x200&amp;data=""&amp;ENCODEURL(""https://wa.me/507""&amp;REGEXREPLACE(C1414,""[^0-9]"","""")&amp;""?text=""&amp;ENCODEURL(""Ya llegue. Codigo: ""&amp;A1414&amp;"". Ubicacion: ""&amp;""https://www.google.com/maps/search"&amp;"/?api=1&amp;query=""&amp;SUBSTITUTE(F1414,"" "",""""))),"""")"),"")</f>
        <v/>
      </c>
      <c r="M1414" s="5" t="str">
        <f t="shared" si="6"/>
        <v/>
      </c>
      <c r="N1414" s="5" t="str">
        <f>IFERROR(__xludf.DUMMYFUNCTION("IF(AND(F1414&lt;&gt;"""",REGEXMATCH(SUBSTITUTE(F1414,"" "",""""),""^-?\d+(\.\d+)?,-?\d+(\.\d+)?$""),VALUE(REGEXEXTRACT(SUBSTITUTE(F1414,"" "",""""),""^-?\d+(\.\d+)?""))&gt;=-90,VALUE(REGEXEXTRACT(SUBSTITUTE(F1414,"" "",""""),""^-?\d+(\.\d+)?""))&lt;=90,VALUE(REGEXEXT"&amp;"RACT(SUBSTITUTE(F1414,"" "",""""),""-?\d+(\.\d+)?$""))&gt;=-180,VALUE(REGEXEXTRACT(SUBSTITUTE(F1414,"" "",""""),""-?\d+(\.\d+)?$""))&lt;=180),""OK"",""REVISAR"")"),"#N/A")</f>
        <v>#N/A</v>
      </c>
    </row>
    <row r="1415" ht="15.75" customHeight="1">
      <c r="A1415" s="5" t="str">
        <f t="shared" si="1"/>
        <v>AD507-1413</v>
      </c>
      <c r="C1415" s="5"/>
      <c r="F1415" s="5"/>
      <c r="G1415" s="5" t="str">
        <f t="shared" si="2"/>
        <v/>
      </c>
      <c r="H1415" s="5" t="str">
        <f t="shared" si="3"/>
        <v/>
      </c>
      <c r="I1415" s="5" t="str">
        <f t="shared" si="4"/>
        <v/>
      </c>
      <c r="J1415" s="5" t="str">
        <f t="shared" si="5"/>
        <v/>
      </c>
      <c r="K1415" s="5" t="str">
        <f>IFERROR(__xludf.DUMMYFUNCTION("IF(C1415&lt;&gt;"""",HYPERLINK(""https://wa.me/507""&amp;REGEXREPLACE(C1415,""[^0-9]"","""")&amp;""?text=""&amp;ENCODEURL(""Ya llegue. Codigo: ""&amp;A1415&amp;"". Ubicacion: ""&amp;""https://www.google.com/maps/search/?api=1&amp;query=""&amp;SUBSTITUTE(F1415,"" "","""")),""📲 Avisar al clien"&amp;"te""),"""")"),"")</f>
        <v/>
      </c>
      <c r="L1415" s="5" t="str">
        <f>IFERROR(__xludf.DUMMYFUNCTION("IF(C1415&lt;&gt;"""",""https://api.qrserver.com/v1/create-qr-code/?size=200x200&amp;data=""&amp;ENCODEURL(""https://wa.me/507""&amp;REGEXREPLACE(C1415,""[^0-9]"","""")&amp;""?text=""&amp;ENCODEURL(""Ya llegue. Codigo: ""&amp;A1415&amp;"". Ubicacion: ""&amp;""https://www.google.com/maps/search"&amp;"/?api=1&amp;query=""&amp;SUBSTITUTE(F1415,"" "",""""))),"""")"),"")</f>
        <v/>
      </c>
      <c r="M1415" s="5" t="str">
        <f t="shared" si="6"/>
        <v/>
      </c>
      <c r="N1415" s="5" t="str">
        <f>IFERROR(__xludf.DUMMYFUNCTION("IF(AND(F1415&lt;&gt;"""",REGEXMATCH(SUBSTITUTE(F1415,"" "",""""),""^-?\d+(\.\d+)?,-?\d+(\.\d+)?$""),VALUE(REGEXEXTRACT(SUBSTITUTE(F1415,"" "",""""),""^-?\d+(\.\d+)?""))&gt;=-90,VALUE(REGEXEXTRACT(SUBSTITUTE(F1415,"" "",""""),""^-?\d+(\.\d+)?""))&lt;=90,VALUE(REGEXEXT"&amp;"RACT(SUBSTITUTE(F1415,"" "",""""),""-?\d+(\.\d+)?$""))&gt;=-180,VALUE(REGEXEXTRACT(SUBSTITUTE(F1415,"" "",""""),""-?\d+(\.\d+)?$""))&lt;=180),""OK"",""REVISAR"")"),"#N/A")</f>
        <v>#N/A</v>
      </c>
    </row>
    <row r="1416" ht="15.75" customHeight="1">
      <c r="A1416" s="5" t="str">
        <f t="shared" si="1"/>
        <v>AD507-1414</v>
      </c>
      <c r="C1416" s="5"/>
      <c r="F1416" s="5"/>
      <c r="G1416" s="5" t="str">
        <f t="shared" si="2"/>
        <v/>
      </c>
      <c r="H1416" s="5" t="str">
        <f t="shared" si="3"/>
        <v/>
      </c>
      <c r="I1416" s="5" t="str">
        <f t="shared" si="4"/>
        <v/>
      </c>
      <c r="J1416" s="5" t="str">
        <f t="shared" si="5"/>
        <v/>
      </c>
      <c r="K1416" s="5" t="str">
        <f>IFERROR(__xludf.DUMMYFUNCTION("IF(C1416&lt;&gt;"""",HYPERLINK(""https://wa.me/507""&amp;REGEXREPLACE(C1416,""[^0-9]"","""")&amp;""?text=""&amp;ENCODEURL(""Ya llegue. Codigo: ""&amp;A1416&amp;"". Ubicacion: ""&amp;""https://www.google.com/maps/search/?api=1&amp;query=""&amp;SUBSTITUTE(F1416,"" "","""")),""📲 Avisar al clien"&amp;"te""),"""")"),"")</f>
        <v/>
      </c>
      <c r="L1416" s="5" t="str">
        <f>IFERROR(__xludf.DUMMYFUNCTION("IF(C1416&lt;&gt;"""",""https://api.qrserver.com/v1/create-qr-code/?size=200x200&amp;data=""&amp;ENCODEURL(""https://wa.me/507""&amp;REGEXREPLACE(C1416,""[^0-9]"","""")&amp;""?text=""&amp;ENCODEURL(""Ya llegue. Codigo: ""&amp;A1416&amp;"". Ubicacion: ""&amp;""https://www.google.com/maps/search"&amp;"/?api=1&amp;query=""&amp;SUBSTITUTE(F1416,"" "",""""))),"""")"),"")</f>
        <v/>
      </c>
      <c r="M1416" s="5" t="str">
        <f t="shared" si="6"/>
        <v/>
      </c>
      <c r="N1416" s="5" t="str">
        <f>IFERROR(__xludf.DUMMYFUNCTION("IF(AND(F1416&lt;&gt;"""",REGEXMATCH(SUBSTITUTE(F1416,"" "",""""),""^-?\d+(\.\d+)?,-?\d+(\.\d+)?$""),VALUE(REGEXEXTRACT(SUBSTITUTE(F1416,"" "",""""),""^-?\d+(\.\d+)?""))&gt;=-90,VALUE(REGEXEXTRACT(SUBSTITUTE(F1416,"" "",""""),""^-?\d+(\.\d+)?""))&lt;=90,VALUE(REGEXEXT"&amp;"RACT(SUBSTITUTE(F1416,"" "",""""),""-?\d+(\.\d+)?$""))&gt;=-180,VALUE(REGEXEXTRACT(SUBSTITUTE(F1416,"" "",""""),""-?\d+(\.\d+)?$""))&lt;=180),""OK"",""REVISAR"")"),"#N/A")</f>
        <v>#N/A</v>
      </c>
    </row>
    <row r="1417" ht="15.75" customHeight="1">
      <c r="A1417" s="5" t="str">
        <f t="shared" si="1"/>
        <v>AD507-1415</v>
      </c>
      <c r="C1417" s="5"/>
      <c r="F1417" s="5"/>
      <c r="G1417" s="5" t="str">
        <f t="shared" si="2"/>
        <v/>
      </c>
      <c r="H1417" s="5" t="str">
        <f t="shared" si="3"/>
        <v/>
      </c>
      <c r="I1417" s="5" t="str">
        <f t="shared" si="4"/>
        <v/>
      </c>
      <c r="J1417" s="5" t="str">
        <f t="shared" si="5"/>
        <v/>
      </c>
      <c r="K1417" s="5" t="str">
        <f>IFERROR(__xludf.DUMMYFUNCTION("IF(C1417&lt;&gt;"""",HYPERLINK(""https://wa.me/507""&amp;REGEXREPLACE(C1417,""[^0-9]"","""")&amp;""?text=""&amp;ENCODEURL(""Ya llegue. Codigo: ""&amp;A1417&amp;"". Ubicacion: ""&amp;""https://www.google.com/maps/search/?api=1&amp;query=""&amp;SUBSTITUTE(F1417,"" "","""")),""📲 Avisar al clien"&amp;"te""),"""")"),"")</f>
        <v/>
      </c>
      <c r="L1417" s="5" t="str">
        <f>IFERROR(__xludf.DUMMYFUNCTION("IF(C1417&lt;&gt;"""",""https://api.qrserver.com/v1/create-qr-code/?size=200x200&amp;data=""&amp;ENCODEURL(""https://wa.me/507""&amp;REGEXREPLACE(C1417,""[^0-9]"","""")&amp;""?text=""&amp;ENCODEURL(""Ya llegue. Codigo: ""&amp;A1417&amp;"". Ubicacion: ""&amp;""https://www.google.com/maps/search"&amp;"/?api=1&amp;query=""&amp;SUBSTITUTE(F1417,"" "",""""))),"""")"),"")</f>
        <v/>
      </c>
      <c r="M1417" s="5" t="str">
        <f t="shared" si="6"/>
        <v/>
      </c>
      <c r="N1417" s="5" t="str">
        <f>IFERROR(__xludf.DUMMYFUNCTION("IF(AND(F1417&lt;&gt;"""",REGEXMATCH(SUBSTITUTE(F1417,"" "",""""),""^-?\d+(\.\d+)?,-?\d+(\.\d+)?$""),VALUE(REGEXEXTRACT(SUBSTITUTE(F1417,"" "",""""),""^-?\d+(\.\d+)?""))&gt;=-90,VALUE(REGEXEXTRACT(SUBSTITUTE(F1417,"" "",""""),""^-?\d+(\.\d+)?""))&lt;=90,VALUE(REGEXEXT"&amp;"RACT(SUBSTITUTE(F1417,"" "",""""),""-?\d+(\.\d+)?$""))&gt;=-180,VALUE(REGEXEXTRACT(SUBSTITUTE(F1417,"" "",""""),""-?\d+(\.\d+)?$""))&lt;=180),""OK"",""REVISAR"")"),"#N/A")</f>
        <v>#N/A</v>
      </c>
    </row>
    <row r="1418" ht="15.75" customHeight="1">
      <c r="A1418" s="5" t="str">
        <f t="shared" si="1"/>
        <v>AD507-1416</v>
      </c>
      <c r="C1418" s="5"/>
      <c r="F1418" s="5"/>
      <c r="G1418" s="5" t="str">
        <f t="shared" si="2"/>
        <v/>
      </c>
      <c r="H1418" s="5" t="str">
        <f t="shared" si="3"/>
        <v/>
      </c>
      <c r="I1418" s="5" t="str">
        <f t="shared" si="4"/>
        <v/>
      </c>
      <c r="J1418" s="5" t="str">
        <f t="shared" si="5"/>
        <v/>
      </c>
      <c r="K1418" s="5" t="str">
        <f>IFERROR(__xludf.DUMMYFUNCTION("IF(C1418&lt;&gt;"""",HYPERLINK(""https://wa.me/507""&amp;REGEXREPLACE(C1418,""[^0-9]"","""")&amp;""?text=""&amp;ENCODEURL(""Ya llegue. Codigo: ""&amp;A1418&amp;"". Ubicacion: ""&amp;""https://www.google.com/maps/search/?api=1&amp;query=""&amp;SUBSTITUTE(F1418,"" "","""")),""📲 Avisar al clien"&amp;"te""),"""")"),"")</f>
        <v/>
      </c>
      <c r="L1418" s="5" t="str">
        <f>IFERROR(__xludf.DUMMYFUNCTION("IF(C1418&lt;&gt;"""",""https://api.qrserver.com/v1/create-qr-code/?size=200x200&amp;data=""&amp;ENCODEURL(""https://wa.me/507""&amp;REGEXREPLACE(C1418,""[^0-9]"","""")&amp;""?text=""&amp;ENCODEURL(""Ya llegue. Codigo: ""&amp;A1418&amp;"". Ubicacion: ""&amp;""https://www.google.com/maps/search"&amp;"/?api=1&amp;query=""&amp;SUBSTITUTE(F1418,"" "",""""))),"""")"),"")</f>
        <v/>
      </c>
      <c r="M1418" s="5" t="str">
        <f t="shared" si="6"/>
        <v/>
      </c>
      <c r="N1418" s="5" t="str">
        <f>IFERROR(__xludf.DUMMYFUNCTION("IF(AND(F1418&lt;&gt;"""",REGEXMATCH(SUBSTITUTE(F1418,"" "",""""),""^-?\d+(\.\d+)?,-?\d+(\.\d+)?$""),VALUE(REGEXEXTRACT(SUBSTITUTE(F1418,"" "",""""),""^-?\d+(\.\d+)?""))&gt;=-90,VALUE(REGEXEXTRACT(SUBSTITUTE(F1418,"" "",""""),""^-?\d+(\.\d+)?""))&lt;=90,VALUE(REGEXEXT"&amp;"RACT(SUBSTITUTE(F1418,"" "",""""),""-?\d+(\.\d+)?$""))&gt;=-180,VALUE(REGEXEXTRACT(SUBSTITUTE(F1418,"" "",""""),""-?\d+(\.\d+)?$""))&lt;=180),""OK"",""REVISAR"")"),"#N/A")</f>
        <v>#N/A</v>
      </c>
    </row>
    <row r="1419" ht="15.75" customHeight="1">
      <c r="A1419" s="5" t="str">
        <f t="shared" si="1"/>
        <v>AD507-1417</v>
      </c>
      <c r="C1419" s="5"/>
      <c r="F1419" s="5"/>
      <c r="G1419" s="5" t="str">
        <f t="shared" si="2"/>
        <v/>
      </c>
      <c r="H1419" s="5" t="str">
        <f t="shared" si="3"/>
        <v/>
      </c>
      <c r="I1419" s="5" t="str">
        <f t="shared" si="4"/>
        <v/>
      </c>
      <c r="J1419" s="5" t="str">
        <f t="shared" si="5"/>
        <v/>
      </c>
      <c r="K1419" s="5" t="str">
        <f>IFERROR(__xludf.DUMMYFUNCTION("IF(C1419&lt;&gt;"""",HYPERLINK(""https://wa.me/507""&amp;REGEXREPLACE(C1419,""[^0-9]"","""")&amp;""?text=""&amp;ENCODEURL(""Ya llegue. Codigo: ""&amp;A1419&amp;"". Ubicacion: ""&amp;""https://www.google.com/maps/search/?api=1&amp;query=""&amp;SUBSTITUTE(F1419,"" "","""")),""📲 Avisar al clien"&amp;"te""),"""")"),"")</f>
        <v/>
      </c>
      <c r="L1419" s="5" t="str">
        <f>IFERROR(__xludf.DUMMYFUNCTION("IF(C1419&lt;&gt;"""",""https://api.qrserver.com/v1/create-qr-code/?size=200x200&amp;data=""&amp;ENCODEURL(""https://wa.me/507""&amp;REGEXREPLACE(C1419,""[^0-9]"","""")&amp;""?text=""&amp;ENCODEURL(""Ya llegue. Codigo: ""&amp;A1419&amp;"". Ubicacion: ""&amp;""https://www.google.com/maps/search"&amp;"/?api=1&amp;query=""&amp;SUBSTITUTE(F1419,"" "",""""))),"""")"),"")</f>
        <v/>
      </c>
      <c r="M1419" s="5" t="str">
        <f t="shared" si="6"/>
        <v/>
      </c>
      <c r="N1419" s="5" t="str">
        <f>IFERROR(__xludf.DUMMYFUNCTION("IF(AND(F1419&lt;&gt;"""",REGEXMATCH(SUBSTITUTE(F1419,"" "",""""),""^-?\d+(\.\d+)?,-?\d+(\.\d+)?$""),VALUE(REGEXEXTRACT(SUBSTITUTE(F1419,"" "",""""),""^-?\d+(\.\d+)?""))&gt;=-90,VALUE(REGEXEXTRACT(SUBSTITUTE(F1419,"" "",""""),""^-?\d+(\.\d+)?""))&lt;=90,VALUE(REGEXEXT"&amp;"RACT(SUBSTITUTE(F1419,"" "",""""),""-?\d+(\.\d+)?$""))&gt;=-180,VALUE(REGEXEXTRACT(SUBSTITUTE(F1419,"" "",""""),""-?\d+(\.\d+)?$""))&lt;=180),""OK"",""REVISAR"")"),"#N/A")</f>
        <v>#N/A</v>
      </c>
    </row>
    <row r="1420" ht="15.75" customHeight="1">
      <c r="A1420" s="5" t="str">
        <f t="shared" si="1"/>
        <v>AD507-1418</v>
      </c>
      <c r="C1420" s="5"/>
      <c r="F1420" s="5"/>
      <c r="G1420" s="5" t="str">
        <f t="shared" si="2"/>
        <v/>
      </c>
      <c r="H1420" s="5" t="str">
        <f t="shared" si="3"/>
        <v/>
      </c>
      <c r="I1420" s="5" t="str">
        <f t="shared" si="4"/>
        <v/>
      </c>
      <c r="J1420" s="5" t="str">
        <f t="shared" si="5"/>
        <v/>
      </c>
      <c r="K1420" s="5" t="str">
        <f>IFERROR(__xludf.DUMMYFUNCTION("IF(C1420&lt;&gt;"""",HYPERLINK(""https://wa.me/507""&amp;REGEXREPLACE(C1420,""[^0-9]"","""")&amp;""?text=""&amp;ENCODEURL(""Ya llegue. Codigo: ""&amp;A1420&amp;"". Ubicacion: ""&amp;""https://www.google.com/maps/search/?api=1&amp;query=""&amp;SUBSTITUTE(F1420,"" "","""")),""📲 Avisar al clien"&amp;"te""),"""")"),"")</f>
        <v/>
      </c>
      <c r="L1420" s="5" t="str">
        <f>IFERROR(__xludf.DUMMYFUNCTION("IF(C1420&lt;&gt;"""",""https://api.qrserver.com/v1/create-qr-code/?size=200x200&amp;data=""&amp;ENCODEURL(""https://wa.me/507""&amp;REGEXREPLACE(C1420,""[^0-9]"","""")&amp;""?text=""&amp;ENCODEURL(""Ya llegue. Codigo: ""&amp;A1420&amp;"". Ubicacion: ""&amp;""https://www.google.com/maps/search"&amp;"/?api=1&amp;query=""&amp;SUBSTITUTE(F1420,"" "",""""))),"""")"),"")</f>
        <v/>
      </c>
      <c r="M1420" s="5" t="str">
        <f t="shared" si="6"/>
        <v/>
      </c>
      <c r="N1420" s="5" t="str">
        <f>IFERROR(__xludf.DUMMYFUNCTION("IF(AND(F1420&lt;&gt;"""",REGEXMATCH(SUBSTITUTE(F1420,"" "",""""),""^-?\d+(\.\d+)?,-?\d+(\.\d+)?$""),VALUE(REGEXEXTRACT(SUBSTITUTE(F1420,"" "",""""),""^-?\d+(\.\d+)?""))&gt;=-90,VALUE(REGEXEXTRACT(SUBSTITUTE(F1420,"" "",""""),""^-?\d+(\.\d+)?""))&lt;=90,VALUE(REGEXEXT"&amp;"RACT(SUBSTITUTE(F1420,"" "",""""),""-?\d+(\.\d+)?$""))&gt;=-180,VALUE(REGEXEXTRACT(SUBSTITUTE(F1420,"" "",""""),""-?\d+(\.\d+)?$""))&lt;=180),""OK"",""REVISAR"")"),"#N/A")</f>
        <v>#N/A</v>
      </c>
    </row>
    <row r="1421" ht="15.75" customHeight="1">
      <c r="A1421" s="5" t="str">
        <f t="shared" si="1"/>
        <v>AD507-1419</v>
      </c>
      <c r="C1421" s="5"/>
      <c r="F1421" s="5"/>
      <c r="G1421" s="5" t="str">
        <f t="shared" si="2"/>
        <v/>
      </c>
      <c r="H1421" s="5" t="str">
        <f t="shared" si="3"/>
        <v/>
      </c>
      <c r="I1421" s="5" t="str">
        <f t="shared" si="4"/>
        <v/>
      </c>
      <c r="J1421" s="5" t="str">
        <f t="shared" si="5"/>
        <v/>
      </c>
      <c r="K1421" s="5" t="str">
        <f>IFERROR(__xludf.DUMMYFUNCTION("IF(C1421&lt;&gt;"""",HYPERLINK(""https://wa.me/507""&amp;REGEXREPLACE(C1421,""[^0-9]"","""")&amp;""?text=""&amp;ENCODEURL(""Ya llegue. Codigo: ""&amp;A1421&amp;"". Ubicacion: ""&amp;""https://www.google.com/maps/search/?api=1&amp;query=""&amp;SUBSTITUTE(F1421,"" "","""")),""📲 Avisar al clien"&amp;"te""),"""")"),"")</f>
        <v/>
      </c>
      <c r="L1421" s="5" t="str">
        <f>IFERROR(__xludf.DUMMYFUNCTION("IF(C1421&lt;&gt;"""",""https://api.qrserver.com/v1/create-qr-code/?size=200x200&amp;data=""&amp;ENCODEURL(""https://wa.me/507""&amp;REGEXREPLACE(C1421,""[^0-9]"","""")&amp;""?text=""&amp;ENCODEURL(""Ya llegue. Codigo: ""&amp;A1421&amp;"". Ubicacion: ""&amp;""https://www.google.com/maps/search"&amp;"/?api=1&amp;query=""&amp;SUBSTITUTE(F1421,"" "",""""))),"""")"),"")</f>
        <v/>
      </c>
      <c r="M1421" s="5" t="str">
        <f t="shared" si="6"/>
        <v/>
      </c>
      <c r="N1421" s="5" t="str">
        <f>IFERROR(__xludf.DUMMYFUNCTION("IF(AND(F1421&lt;&gt;"""",REGEXMATCH(SUBSTITUTE(F1421,"" "",""""),""^-?\d+(\.\d+)?,-?\d+(\.\d+)?$""),VALUE(REGEXEXTRACT(SUBSTITUTE(F1421,"" "",""""),""^-?\d+(\.\d+)?""))&gt;=-90,VALUE(REGEXEXTRACT(SUBSTITUTE(F1421,"" "",""""),""^-?\d+(\.\d+)?""))&lt;=90,VALUE(REGEXEXT"&amp;"RACT(SUBSTITUTE(F1421,"" "",""""),""-?\d+(\.\d+)?$""))&gt;=-180,VALUE(REGEXEXTRACT(SUBSTITUTE(F1421,"" "",""""),""-?\d+(\.\d+)?$""))&lt;=180),""OK"",""REVISAR"")"),"#N/A")</f>
        <v>#N/A</v>
      </c>
    </row>
    <row r="1422" ht="15.75" customHeight="1">
      <c r="A1422" s="5" t="str">
        <f t="shared" si="1"/>
        <v>AD507-1420</v>
      </c>
      <c r="C1422" s="5"/>
      <c r="F1422" s="5"/>
      <c r="G1422" s="5" t="str">
        <f t="shared" si="2"/>
        <v/>
      </c>
      <c r="H1422" s="5" t="str">
        <f t="shared" si="3"/>
        <v/>
      </c>
      <c r="I1422" s="5" t="str">
        <f t="shared" si="4"/>
        <v/>
      </c>
      <c r="J1422" s="5" t="str">
        <f t="shared" si="5"/>
        <v/>
      </c>
      <c r="K1422" s="5" t="str">
        <f>IFERROR(__xludf.DUMMYFUNCTION("IF(C1422&lt;&gt;"""",HYPERLINK(""https://wa.me/507""&amp;REGEXREPLACE(C1422,""[^0-9]"","""")&amp;""?text=""&amp;ENCODEURL(""Ya llegue. Codigo: ""&amp;A1422&amp;"". Ubicacion: ""&amp;""https://www.google.com/maps/search/?api=1&amp;query=""&amp;SUBSTITUTE(F1422,"" "","""")),""📲 Avisar al clien"&amp;"te""),"""")"),"")</f>
        <v/>
      </c>
      <c r="L1422" s="5" t="str">
        <f>IFERROR(__xludf.DUMMYFUNCTION("IF(C1422&lt;&gt;"""",""https://api.qrserver.com/v1/create-qr-code/?size=200x200&amp;data=""&amp;ENCODEURL(""https://wa.me/507""&amp;REGEXREPLACE(C1422,""[^0-9]"","""")&amp;""?text=""&amp;ENCODEURL(""Ya llegue. Codigo: ""&amp;A1422&amp;"". Ubicacion: ""&amp;""https://www.google.com/maps/search"&amp;"/?api=1&amp;query=""&amp;SUBSTITUTE(F1422,"" "",""""))),"""")"),"")</f>
        <v/>
      </c>
      <c r="M1422" s="5" t="str">
        <f t="shared" si="6"/>
        <v/>
      </c>
      <c r="N1422" s="5" t="str">
        <f>IFERROR(__xludf.DUMMYFUNCTION("IF(AND(F1422&lt;&gt;"""",REGEXMATCH(SUBSTITUTE(F1422,"" "",""""),""^-?\d+(\.\d+)?,-?\d+(\.\d+)?$""),VALUE(REGEXEXTRACT(SUBSTITUTE(F1422,"" "",""""),""^-?\d+(\.\d+)?""))&gt;=-90,VALUE(REGEXEXTRACT(SUBSTITUTE(F1422,"" "",""""),""^-?\d+(\.\d+)?""))&lt;=90,VALUE(REGEXEXT"&amp;"RACT(SUBSTITUTE(F1422,"" "",""""),""-?\d+(\.\d+)?$""))&gt;=-180,VALUE(REGEXEXTRACT(SUBSTITUTE(F1422,"" "",""""),""-?\d+(\.\d+)?$""))&lt;=180),""OK"",""REVISAR"")"),"#N/A")</f>
        <v>#N/A</v>
      </c>
    </row>
    <row r="1423" ht="15.75" customHeight="1">
      <c r="A1423" s="5" t="str">
        <f t="shared" si="1"/>
        <v>AD507-1421</v>
      </c>
      <c r="C1423" s="5"/>
      <c r="F1423" s="5"/>
      <c r="G1423" s="5" t="str">
        <f t="shared" si="2"/>
        <v/>
      </c>
      <c r="H1423" s="5" t="str">
        <f t="shared" si="3"/>
        <v/>
      </c>
      <c r="I1423" s="5" t="str">
        <f t="shared" si="4"/>
        <v/>
      </c>
      <c r="J1423" s="5" t="str">
        <f t="shared" si="5"/>
        <v/>
      </c>
      <c r="K1423" s="5" t="str">
        <f>IFERROR(__xludf.DUMMYFUNCTION("IF(C1423&lt;&gt;"""",HYPERLINK(""https://wa.me/507""&amp;REGEXREPLACE(C1423,""[^0-9]"","""")&amp;""?text=""&amp;ENCODEURL(""Ya llegue. Codigo: ""&amp;A1423&amp;"". Ubicacion: ""&amp;""https://www.google.com/maps/search/?api=1&amp;query=""&amp;SUBSTITUTE(F1423,"" "","""")),""📲 Avisar al clien"&amp;"te""),"""")"),"")</f>
        <v/>
      </c>
      <c r="L1423" s="5" t="str">
        <f>IFERROR(__xludf.DUMMYFUNCTION("IF(C1423&lt;&gt;"""",""https://api.qrserver.com/v1/create-qr-code/?size=200x200&amp;data=""&amp;ENCODEURL(""https://wa.me/507""&amp;REGEXREPLACE(C1423,""[^0-9]"","""")&amp;""?text=""&amp;ENCODEURL(""Ya llegue. Codigo: ""&amp;A1423&amp;"". Ubicacion: ""&amp;""https://www.google.com/maps/search"&amp;"/?api=1&amp;query=""&amp;SUBSTITUTE(F1423,"" "",""""))),"""")"),"")</f>
        <v/>
      </c>
      <c r="M1423" s="5" t="str">
        <f t="shared" si="6"/>
        <v/>
      </c>
      <c r="N1423" s="5" t="str">
        <f>IFERROR(__xludf.DUMMYFUNCTION("IF(AND(F1423&lt;&gt;"""",REGEXMATCH(SUBSTITUTE(F1423,"" "",""""),""^-?\d+(\.\d+)?,-?\d+(\.\d+)?$""),VALUE(REGEXEXTRACT(SUBSTITUTE(F1423,"" "",""""),""^-?\d+(\.\d+)?""))&gt;=-90,VALUE(REGEXEXTRACT(SUBSTITUTE(F1423,"" "",""""),""^-?\d+(\.\d+)?""))&lt;=90,VALUE(REGEXEXT"&amp;"RACT(SUBSTITUTE(F1423,"" "",""""),""-?\d+(\.\d+)?$""))&gt;=-180,VALUE(REGEXEXTRACT(SUBSTITUTE(F1423,"" "",""""),""-?\d+(\.\d+)?$""))&lt;=180),""OK"",""REVISAR"")"),"#N/A")</f>
        <v>#N/A</v>
      </c>
    </row>
    <row r="1424" ht="15.75" customHeight="1">
      <c r="A1424" s="5" t="str">
        <f t="shared" si="1"/>
        <v>AD507-1422</v>
      </c>
      <c r="C1424" s="5"/>
      <c r="F1424" s="5"/>
      <c r="G1424" s="5" t="str">
        <f t="shared" si="2"/>
        <v/>
      </c>
      <c r="H1424" s="5" t="str">
        <f t="shared" si="3"/>
        <v/>
      </c>
      <c r="I1424" s="5" t="str">
        <f t="shared" si="4"/>
        <v/>
      </c>
      <c r="J1424" s="5" t="str">
        <f t="shared" si="5"/>
        <v/>
      </c>
      <c r="K1424" s="5" t="str">
        <f>IFERROR(__xludf.DUMMYFUNCTION("IF(C1424&lt;&gt;"""",HYPERLINK(""https://wa.me/507""&amp;REGEXREPLACE(C1424,""[^0-9]"","""")&amp;""?text=""&amp;ENCODEURL(""Ya llegue. Codigo: ""&amp;A1424&amp;"". Ubicacion: ""&amp;""https://www.google.com/maps/search/?api=1&amp;query=""&amp;SUBSTITUTE(F1424,"" "","""")),""📲 Avisar al clien"&amp;"te""),"""")"),"")</f>
        <v/>
      </c>
      <c r="L1424" s="5" t="str">
        <f>IFERROR(__xludf.DUMMYFUNCTION("IF(C1424&lt;&gt;"""",""https://api.qrserver.com/v1/create-qr-code/?size=200x200&amp;data=""&amp;ENCODEURL(""https://wa.me/507""&amp;REGEXREPLACE(C1424,""[^0-9]"","""")&amp;""?text=""&amp;ENCODEURL(""Ya llegue. Codigo: ""&amp;A1424&amp;"". Ubicacion: ""&amp;""https://www.google.com/maps/search"&amp;"/?api=1&amp;query=""&amp;SUBSTITUTE(F1424,"" "",""""))),"""")"),"")</f>
        <v/>
      </c>
      <c r="M1424" s="5" t="str">
        <f t="shared" si="6"/>
        <v/>
      </c>
      <c r="N1424" s="5" t="str">
        <f>IFERROR(__xludf.DUMMYFUNCTION("IF(AND(F1424&lt;&gt;"""",REGEXMATCH(SUBSTITUTE(F1424,"" "",""""),""^-?\d+(\.\d+)?,-?\d+(\.\d+)?$""),VALUE(REGEXEXTRACT(SUBSTITUTE(F1424,"" "",""""),""^-?\d+(\.\d+)?""))&gt;=-90,VALUE(REGEXEXTRACT(SUBSTITUTE(F1424,"" "",""""),""^-?\d+(\.\d+)?""))&lt;=90,VALUE(REGEXEXT"&amp;"RACT(SUBSTITUTE(F1424,"" "",""""),""-?\d+(\.\d+)?$""))&gt;=-180,VALUE(REGEXEXTRACT(SUBSTITUTE(F1424,"" "",""""),""-?\d+(\.\d+)?$""))&lt;=180),""OK"",""REVISAR"")"),"#N/A")</f>
        <v>#N/A</v>
      </c>
    </row>
    <row r="1425" ht="15.75" customHeight="1">
      <c r="A1425" s="5" t="str">
        <f t="shared" si="1"/>
        <v>AD507-1423</v>
      </c>
      <c r="C1425" s="5"/>
      <c r="F1425" s="5"/>
      <c r="G1425" s="5" t="str">
        <f t="shared" si="2"/>
        <v/>
      </c>
      <c r="H1425" s="5" t="str">
        <f t="shared" si="3"/>
        <v/>
      </c>
      <c r="I1425" s="5" t="str">
        <f t="shared" si="4"/>
        <v/>
      </c>
      <c r="J1425" s="5" t="str">
        <f t="shared" si="5"/>
        <v/>
      </c>
      <c r="K1425" s="5" t="str">
        <f>IFERROR(__xludf.DUMMYFUNCTION("IF(C1425&lt;&gt;"""",HYPERLINK(""https://wa.me/507""&amp;REGEXREPLACE(C1425,""[^0-9]"","""")&amp;""?text=""&amp;ENCODEURL(""Ya llegue. Codigo: ""&amp;A1425&amp;"". Ubicacion: ""&amp;""https://www.google.com/maps/search/?api=1&amp;query=""&amp;SUBSTITUTE(F1425,"" "","""")),""📲 Avisar al clien"&amp;"te""),"""")"),"")</f>
        <v/>
      </c>
      <c r="L1425" s="5" t="str">
        <f>IFERROR(__xludf.DUMMYFUNCTION("IF(C1425&lt;&gt;"""",""https://api.qrserver.com/v1/create-qr-code/?size=200x200&amp;data=""&amp;ENCODEURL(""https://wa.me/507""&amp;REGEXREPLACE(C1425,""[^0-9]"","""")&amp;""?text=""&amp;ENCODEURL(""Ya llegue. Codigo: ""&amp;A1425&amp;"". Ubicacion: ""&amp;""https://www.google.com/maps/search"&amp;"/?api=1&amp;query=""&amp;SUBSTITUTE(F1425,"" "",""""))),"""")"),"")</f>
        <v/>
      </c>
      <c r="M1425" s="5" t="str">
        <f t="shared" si="6"/>
        <v/>
      </c>
      <c r="N1425" s="5" t="str">
        <f>IFERROR(__xludf.DUMMYFUNCTION("IF(AND(F1425&lt;&gt;"""",REGEXMATCH(SUBSTITUTE(F1425,"" "",""""),""^-?\d+(\.\d+)?,-?\d+(\.\d+)?$""),VALUE(REGEXEXTRACT(SUBSTITUTE(F1425,"" "",""""),""^-?\d+(\.\d+)?""))&gt;=-90,VALUE(REGEXEXTRACT(SUBSTITUTE(F1425,"" "",""""),""^-?\d+(\.\d+)?""))&lt;=90,VALUE(REGEXEXT"&amp;"RACT(SUBSTITUTE(F1425,"" "",""""),""-?\d+(\.\d+)?$""))&gt;=-180,VALUE(REGEXEXTRACT(SUBSTITUTE(F1425,"" "",""""),""-?\d+(\.\d+)?$""))&lt;=180),""OK"",""REVISAR"")"),"#N/A")</f>
        <v>#N/A</v>
      </c>
    </row>
    <row r="1426" ht="15.75" customHeight="1">
      <c r="A1426" s="5" t="str">
        <f t="shared" si="1"/>
        <v>AD507-1424</v>
      </c>
      <c r="C1426" s="5"/>
      <c r="F1426" s="5"/>
      <c r="G1426" s="5" t="str">
        <f t="shared" si="2"/>
        <v/>
      </c>
      <c r="H1426" s="5" t="str">
        <f t="shared" si="3"/>
        <v/>
      </c>
      <c r="I1426" s="5" t="str">
        <f t="shared" si="4"/>
        <v/>
      </c>
      <c r="J1426" s="5" t="str">
        <f t="shared" si="5"/>
        <v/>
      </c>
      <c r="K1426" s="5" t="str">
        <f>IFERROR(__xludf.DUMMYFUNCTION("IF(C1426&lt;&gt;"""",HYPERLINK(""https://wa.me/507""&amp;REGEXREPLACE(C1426,""[^0-9]"","""")&amp;""?text=""&amp;ENCODEURL(""Ya llegue. Codigo: ""&amp;A1426&amp;"". Ubicacion: ""&amp;""https://www.google.com/maps/search/?api=1&amp;query=""&amp;SUBSTITUTE(F1426,"" "","""")),""📲 Avisar al clien"&amp;"te""),"""")"),"")</f>
        <v/>
      </c>
      <c r="L1426" s="5" t="str">
        <f>IFERROR(__xludf.DUMMYFUNCTION("IF(C1426&lt;&gt;"""",""https://api.qrserver.com/v1/create-qr-code/?size=200x200&amp;data=""&amp;ENCODEURL(""https://wa.me/507""&amp;REGEXREPLACE(C1426,""[^0-9]"","""")&amp;""?text=""&amp;ENCODEURL(""Ya llegue. Codigo: ""&amp;A1426&amp;"". Ubicacion: ""&amp;""https://www.google.com/maps/search"&amp;"/?api=1&amp;query=""&amp;SUBSTITUTE(F1426,"" "",""""))),"""")"),"")</f>
        <v/>
      </c>
      <c r="M1426" s="5" t="str">
        <f t="shared" si="6"/>
        <v/>
      </c>
      <c r="N1426" s="5" t="str">
        <f>IFERROR(__xludf.DUMMYFUNCTION("IF(AND(F1426&lt;&gt;"""",REGEXMATCH(SUBSTITUTE(F1426,"" "",""""),""^-?\d+(\.\d+)?,-?\d+(\.\d+)?$""),VALUE(REGEXEXTRACT(SUBSTITUTE(F1426,"" "",""""),""^-?\d+(\.\d+)?""))&gt;=-90,VALUE(REGEXEXTRACT(SUBSTITUTE(F1426,"" "",""""),""^-?\d+(\.\d+)?""))&lt;=90,VALUE(REGEXEXT"&amp;"RACT(SUBSTITUTE(F1426,"" "",""""),""-?\d+(\.\d+)?$""))&gt;=-180,VALUE(REGEXEXTRACT(SUBSTITUTE(F1426,"" "",""""),""-?\d+(\.\d+)?$""))&lt;=180),""OK"",""REVISAR"")"),"#N/A")</f>
        <v>#N/A</v>
      </c>
    </row>
    <row r="1427" ht="15.75" customHeight="1">
      <c r="A1427" s="5" t="str">
        <f t="shared" si="1"/>
        <v>AD507-1425</v>
      </c>
      <c r="C1427" s="5"/>
      <c r="F1427" s="5"/>
      <c r="G1427" s="5" t="str">
        <f t="shared" si="2"/>
        <v/>
      </c>
      <c r="H1427" s="5" t="str">
        <f t="shared" si="3"/>
        <v/>
      </c>
      <c r="I1427" s="5" t="str">
        <f t="shared" si="4"/>
        <v/>
      </c>
      <c r="J1427" s="5" t="str">
        <f t="shared" si="5"/>
        <v/>
      </c>
      <c r="K1427" s="5" t="str">
        <f>IFERROR(__xludf.DUMMYFUNCTION("IF(C1427&lt;&gt;"""",HYPERLINK(""https://wa.me/507""&amp;REGEXREPLACE(C1427,""[^0-9]"","""")&amp;""?text=""&amp;ENCODEURL(""Ya llegue. Codigo: ""&amp;A1427&amp;"". Ubicacion: ""&amp;""https://www.google.com/maps/search/?api=1&amp;query=""&amp;SUBSTITUTE(F1427,"" "","""")),""📲 Avisar al clien"&amp;"te""),"""")"),"")</f>
        <v/>
      </c>
      <c r="L1427" s="5" t="str">
        <f>IFERROR(__xludf.DUMMYFUNCTION("IF(C1427&lt;&gt;"""",""https://api.qrserver.com/v1/create-qr-code/?size=200x200&amp;data=""&amp;ENCODEURL(""https://wa.me/507""&amp;REGEXREPLACE(C1427,""[^0-9]"","""")&amp;""?text=""&amp;ENCODEURL(""Ya llegue. Codigo: ""&amp;A1427&amp;"". Ubicacion: ""&amp;""https://www.google.com/maps/search"&amp;"/?api=1&amp;query=""&amp;SUBSTITUTE(F1427,"" "",""""))),"""")"),"")</f>
        <v/>
      </c>
      <c r="M1427" s="5" t="str">
        <f t="shared" si="6"/>
        <v/>
      </c>
      <c r="N1427" s="5" t="str">
        <f>IFERROR(__xludf.DUMMYFUNCTION("IF(AND(F1427&lt;&gt;"""",REGEXMATCH(SUBSTITUTE(F1427,"" "",""""),""^-?\d+(\.\d+)?,-?\d+(\.\d+)?$""),VALUE(REGEXEXTRACT(SUBSTITUTE(F1427,"" "",""""),""^-?\d+(\.\d+)?""))&gt;=-90,VALUE(REGEXEXTRACT(SUBSTITUTE(F1427,"" "",""""),""^-?\d+(\.\d+)?""))&lt;=90,VALUE(REGEXEXT"&amp;"RACT(SUBSTITUTE(F1427,"" "",""""),""-?\d+(\.\d+)?$""))&gt;=-180,VALUE(REGEXEXTRACT(SUBSTITUTE(F1427,"" "",""""),""-?\d+(\.\d+)?$""))&lt;=180),""OK"",""REVISAR"")"),"#N/A")</f>
        <v>#N/A</v>
      </c>
    </row>
    <row r="1428" ht="15.75" customHeight="1">
      <c r="A1428" s="5" t="str">
        <f t="shared" si="1"/>
        <v>AD507-1426</v>
      </c>
      <c r="C1428" s="5"/>
      <c r="F1428" s="5"/>
      <c r="G1428" s="5" t="str">
        <f t="shared" si="2"/>
        <v/>
      </c>
      <c r="H1428" s="5" t="str">
        <f t="shared" si="3"/>
        <v/>
      </c>
      <c r="I1428" s="5" t="str">
        <f t="shared" si="4"/>
        <v/>
      </c>
      <c r="J1428" s="5" t="str">
        <f t="shared" si="5"/>
        <v/>
      </c>
      <c r="K1428" s="5" t="str">
        <f>IFERROR(__xludf.DUMMYFUNCTION("IF(C1428&lt;&gt;"""",HYPERLINK(""https://wa.me/507""&amp;REGEXREPLACE(C1428,""[^0-9]"","""")&amp;""?text=""&amp;ENCODEURL(""Ya llegue. Codigo: ""&amp;A1428&amp;"". Ubicacion: ""&amp;""https://www.google.com/maps/search/?api=1&amp;query=""&amp;SUBSTITUTE(F1428,"" "","""")),""📲 Avisar al clien"&amp;"te""),"""")"),"")</f>
        <v/>
      </c>
      <c r="L1428" s="5" t="str">
        <f>IFERROR(__xludf.DUMMYFUNCTION("IF(C1428&lt;&gt;"""",""https://api.qrserver.com/v1/create-qr-code/?size=200x200&amp;data=""&amp;ENCODEURL(""https://wa.me/507""&amp;REGEXREPLACE(C1428,""[^0-9]"","""")&amp;""?text=""&amp;ENCODEURL(""Ya llegue. Codigo: ""&amp;A1428&amp;"". Ubicacion: ""&amp;""https://www.google.com/maps/search"&amp;"/?api=1&amp;query=""&amp;SUBSTITUTE(F1428,"" "",""""))),"""")"),"")</f>
        <v/>
      </c>
      <c r="M1428" s="5" t="str">
        <f t="shared" si="6"/>
        <v/>
      </c>
      <c r="N1428" s="5" t="str">
        <f>IFERROR(__xludf.DUMMYFUNCTION("IF(AND(F1428&lt;&gt;"""",REGEXMATCH(SUBSTITUTE(F1428,"" "",""""),""^-?\d+(\.\d+)?,-?\d+(\.\d+)?$""),VALUE(REGEXEXTRACT(SUBSTITUTE(F1428,"" "",""""),""^-?\d+(\.\d+)?""))&gt;=-90,VALUE(REGEXEXTRACT(SUBSTITUTE(F1428,"" "",""""),""^-?\d+(\.\d+)?""))&lt;=90,VALUE(REGEXEXT"&amp;"RACT(SUBSTITUTE(F1428,"" "",""""),""-?\d+(\.\d+)?$""))&gt;=-180,VALUE(REGEXEXTRACT(SUBSTITUTE(F1428,"" "",""""),""-?\d+(\.\d+)?$""))&lt;=180),""OK"",""REVISAR"")"),"#N/A")</f>
        <v>#N/A</v>
      </c>
    </row>
    <row r="1429" ht="15.75" customHeight="1">
      <c r="A1429" s="5" t="str">
        <f t="shared" si="1"/>
        <v>AD507-1427</v>
      </c>
      <c r="C1429" s="5"/>
      <c r="F1429" s="5"/>
      <c r="G1429" s="5" t="str">
        <f t="shared" si="2"/>
        <v/>
      </c>
      <c r="H1429" s="5" t="str">
        <f t="shared" si="3"/>
        <v/>
      </c>
      <c r="I1429" s="5" t="str">
        <f t="shared" si="4"/>
        <v/>
      </c>
      <c r="J1429" s="5" t="str">
        <f t="shared" si="5"/>
        <v/>
      </c>
      <c r="K1429" s="5" t="str">
        <f>IFERROR(__xludf.DUMMYFUNCTION("IF(C1429&lt;&gt;"""",HYPERLINK(""https://wa.me/507""&amp;REGEXREPLACE(C1429,""[^0-9]"","""")&amp;""?text=""&amp;ENCODEURL(""Ya llegue. Codigo: ""&amp;A1429&amp;"". Ubicacion: ""&amp;""https://www.google.com/maps/search/?api=1&amp;query=""&amp;SUBSTITUTE(F1429,"" "","""")),""📲 Avisar al clien"&amp;"te""),"""")"),"")</f>
        <v/>
      </c>
      <c r="L1429" s="5" t="str">
        <f>IFERROR(__xludf.DUMMYFUNCTION("IF(C1429&lt;&gt;"""",""https://api.qrserver.com/v1/create-qr-code/?size=200x200&amp;data=""&amp;ENCODEURL(""https://wa.me/507""&amp;REGEXREPLACE(C1429,""[^0-9]"","""")&amp;""?text=""&amp;ENCODEURL(""Ya llegue. Codigo: ""&amp;A1429&amp;"". Ubicacion: ""&amp;""https://www.google.com/maps/search"&amp;"/?api=1&amp;query=""&amp;SUBSTITUTE(F1429,"" "",""""))),"""")"),"")</f>
        <v/>
      </c>
      <c r="M1429" s="5" t="str">
        <f t="shared" si="6"/>
        <v/>
      </c>
      <c r="N1429" s="5" t="str">
        <f>IFERROR(__xludf.DUMMYFUNCTION("IF(AND(F1429&lt;&gt;"""",REGEXMATCH(SUBSTITUTE(F1429,"" "",""""),""^-?\d+(\.\d+)?,-?\d+(\.\d+)?$""),VALUE(REGEXEXTRACT(SUBSTITUTE(F1429,"" "",""""),""^-?\d+(\.\d+)?""))&gt;=-90,VALUE(REGEXEXTRACT(SUBSTITUTE(F1429,"" "",""""),""^-?\d+(\.\d+)?""))&lt;=90,VALUE(REGEXEXT"&amp;"RACT(SUBSTITUTE(F1429,"" "",""""),""-?\d+(\.\d+)?$""))&gt;=-180,VALUE(REGEXEXTRACT(SUBSTITUTE(F1429,"" "",""""),""-?\d+(\.\d+)?$""))&lt;=180),""OK"",""REVISAR"")"),"#N/A")</f>
        <v>#N/A</v>
      </c>
    </row>
    <row r="1430" ht="15.75" customHeight="1">
      <c r="A1430" s="5" t="str">
        <f t="shared" si="1"/>
        <v>AD507-1428</v>
      </c>
      <c r="C1430" s="5"/>
      <c r="F1430" s="5"/>
      <c r="G1430" s="5" t="str">
        <f t="shared" si="2"/>
        <v/>
      </c>
      <c r="H1430" s="5" t="str">
        <f t="shared" si="3"/>
        <v/>
      </c>
      <c r="I1430" s="5" t="str">
        <f t="shared" si="4"/>
        <v/>
      </c>
      <c r="J1430" s="5" t="str">
        <f t="shared" si="5"/>
        <v/>
      </c>
      <c r="K1430" s="5" t="str">
        <f>IFERROR(__xludf.DUMMYFUNCTION("IF(C1430&lt;&gt;"""",HYPERLINK(""https://wa.me/507""&amp;REGEXREPLACE(C1430,""[^0-9]"","""")&amp;""?text=""&amp;ENCODEURL(""Ya llegue. Codigo: ""&amp;A1430&amp;"". Ubicacion: ""&amp;""https://www.google.com/maps/search/?api=1&amp;query=""&amp;SUBSTITUTE(F1430,"" "","""")),""📲 Avisar al clien"&amp;"te""),"""")"),"")</f>
        <v/>
      </c>
      <c r="L1430" s="5" t="str">
        <f>IFERROR(__xludf.DUMMYFUNCTION("IF(C1430&lt;&gt;"""",""https://api.qrserver.com/v1/create-qr-code/?size=200x200&amp;data=""&amp;ENCODEURL(""https://wa.me/507""&amp;REGEXREPLACE(C1430,""[^0-9]"","""")&amp;""?text=""&amp;ENCODEURL(""Ya llegue. Codigo: ""&amp;A1430&amp;"". Ubicacion: ""&amp;""https://www.google.com/maps/search"&amp;"/?api=1&amp;query=""&amp;SUBSTITUTE(F1430,"" "",""""))),"""")"),"")</f>
        <v/>
      </c>
      <c r="M1430" s="5" t="str">
        <f t="shared" si="6"/>
        <v/>
      </c>
      <c r="N1430" s="5" t="str">
        <f>IFERROR(__xludf.DUMMYFUNCTION("IF(AND(F1430&lt;&gt;"""",REGEXMATCH(SUBSTITUTE(F1430,"" "",""""),""^-?\d+(\.\d+)?,-?\d+(\.\d+)?$""),VALUE(REGEXEXTRACT(SUBSTITUTE(F1430,"" "",""""),""^-?\d+(\.\d+)?""))&gt;=-90,VALUE(REGEXEXTRACT(SUBSTITUTE(F1430,"" "",""""),""^-?\d+(\.\d+)?""))&lt;=90,VALUE(REGEXEXT"&amp;"RACT(SUBSTITUTE(F1430,"" "",""""),""-?\d+(\.\d+)?$""))&gt;=-180,VALUE(REGEXEXTRACT(SUBSTITUTE(F1430,"" "",""""),""-?\d+(\.\d+)?$""))&lt;=180),""OK"",""REVISAR"")"),"#N/A")</f>
        <v>#N/A</v>
      </c>
    </row>
    <row r="1431" ht="15.75" customHeight="1">
      <c r="A1431" s="5" t="str">
        <f t="shared" si="1"/>
        <v>AD507-1429</v>
      </c>
      <c r="C1431" s="5"/>
      <c r="F1431" s="5"/>
      <c r="G1431" s="5" t="str">
        <f t="shared" si="2"/>
        <v/>
      </c>
      <c r="H1431" s="5" t="str">
        <f t="shared" si="3"/>
        <v/>
      </c>
      <c r="I1431" s="5" t="str">
        <f t="shared" si="4"/>
        <v/>
      </c>
      <c r="J1431" s="5" t="str">
        <f t="shared" si="5"/>
        <v/>
      </c>
      <c r="K1431" s="5" t="str">
        <f>IFERROR(__xludf.DUMMYFUNCTION("IF(C1431&lt;&gt;"""",HYPERLINK(""https://wa.me/507""&amp;REGEXREPLACE(C1431,""[^0-9]"","""")&amp;""?text=""&amp;ENCODEURL(""Ya llegue. Codigo: ""&amp;A1431&amp;"". Ubicacion: ""&amp;""https://www.google.com/maps/search/?api=1&amp;query=""&amp;SUBSTITUTE(F1431,"" "","""")),""📲 Avisar al clien"&amp;"te""),"""")"),"")</f>
        <v/>
      </c>
      <c r="L1431" s="5" t="str">
        <f>IFERROR(__xludf.DUMMYFUNCTION("IF(C1431&lt;&gt;"""",""https://api.qrserver.com/v1/create-qr-code/?size=200x200&amp;data=""&amp;ENCODEURL(""https://wa.me/507""&amp;REGEXREPLACE(C1431,""[^0-9]"","""")&amp;""?text=""&amp;ENCODEURL(""Ya llegue. Codigo: ""&amp;A1431&amp;"". Ubicacion: ""&amp;""https://www.google.com/maps/search"&amp;"/?api=1&amp;query=""&amp;SUBSTITUTE(F1431,"" "",""""))),"""")"),"")</f>
        <v/>
      </c>
      <c r="M1431" s="5" t="str">
        <f t="shared" si="6"/>
        <v/>
      </c>
      <c r="N1431" s="5" t="str">
        <f>IFERROR(__xludf.DUMMYFUNCTION("IF(AND(F1431&lt;&gt;"""",REGEXMATCH(SUBSTITUTE(F1431,"" "",""""),""^-?\d+(\.\d+)?,-?\d+(\.\d+)?$""),VALUE(REGEXEXTRACT(SUBSTITUTE(F1431,"" "",""""),""^-?\d+(\.\d+)?""))&gt;=-90,VALUE(REGEXEXTRACT(SUBSTITUTE(F1431,"" "",""""),""^-?\d+(\.\d+)?""))&lt;=90,VALUE(REGEXEXT"&amp;"RACT(SUBSTITUTE(F1431,"" "",""""),""-?\d+(\.\d+)?$""))&gt;=-180,VALUE(REGEXEXTRACT(SUBSTITUTE(F1431,"" "",""""),""-?\d+(\.\d+)?$""))&lt;=180),""OK"",""REVISAR"")"),"#N/A")</f>
        <v>#N/A</v>
      </c>
    </row>
    <row r="1432" ht="15.75" customHeight="1">
      <c r="A1432" s="5" t="str">
        <f t="shared" si="1"/>
        <v>AD507-1430</v>
      </c>
      <c r="C1432" s="5"/>
      <c r="F1432" s="5"/>
      <c r="G1432" s="5" t="str">
        <f t="shared" si="2"/>
        <v/>
      </c>
      <c r="H1432" s="5" t="str">
        <f t="shared" si="3"/>
        <v/>
      </c>
      <c r="I1432" s="5" t="str">
        <f t="shared" si="4"/>
        <v/>
      </c>
      <c r="J1432" s="5" t="str">
        <f t="shared" si="5"/>
        <v/>
      </c>
      <c r="K1432" s="5" t="str">
        <f>IFERROR(__xludf.DUMMYFUNCTION("IF(C1432&lt;&gt;"""",HYPERLINK(""https://wa.me/507""&amp;REGEXREPLACE(C1432,""[^0-9]"","""")&amp;""?text=""&amp;ENCODEURL(""Ya llegue. Codigo: ""&amp;A1432&amp;"". Ubicacion: ""&amp;""https://www.google.com/maps/search/?api=1&amp;query=""&amp;SUBSTITUTE(F1432,"" "","""")),""📲 Avisar al clien"&amp;"te""),"""")"),"")</f>
        <v/>
      </c>
      <c r="L1432" s="5" t="str">
        <f>IFERROR(__xludf.DUMMYFUNCTION("IF(C1432&lt;&gt;"""",""https://api.qrserver.com/v1/create-qr-code/?size=200x200&amp;data=""&amp;ENCODEURL(""https://wa.me/507""&amp;REGEXREPLACE(C1432,""[^0-9]"","""")&amp;""?text=""&amp;ENCODEURL(""Ya llegue. Codigo: ""&amp;A1432&amp;"". Ubicacion: ""&amp;""https://www.google.com/maps/search"&amp;"/?api=1&amp;query=""&amp;SUBSTITUTE(F1432,"" "",""""))),"""")"),"")</f>
        <v/>
      </c>
      <c r="M1432" s="5" t="str">
        <f t="shared" si="6"/>
        <v/>
      </c>
      <c r="N1432" s="5" t="str">
        <f>IFERROR(__xludf.DUMMYFUNCTION("IF(AND(F1432&lt;&gt;"""",REGEXMATCH(SUBSTITUTE(F1432,"" "",""""),""^-?\d+(\.\d+)?,-?\d+(\.\d+)?$""),VALUE(REGEXEXTRACT(SUBSTITUTE(F1432,"" "",""""),""^-?\d+(\.\d+)?""))&gt;=-90,VALUE(REGEXEXTRACT(SUBSTITUTE(F1432,"" "",""""),""^-?\d+(\.\d+)?""))&lt;=90,VALUE(REGEXEXT"&amp;"RACT(SUBSTITUTE(F1432,"" "",""""),""-?\d+(\.\d+)?$""))&gt;=-180,VALUE(REGEXEXTRACT(SUBSTITUTE(F1432,"" "",""""),""-?\d+(\.\d+)?$""))&lt;=180),""OK"",""REVISAR"")"),"#N/A")</f>
        <v>#N/A</v>
      </c>
    </row>
    <row r="1433" ht="15.75" customHeight="1">
      <c r="A1433" s="5" t="str">
        <f t="shared" si="1"/>
        <v>AD507-1431</v>
      </c>
      <c r="C1433" s="5"/>
      <c r="F1433" s="5"/>
      <c r="G1433" s="5" t="str">
        <f t="shared" si="2"/>
        <v/>
      </c>
      <c r="H1433" s="5" t="str">
        <f t="shared" si="3"/>
        <v/>
      </c>
      <c r="I1433" s="5" t="str">
        <f t="shared" si="4"/>
        <v/>
      </c>
      <c r="J1433" s="5" t="str">
        <f t="shared" si="5"/>
        <v/>
      </c>
      <c r="K1433" s="5" t="str">
        <f>IFERROR(__xludf.DUMMYFUNCTION("IF(C1433&lt;&gt;"""",HYPERLINK(""https://wa.me/507""&amp;REGEXREPLACE(C1433,""[^0-9]"","""")&amp;""?text=""&amp;ENCODEURL(""Ya llegue. Codigo: ""&amp;A1433&amp;"". Ubicacion: ""&amp;""https://www.google.com/maps/search/?api=1&amp;query=""&amp;SUBSTITUTE(F1433,"" "","""")),""📲 Avisar al clien"&amp;"te""),"""")"),"")</f>
        <v/>
      </c>
      <c r="L1433" s="5" t="str">
        <f>IFERROR(__xludf.DUMMYFUNCTION("IF(C1433&lt;&gt;"""",""https://api.qrserver.com/v1/create-qr-code/?size=200x200&amp;data=""&amp;ENCODEURL(""https://wa.me/507""&amp;REGEXREPLACE(C1433,""[^0-9]"","""")&amp;""?text=""&amp;ENCODEURL(""Ya llegue. Codigo: ""&amp;A1433&amp;"". Ubicacion: ""&amp;""https://www.google.com/maps/search"&amp;"/?api=1&amp;query=""&amp;SUBSTITUTE(F1433,"" "",""""))),"""")"),"")</f>
        <v/>
      </c>
      <c r="M1433" s="5" t="str">
        <f t="shared" si="6"/>
        <v/>
      </c>
      <c r="N1433" s="5" t="str">
        <f>IFERROR(__xludf.DUMMYFUNCTION("IF(AND(F1433&lt;&gt;"""",REGEXMATCH(SUBSTITUTE(F1433,"" "",""""),""^-?\d+(\.\d+)?,-?\d+(\.\d+)?$""),VALUE(REGEXEXTRACT(SUBSTITUTE(F1433,"" "",""""),""^-?\d+(\.\d+)?""))&gt;=-90,VALUE(REGEXEXTRACT(SUBSTITUTE(F1433,"" "",""""),""^-?\d+(\.\d+)?""))&lt;=90,VALUE(REGEXEXT"&amp;"RACT(SUBSTITUTE(F1433,"" "",""""),""-?\d+(\.\d+)?$""))&gt;=-180,VALUE(REGEXEXTRACT(SUBSTITUTE(F1433,"" "",""""),""-?\d+(\.\d+)?$""))&lt;=180),""OK"",""REVISAR"")"),"#N/A")</f>
        <v>#N/A</v>
      </c>
    </row>
    <row r="1434" ht="15.75" customHeight="1">
      <c r="A1434" s="5" t="str">
        <f t="shared" si="1"/>
        <v>AD507-1432</v>
      </c>
      <c r="C1434" s="5"/>
      <c r="F1434" s="5"/>
      <c r="G1434" s="5" t="str">
        <f t="shared" si="2"/>
        <v/>
      </c>
      <c r="H1434" s="5" t="str">
        <f t="shared" si="3"/>
        <v/>
      </c>
      <c r="I1434" s="5" t="str">
        <f t="shared" si="4"/>
        <v/>
      </c>
      <c r="J1434" s="5" t="str">
        <f t="shared" si="5"/>
        <v/>
      </c>
      <c r="K1434" s="5" t="str">
        <f>IFERROR(__xludf.DUMMYFUNCTION("IF(C1434&lt;&gt;"""",HYPERLINK(""https://wa.me/507""&amp;REGEXREPLACE(C1434,""[^0-9]"","""")&amp;""?text=""&amp;ENCODEURL(""Ya llegue. Codigo: ""&amp;A1434&amp;"". Ubicacion: ""&amp;""https://www.google.com/maps/search/?api=1&amp;query=""&amp;SUBSTITUTE(F1434,"" "","""")),""📲 Avisar al clien"&amp;"te""),"""")"),"")</f>
        <v/>
      </c>
      <c r="L1434" s="5" t="str">
        <f>IFERROR(__xludf.DUMMYFUNCTION("IF(C1434&lt;&gt;"""",""https://api.qrserver.com/v1/create-qr-code/?size=200x200&amp;data=""&amp;ENCODEURL(""https://wa.me/507""&amp;REGEXREPLACE(C1434,""[^0-9]"","""")&amp;""?text=""&amp;ENCODEURL(""Ya llegue. Codigo: ""&amp;A1434&amp;"". Ubicacion: ""&amp;""https://www.google.com/maps/search"&amp;"/?api=1&amp;query=""&amp;SUBSTITUTE(F1434,"" "",""""))),"""")"),"")</f>
        <v/>
      </c>
      <c r="M1434" s="5" t="str">
        <f t="shared" si="6"/>
        <v/>
      </c>
      <c r="N1434" s="5" t="str">
        <f>IFERROR(__xludf.DUMMYFUNCTION("IF(AND(F1434&lt;&gt;"""",REGEXMATCH(SUBSTITUTE(F1434,"" "",""""),""^-?\d+(\.\d+)?,-?\d+(\.\d+)?$""),VALUE(REGEXEXTRACT(SUBSTITUTE(F1434,"" "",""""),""^-?\d+(\.\d+)?""))&gt;=-90,VALUE(REGEXEXTRACT(SUBSTITUTE(F1434,"" "",""""),""^-?\d+(\.\d+)?""))&lt;=90,VALUE(REGEXEXT"&amp;"RACT(SUBSTITUTE(F1434,"" "",""""),""-?\d+(\.\d+)?$""))&gt;=-180,VALUE(REGEXEXTRACT(SUBSTITUTE(F1434,"" "",""""),""-?\d+(\.\d+)?$""))&lt;=180),""OK"",""REVISAR"")"),"#N/A")</f>
        <v>#N/A</v>
      </c>
    </row>
    <row r="1435" ht="15.75" customHeight="1">
      <c r="A1435" s="5" t="str">
        <f t="shared" si="1"/>
        <v>AD507-1433</v>
      </c>
      <c r="C1435" s="5"/>
      <c r="F1435" s="5"/>
      <c r="G1435" s="5" t="str">
        <f t="shared" si="2"/>
        <v/>
      </c>
      <c r="H1435" s="5" t="str">
        <f t="shared" si="3"/>
        <v/>
      </c>
      <c r="I1435" s="5" t="str">
        <f t="shared" si="4"/>
        <v/>
      </c>
      <c r="J1435" s="5" t="str">
        <f t="shared" si="5"/>
        <v/>
      </c>
      <c r="K1435" s="5" t="str">
        <f>IFERROR(__xludf.DUMMYFUNCTION("IF(C1435&lt;&gt;"""",HYPERLINK(""https://wa.me/507""&amp;REGEXREPLACE(C1435,""[^0-9]"","""")&amp;""?text=""&amp;ENCODEURL(""Ya llegue. Codigo: ""&amp;A1435&amp;"". Ubicacion: ""&amp;""https://www.google.com/maps/search/?api=1&amp;query=""&amp;SUBSTITUTE(F1435,"" "","""")),""📲 Avisar al clien"&amp;"te""),"""")"),"")</f>
        <v/>
      </c>
      <c r="L1435" s="5" t="str">
        <f>IFERROR(__xludf.DUMMYFUNCTION("IF(C1435&lt;&gt;"""",""https://api.qrserver.com/v1/create-qr-code/?size=200x200&amp;data=""&amp;ENCODEURL(""https://wa.me/507""&amp;REGEXREPLACE(C1435,""[^0-9]"","""")&amp;""?text=""&amp;ENCODEURL(""Ya llegue. Codigo: ""&amp;A1435&amp;"". Ubicacion: ""&amp;""https://www.google.com/maps/search"&amp;"/?api=1&amp;query=""&amp;SUBSTITUTE(F1435,"" "",""""))),"""")"),"")</f>
        <v/>
      </c>
      <c r="M1435" s="5" t="str">
        <f t="shared" si="6"/>
        <v/>
      </c>
      <c r="N1435" s="5" t="str">
        <f>IFERROR(__xludf.DUMMYFUNCTION("IF(AND(F1435&lt;&gt;"""",REGEXMATCH(SUBSTITUTE(F1435,"" "",""""),""^-?\d+(\.\d+)?,-?\d+(\.\d+)?$""),VALUE(REGEXEXTRACT(SUBSTITUTE(F1435,"" "",""""),""^-?\d+(\.\d+)?""))&gt;=-90,VALUE(REGEXEXTRACT(SUBSTITUTE(F1435,"" "",""""),""^-?\d+(\.\d+)?""))&lt;=90,VALUE(REGEXEXT"&amp;"RACT(SUBSTITUTE(F1435,"" "",""""),""-?\d+(\.\d+)?$""))&gt;=-180,VALUE(REGEXEXTRACT(SUBSTITUTE(F1435,"" "",""""),""-?\d+(\.\d+)?$""))&lt;=180),""OK"",""REVISAR"")"),"#N/A")</f>
        <v>#N/A</v>
      </c>
    </row>
    <row r="1436" ht="15.75" customHeight="1">
      <c r="A1436" s="5" t="str">
        <f t="shared" si="1"/>
        <v>AD507-1434</v>
      </c>
      <c r="C1436" s="5"/>
      <c r="F1436" s="5"/>
      <c r="G1436" s="5" t="str">
        <f t="shared" si="2"/>
        <v/>
      </c>
      <c r="H1436" s="5" t="str">
        <f t="shared" si="3"/>
        <v/>
      </c>
      <c r="I1436" s="5" t="str">
        <f t="shared" si="4"/>
        <v/>
      </c>
      <c r="J1436" s="5" t="str">
        <f t="shared" si="5"/>
        <v/>
      </c>
      <c r="K1436" s="5" t="str">
        <f>IFERROR(__xludf.DUMMYFUNCTION("IF(C1436&lt;&gt;"""",HYPERLINK(""https://wa.me/507""&amp;REGEXREPLACE(C1436,""[^0-9]"","""")&amp;""?text=""&amp;ENCODEURL(""Ya llegue. Codigo: ""&amp;A1436&amp;"". Ubicacion: ""&amp;""https://www.google.com/maps/search/?api=1&amp;query=""&amp;SUBSTITUTE(F1436,"" "","""")),""📲 Avisar al clien"&amp;"te""),"""")"),"")</f>
        <v/>
      </c>
      <c r="L1436" s="5" t="str">
        <f>IFERROR(__xludf.DUMMYFUNCTION("IF(C1436&lt;&gt;"""",""https://api.qrserver.com/v1/create-qr-code/?size=200x200&amp;data=""&amp;ENCODEURL(""https://wa.me/507""&amp;REGEXREPLACE(C1436,""[^0-9]"","""")&amp;""?text=""&amp;ENCODEURL(""Ya llegue. Codigo: ""&amp;A1436&amp;"". Ubicacion: ""&amp;""https://www.google.com/maps/search"&amp;"/?api=1&amp;query=""&amp;SUBSTITUTE(F1436,"" "",""""))),"""")"),"")</f>
        <v/>
      </c>
      <c r="M1436" s="5" t="str">
        <f t="shared" si="6"/>
        <v/>
      </c>
      <c r="N1436" s="5" t="str">
        <f>IFERROR(__xludf.DUMMYFUNCTION("IF(AND(F1436&lt;&gt;"""",REGEXMATCH(SUBSTITUTE(F1436,"" "",""""),""^-?\d+(\.\d+)?,-?\d+(\.\d+)?$""),VALUE(REGEXEXTRACT(SUBSTITUTE(F1436,"" "",""""),""^-?\d+(\.\d+)?""))&gt;=-90,VALUE(REGEXEXTRACT(SUBSTITUTE(F1436,"" "",""""),""^-?\d+(\.\d+)?""))&lt;=90,VALUE(REGEXEXT"&amp;"RACT(SUBSTITUTE(F1436,"" "",""""),""-?\d+(\.\d+)?$""))&gt;=-180,VALUE(REGEXEXTRACT(SUBSTITUTE(F1436,"" "",""""),""-?\d+(\.\d+)?$""))&lt;=180),""OK"",""REVISAR"")"),"#N/A")</f>
        <v>#N/A</v>
      </c>
    </row>
    <row r="1437" ht="15.75" customHeight="1">
      <c r="A1437" s="5" t="str">
        <f t="shared" si="1"/>
        <v>AD507-1435</v>
      </c>
      <c r="C1437" s="5"/>
      <c r="F1437" s="5"/>
      <c r="G1437" s="5" t="str">
        <f t="shared" si="2"/>
        <v/>
      </c>
      <c r="H1437" s="5" t="str">
        <f t="shared" si="3"/>
        <v/>
      </c>
      <c r="I1437" s="5" t="str">
        <f t="shared" si="4"/>
        <v/>
      </c>
      <c r="J1437" s="5" t="str">
        <f t="shared" si="5"/>
        <v/>
      </c>
      <c r="K1437" s="5" t="str">
        <f>IFERROR(__xludf.DUMMYFUNCTION("IF(C1437&lt;&gt;"""",HYPERLINK(""https://wa.me/507""&amp;REGEXREPLACE(C1437,""[^0-9]"","""")&amp;""?text=""&amp;ENCODEURL(""Ya llegue. Codigo: ""&amp;A1437&amp;"". Ubicacion: ""&amp;""https://www.google.com/maps/search/?api=1&amp;query=""&amp;SUBSTITUTE(F1437,"" "","""")),""📲 Avisar al clien"&amp;"te""),"""")"),"")</f>
        <v/>
      </c>
      <c r="L1437" s="5" t="str">
        <f>IFERROR(__xludf.DUMMYFUNCTION("IF(C1437&lt;&gt;"""",""https://api.qrserver.com/v1/create-qr-code/?size=200x200&amp;data=""&amp;ENCODEURL(""https://wa.me/507""&amp;REGEXREPLACE(C1437,""[^0-9]"","""")&amp;""?text=""&amp;ENCODEURL(""Ya llegue. Codigo: ""&amp;A1437&amp;"". Ubicacion: ""&amp;""https://www.google.com/maps/search"&amp;"/?api=1&amp;query=""&amp;SUBSTITUTE(F1437,"" "",""""))),"""")"),"")</f>
        <v/>
      </c>
      <c r="M1437" s="5" t="str">
        <f t="shared" si="6"/>
        <v/>
      </c>
      <c r="N1437" s="5" t="str">
        <f>IFERROR(__xludf.DUMMYFUNCTION("IF(AND(F1437&lt;&gt;"""",REGEXMATCH(SUBSTITUTE(F1437,"" "",""""),""^-?\d+(\.\d+)?,-?\d+(\.\d+)?$""),VALUE(REGEXEXTRACT(SUBSTITUTE(F1437,"" "",""""),""^-?\d+(\.\d+)?""))&gt;=-90,VALUE(REGEXEXTRACT(SUBSTITUTE(F1437,"" "",""""),""^-?\d+(\.\d+)?""))&lt;=90,VALUE(REGEXEXT"&amp;"RACT(SUBSTITUTE(F1437,"" "",""""),""-?\d+(\.\d+)?$""))&gt;=-180,VALUE(REGEXEXTRACT(SUBSTITUTE(F1437,"" "",""""),""-?\d+(\.\d+)?$""))&lt;=180),""OK"",""REVISAR"")"),"#N/A")</f>
        <v>#N/A</v>
      </c>
    </row>
    <row r="1438" ht="15.75" customHeight="1">
      <c r="A1438" s="5" t="str">
        <f t="shared" si="1"/>
        <v>AD507-1436</v>
      </c>
      <c r="C1438" s="5"/>
      <c r="F1438" s="5"/>
      <c r="G1438" s="5" t="str">
        <f t="shared" si="2"/>
        <v/>
      </c>
      <c r="H1438" s="5" t="str">
        <f t="shared" si="3"/>
        <v/>
      </c>
      <c r="I1438" s="5" t="str">
        <f t="shared" si="4"/>
        <v/>
      </c>
      <c r="J1438" s="5" t="str">
        <f t="shared" si="5"/>
        <v/>
      </c>
      <c r="K1438" s="5" t="str">
        <f>IFERROR(__xludf.DUMMYFUNCTION("IF(C1438&lt;&gt;"""",HYPERLINK(""https://wa.me/507""&amp;REGEXREPLACE(C1438,""[^0-9]"","""")&amp;""?text=""&amp;ENCODEURL(""Ya llegue. Codigo: ""&amp;A1438&amp;"". Ubicacion: ""&amp;""https://www.google.com/maps/search/?api=1&amp;query=""&amp;SUBSTITUTE(F1438,"" "","""")),""📲 Avisar al clien"&amp;"te""),"""")"),"")</f>
        <v/>
      </c>
      <c r="L1438" s="5" t="str">
        <f>IFERROR(__xludf.DUMMYFUNCTION("IF(C1438&lt;&gt;"""",""https://api.qrserver.com/v1/create-qr-code/?size=200x200&amp;data=""&amp;ENCODEURL(""https://wa.me/507""&amp;REGEXREPLACE(C1438,""[^0-9]"","""")&amp;""?text=""&amp;ENCODEURL(""Ya llegue. Codigo: ""&amp;A1438&amp;"". Ubicacion: ""&amp;""https://www.google.com/maps/search"&amp;"/?api=1&amp;query=""&amp;SUBSTITUTE(F1438,"" "",""""))),"""")"),"")</f>
        <v/>
      </c>
      <c r="M1438" s="5" t="str">
        <f t="shared" si="6"/>
        <v/>
      </c>
      <c r="N1438" s="5" t="str">
        <f>IFERROR(__xludf.DUMMYFUNCTION("IF(AND(F1438&lt;&gt;"""",REGEXMATCH(SUBSTITUTE(F1438,"" "",""""),""^-?\d+(\.\d+)?,-?\d+(\.\d+)?$""),VALUE(REGEXEXTRACT(SUBSTITUTE(F1438,"" "",""""),""^-?\d+(\.\d+)?""))&gt;=-90,VALUE(REGEXEXTRACT(SUBSTITUTE(F1438,"" "",""""),""^-?\d+(\.\d+)?""))&lt;=90,VALUE(REGEXEXT"&amp;"RACT(SUBSTITUTE(F1438,"" "",""""),""-?\d+(\.\d+)?$""))&gt;=-180,VALUE(REGEXEXTRACT(SUBSTITUTE(F1438,"" "",""""),""-?\d+(\.\d+)?$""))&lt;=180),""OK"",""REVISAR"")"),"#N/A")</f>
        <v>#N/A</v>
      </c>
    </row>
    <row r="1439" ht="15.75" customHeight="1">
      <c r="A1439" s="5" t="str">
        <f t="shared" si="1"/>
        <v>AD507-1437</v>
      </c>
      <c r="C1439" s="5"/>
      <c r="F1439" s="5"/>
      <c r="G1439" s="5" t="str">
        <f t="shared" si="2"/>
        <v/>
      </c>
      <c r="H1439" s="5" t="str">
        <f t="shared" si="3"/>
        <v/>
      </c>
      <c r="I1439" s="5" t="str">
        <f t="shared" si="4"/>
        <v/>
      </c>
      <c r="J1439" s="5" t="str">
        <f t="shared" si="5"/>
        <v/>
      </c>
      <c r="K1439" s="5" t="str">
        <f>IFERROR(__xludf.DUMMYFUNCTION("IF(C1439&lt;&gt;"""",HYPERLINK(""https://wa.me/507""&amp;REGEXREPLACE(C1439,""[^0-9]"","""")&amp;""?text=""&amp;ENCODEURL(""Ya llegue. Codigo: ""&amp;A1439&amp;"". Ubicacion: ""&amp;""https://www.google.com/maps/search/?api=1&amp;query=""&amp;SUBSTITUTE(F1439,"" "","""")),""📲 Avisar al clien"&amp;"te""),"""")"),"")</f>
        <v/>
      </c>
      <c r="L1439" s="5" t="str">
        <f>IFERROR(__xludf.DUMMYFUNCTION("IF(C1439&lt;&gt;"""",""https://api.qrserver.com/v1/create-qr-code/?size=200x200&amp;data=""&amp;ENCODEURL(""https://wa.me/507""&amp;REGEXREPLACE(C1439,""[^0-9]"","""")&amp;""?text=""&amp;ENCODEURL(""Ya llegue. Codigo: ""&amp;A1439&amp;"". Ubicacion: ""&amp;""https://www.google.com/maps/search"&amp;"/?api=1&amp;query=""&amp;SUBSTITUTE(F1439,"" "",""""))),"""")"),"")</f>
        <v/>
      </c>
      <c r="M1439" s="5" t="str">
        <f t="shared" si="6"/>
        <v/>
      </c>
      <c r="N1439" s="5" t="str">
        <f>IFERROR(__xludf.DUMMYFUNCTION("IF(AND(F1439&lt;&gt;"""",REGEXMATCH(SUBSTITUTE(F1439,"" "",""""),""^-?\d+(\.\d+)?,-?\d+(\.\d+)?$""),VALUE(REGEXEXTRACT(SUBSTITUTE(F1439,"" "",""""),""^-?\d+(\.\d+)?""))&gt;=-90,VALUE(REGEXEXTRACT(SUBSTITUTE(F1439,"" "",""""),""^-?\d+(\.\d+)?""))&lt;=90,VALUE(REGEXEXT"&amp;"RACT(SUBSTITUTE(F1439,"" "",""""),""-?\d+(\.\d+)?$""))&gt;=-180,VALUE(REGEXEXTRACT(SUBSTITUTE(F1439,"" "",""""),""-?\d+(\.\d+)?$""))&lt;=180),""OK"",""REVISAR"")"),"#N/A")</f>
        <v>#N/A</v>
      </c>
    </row>
    <row r="1440" ht="15.75" customHeight="1">
      <c r="A1440" s="5" t="str">
        <f t="shared" si="1"/>
        <v>AD507-1438</v>
      </c>
      <c r="C1440" s="5"/>
      <c r="F1440" s="5"/>
      <c r="G1440" s="5" t="str">
        <f t="shared" si="2"/>
        <v/>
      </c>
      <c r="H1440" s="5" t="str">
        <f t="shared" si="3"/>
        <v/>
      </c>
      <c r="I1440" s="5" t="str">
        <f t="shared" si="4"/>
        <v/>
      </c>
      <c r="J1440" s="5" t="str">
        <f t="shared" si="5"/>
        <v/>
      </c>
      <c r="K1440" s="5" t="str">
        <f>IFERROR(__xludf.DUMMYFUNCTION("IF(C1440&lt;&gt;"""",HYPERLINK(""https://wa.me/507""&amp;REGEXREPLACE(C1440,""[^0-9]"","""")&amp;""?text=""&amp;ENCODEURL(""Ya llegue. Codigo: ""&amp;A1440&amp;"". Ubicacion: ""&amp;""https://www.google.com/maps/search/?api=1&amp;query=""&amp;SUBSTITUTE(F1440,"" "","""")),""📲 Avisar al clien"&amp;"te""),"""")"),"")</f>
        <v/>
      </c>
      <c r="L1440" s="5" t="str">
        <f>IFERROR(__xludf.DUMMYFUNCTION("IF(C1440&lt;&gt;"""",""https://api.qrserver.com/v1/create-qr-code/?size=200x200&amp;data=""&amp;ENCODEURL(""https://wa.me/507""&amp;REGEXREPLACE(C1440,""[^0-9]"","""")&amp;""?text=""&amp;ENCODEURL(""Ya llegue. Codigo: ""&amp;A1440&amp;"". Ubicacion: ""&amp;""https://www.google.com/maps/search"&amp;"/?api=1&amp;query=""&amp;SUBSTITUTE(F1440,"" "",""""))),"""")"),"")</f>
        <v/>
      </c>
      <c r="M1440" s="5" t="str">
        <f t="shared" si="6"/>
        <v/>
      </c>
      <c r="N1440" s="5" t="str">
        <f>IFERROR(__xludf.DUMMYFUNCTION("IF(AND(F1440&lt;&gt;"""",REGEXMATCH(SUBSTITUTE(F1440,"" "",""""),""^-?\d+(\.\d+)?,-?\d+(\.\d+)?$""),VALUE(REGEXEXTRACT(SUBSTITUTE(F1440,"" "",""""),""^-?\d+(\.\d+)?""))&gt;=-90,VALUE(REGEXEXTRACT(SUBSTITUTE(F1440,"" "",""""),""^-?\d+(\.\d+)?""))&lt;=90,VALUE(REGEXEXT"&amp;"RACT(SUBSTITUTE(F1440,"" "",""""),""-?\d+(\.\d+)?$""))&gt;=-180,VALUE(REGEXEXTRACT(SUBSTITUTE(F1440,"" "",""""),""-?\d+(\.\d+)?$""))&lt;=180),""OK"",""REVISAR"")"),"#N/A")</f>
        <v>#N/A</v>
      </c>
    </row>
    <row r="1441" ht="15.75" customHeight="1">
      <c r="A1441" s="5" t="str">
        <f t="shared" si="1"/>
        <v>AD507-1439</v>
      </c>
      <c r="C1441" s="5"/>
      <c r="F1441" s="5"/>
      <c r="G1441" s="5" t="str">
        <f t="shared" si="2"/>
        <v/>
      </c>
      <c r="H1441" s="5" t="str">
        <f t="shared" si="3"/>
        <v/>
      </c>
      <c r="I1441" s="5" t="str">
        <f t="shared" si="4"/>
        <v/>
      </c>
      <c r="J1441" s="5" t="str">
        <f t="shared" si="5"/>
        <v/>
      </c>
      <c r="K1441" s="5" t="str">
        <f>IFERROR(__xludf.DUMMYFUNCTION("IF(C1441&lt;&gt;"""",HYPERLINK(""https://wa.me/507""&amp;REGEXREPLACE(C1441,""[^0-9]"","""")&amp;""?text=""&amp;ENCODEURL(""Ya llegue. Codigo: ""&amp;A1441&amp;"". Ubicacion: ""&amp;""https://www.google.com/maps/search/?api=1&amp;query=""&amp;SUBSTITUTE(F1441,"" "","""")),""📲 Avisar al clien"&amp;"te""),"""")"),"")</f>
        <v/>
      </c>
      <c r="L1441" s="5" t="str">
        <f>IFERROR(__xludf.DUMMYFUNCTION("IF(C1441&lt;&gt;"""",""https://api.qrserver.com/v1/create-qr-code/?size=200x200&amp;data=""&amp;ENCODEURL(""https://wa.me/507""&amp;REGEXREPLACE(C1441,""[^0-9]"","""")&amp;""?text=""&amp;ENCODEURL(""Ya llegue. Codigo: ""&amp;A1441&amp;"". Ubicacion: ""&amp;""https://www.google.com/maps/search"&amp;"/?api=1&amp;query=""&amp;SUBSTITUTE(F1441,"" "",""""))),"""")"),"")</f>
        <v/>
      </c>
      <c r="M1441" s="5" t="str">
        <f t="shared" si="6"/>
        <v/>
      </c>
      <c r="N1441" s="5" t="str">
        <f>IFERROR(__xludf.DUMMYFUNCTION("IF(AND(F1441&lt;&gt;"""",REGEXMATCH(SUBSTITUTE(F1441,"" "",""""),""^-?\d+(\.\d+)?,-?\d+(\.\d+)?$""),VALUE(REGEXEXTRACT(SUBSTITUTE(F1441,"" "",""""),""^-?\d+(\.\d+)?""))&gt;=-90,VALUE(REGEXEXTRACT(SUBSTITUTE(F1441,"" "",""""),""^-?\d+(\.\d+)?""))&lt;=90,VALUE(REGEXEXT"&amp;"RACT(SUBSTITUTE(F1441,"" "",""""),""-?\d+(\.\d+)?$""))&gt;=-180,VALUE(REGEXEXTRACT(SUBSTITUTE(F1441,"" "",""""),""-?\d+(\.\d+)?$""))&lt;=180),""OK"",""REVISAR"")"),"#N/A")</f>
        <v>#N/A</v>
      </c>
    </row>
    <row r="1442" ht="15.75" customHeight="1">
      <c r="A1442" s="5" t="str">
        <f t="shared" si="1"/>
        <v>AD507-1440</v>
      </c>
      <c r="C1442" s="5"/>
      <c r="F1442" s="5"/>
      <c r="G1442" s="5" t="str">
        <f t="shared" si="2"/>
        <v/>
      </c>
      <c r="H1442" s="5" t="str">
        <f t="shared" si="3"/>
        <v/>
      </c>
      <c r="I1442" s="5" t="str">
        <f t="shared" si="4"/>
        <v/>
      </c>
      <c r="J1442" s="5" t="str">
        <f t="shared" si="5"/>
        <v/>
      </c>
      <c r="K1442" s="5" t="str">
        <f>IFERROR(__xludf.DUMMYFUNCTION("IF(C1442&lt;&gt;"""",HYPERLINK(""https://wa.me/507""&amp;REGEXREPLACE(C1442,""[^0-9]"","""")&amp;""?text=""&amp;ENCODEURL(""Ya llegue. Codigo: ""&amp;A1442&amp;"". Ubicacion: ""&amp;""https://www.google.com/maps/search/?api=1&amp;query=""&amp;SUBSTITUTE(F1442,"" "","""")),""📲 Avisar al clien"&amp;"te""),"""")"),"")</f>
        <v/>
      </c>
      <c r="L1442" s="5" t="str">
        <f>IFERROR(__xludf.DUMMYFUNCTION("IF(C1442&lt;&gt;"""",""https://api.qrserver.com/v1/create-qr-code/?size=200x200&amp;data=""&amp;ENCODEURL(""https://wa.me/507""&amp;REGEXREPLACE(C1442,""[^0-9]"","""")&amp;""?text=""&amp;ENCODEURL(""Ya llegue. Codigo: ""&amp;A1442&amp;"". Ubicacion: ""&amp;""https://www.google.com/maps/search"&amp;"/?api=1&amp;query=""&amp;SUBSTITUTE(F1442,"" "",""""))),"""")"),"")</f>
        <v/>
      </c>
      <c r="M1442" s="5" t="str">
        <f t="shared" si="6"/>
        <v/>
      </c>
      <c r="N1442" s="5" t="str">
        <f>IFERROR(__xludf.DUMMYFUNCTION("IF(AND(F1442&lt;&gt;"""",REGEXMATCH(SUBSTITUTE(F1442,"" "",""""),""^-?\d+(\.\d+)?,-?\d+(\.\d+)?$""),VALUE(REGEXEXTRACT(SUBSTITUTE(F1442,"" "",""""),""^-?\d+(\.\d+)?""))&gt;=-90,VALUE(REGEXEXTRACT(SUBSTITUTE(F1442,"" "",""""),""^-?\d+(\.\d+)?""))&lt;=90,VALUE(REGEXEXT"&amp;"RACT(SUBSTITUTE(F1442,"" "",""""),""-?\d+(\.\d+)?$""))&gt;=-180,VALUE(REGEXEXTRACT(SUBSTITUTE(F1442,"" "",""""),""-?\d+(\.\d+)?$""))&lt;=180),""OK"",""REVISAR"")"),"#N/A")</f>
        <v>#N/A</v>
      </c>
    </row>
    <row r="1443" ht="15.75" customHeight="1">
      <c r="A1443" s="5" t="str">
        <f t="shared" si="1"/>
        <v>AD507-1441</v>
      </c>
      <c r="C1443" s="5"/>
      <c r="F1443" s="5"/>
      <c r="G1443" s="5" t="str">
        <f t="shared" si="2"/>
        <v/>
      </c>
      <c r="H1443" s="5" t="str">
        <f t="shared" si="3"/>
        <v/>
      </c>
      <c r="I1443" s="5" t="str">
        <f t="shared" si="4"/>
        <v/>
      </c>
      <c r="J1443" s="5" t="str">
        <f t="shared" si="5"/>
        <v/>
      </c>
      <c r="K1443" s="5" t="str">
        <f>IFERROR(__xludf.DUMMYFUNCTION("IF(C1443&lt;&gt;"""",HYPERLINK(""https://wa.me/507""&amp;REGEXREPLACE(C1443,""[^0-9]"","""")&amp;""?text=""&amp;ENCODEURL(""Ya llegue. Codigo: ""&amp;A1443&amp;"". Ubicacion: ""&amp;""https://www.google.com/maps/search/?api=1&amp;query=""&amp;SUBSTITUTE(F1443,"" "","""")),""📲 Avisar al clien"&amp;"te""),"""")"),"")</f>
        <v/>
      </c>
      <c r="L1443" s="5" t="str">
        <f>IFERROR(__xludf.DUMMYFUNCTION("IF(C1443&lt;&gt;"""",""https://api.qrserver.com/v1/create-qr-code/?size=200x200&amp;data=""&amp;ENCODEURL(""https://wa.me/507""&amp;REGEXREPLACE(C1443,""[^0-9]"","""")&amp;""?text=""&amp;ENCODEURL(""Ya llegue. Codigo: ""&amp;A1443&amp;"". Ubicacion: ""&amp;""https://www.google.com/maps/search"&amp;"/?api=1&amp;query=""&amp;SUBSTITUTE(F1443,"" "",""""))),"""")"),"")</f>
        <v/>
      </c>
      <c r="M1443" s="5" t="str">
        <f t="shared" si="6"/>
        <v/>
      </c>
      <c r="N1443" s="5" t="str">
        <f>IFERROR(__xludf.DUMMYFUNCTION("IF(AND(F1443&lt;&gt;"""",REGEXMATCH(SUBSTITUTE(F1443,"" "",""""),""^-?\d+(\.\d+)?,-?\d+(\.\d+)?$""),VALUE(REGEXEXTRACT(SUBSTITUTE(F1443,"" "",""""),""^-?\d+(\.\d+)?""))&gt;=-90,VALUE(REGEXEXTRACT(SUBSTITUTE(F1443,"" "",""""),""^-?\d+(\.\d+)?""))&lt;=90,VALUE(REGEXEXT"&amp;"RACT(SUBSTITUTE(F1443,"" "",""""),""-?\d+(\.\d+)?$""))&gt;=-180,VALUE(REGEXEXTRACT(SUBSTITUTE(F1443,"" "",""""),""-?\d+(\.\d+)?$""))&lt;=180),""OK"",""REVISAR"")"),"#N/A")</f>
        <v>#N/A</v>
      </c>
    </row>
    <row r="1444" ht="15.75" customHeight="1">
      <c r="A1444" s="5" t="str">
        <f t="shared" si="1"/>
        <v>AD507-1442</v>
      </c>
      <c r="C1444" s="5"/>
      <c r="F1444" s="5"/>
      <c r="G1444" s="5" t="str">
        <f t="shared" si="2"/>
        <v/>
      </c>
      <c r="H1444" s="5" t="str">
        <f t="shared" si="3"/>
        <v/>
      </c>
      <c r="I1444" s="5" t="str">
        <f t="shared" si="4"/>
        <v/>
      </c>
      <c r="J1444" s="5" t="str">
        <f t="shared" si="5"/>
        <v/>
      </c>
      <c r="K1444" s="5" t="str">
        <f>IFERROR(__xludf.DUMMYFUNCTION("IF(C1444&lt;&gt;"""",HYPERLINK(""https://wa.me/507""&amp;REGEXREPLACE(C1444,""[^0-9]"","""")&amp;""?text=""&amp;ENCODEURL(""Ya llegue. Codigo: ""&amp;A1444&amp;"". Ubicacion: ""&amp;""https://www.google.com/maps/search/?api=1&amp;query=""&amp;SUBSTITUTE(F1444,"" "","""")),""📲 Avisar al clien"&amp;"te""),"""")"),"")</f>
        <v/>
      </c>
      <c r="L1444" s="5" t="str">
        <f>IFERROR(__xludf.DUMMYFUNCTION("IF(C1444&lt;&gt;"""",""https://api.qrserver.com/v1/create-qr-code/?size=200x200&amp;data=""&amp;ENCODEURL(""https://wa.me/507""&amp;REGEXREPLACE(C1444,""[^0-9]"","""")&amp;""?text=""&amp;ENCODEURL(""Ya llegue. Codigo: ""&amp;A1444&amp;"". Ubicacion: ""&amp;""https://www.google.com/maps/search"&amp;"/?api=1&amp;query=""&amp;SUBSTITUTE(F1444,"" "",""""))),"""")"),"")</f>
        <v/>
      </c>
      <c r="M1444" s="5" t="str">
        <f t="shared" si="6"/>
        <v/>
      </c>
      <c r="N1444" s="5" t="str">
        <f>IFERROR(__xludf.DUMMYFUNCTION("IF(AND(F1444&lt;&gt;"""",REGEXMATCH(SUBSTITUTE(F1444,"" "",""""),""^-?\d+(\.\d+)?,-?\d+(\.\d+)?$""),VALUE(REGEXEXTRACT(SUBSTITUTE(F1444,"" "",""""),""^-?\d+(\.\d+)?""))&gt;=-90,VALUE(REGEXEXTRACT(SUBSTITUTE(F1444,"" "",""""),""^-?\d+(\.\d+)?""))&lt;=90,VALUE(REGEXEXT"&amp;"RACT(SUBSTITUTE(F1444,"" "",""""),""-?\d+(\.\d+)?$""))&gt;=-180,VALUE(REGEXEXTRACT(SUBSTITUTE(F1444,"" "",""""),""-?\d+(\.\d+)?$""))&lt;=180),""OK"",""REVISAR"")"),"#N/A")</f>
        <v>#N/A</v>
      </c>
    </row>
    <row r="1445" ht="15.75" customHeight="1">
      <c r="A1445" s="5" t="str">
        <f t="shared" si="1"/>
        <v>AD507-1443</v>
      </c>
      <c r="C1445" s="5"/>
      <c r="F1445" s="5"/>
      <c r="G1445" s="5" t="str">
        <f t="shared" si="2"/>
        <v/>
      </c>
      <c r="H1445" s="5" t="str">
        <f t="shared" si="3"/>
        <v/>
      </c>
      <c r="I1445" s="5" t="str">
        <f t="shared" si="4"/>
        <v/>
      </c>
      <c r="J1445" s="5" t="str">
        <f t="shared" si="5"/>
        <v/>
      </c>
      <c r="K1445" s="5" t="str">
        <f>IFERROR(__xludf.DUMMYFUNCTION("IF(C1445&lt;&gt;"""",HYPERLINK(""https://wa.me/507""&amp;REGEXREPLACE(C1445,""[^0-9]"","""")&amp;""?text=""&amp;ENCODEURL(""Ya llegue. Codigo: ""&amp;A1445&amp;"". Ubicacion: ""&amp;""https://www.google.com/maps/search/?api=1&amp;query=""&amp;SUBSTITUTE(F1445,"" "","""")),""📲 Avisar al clien"&amp;"te""),"""")"),"")</f>
        <v/>
      </c>
      <c r="L1445" s="5" t="str">
        <f>IFERROR(__xludf.DUMMYFUNCTION("IF(C1445&lt;&gt;"""",""https://api.qrserver.com/v1/create-qr-code/?size=200x200&amp;data=""&amp;ENCODEURL(""https://wa.me/507""&amp;REGEXREPLACE(C1445,""[^0-9]"","""")&amp;""?text=""&amp;ENCODEURL(""Ya llegue. Codigo: ""&amp;A1445&amp;"". Ubicacion: ""&amp;""https://www.google.com/maps/search"&amp;"/?api=1&amp;query=""&amp;SUBSTITUTE(F1445,"" "",""""))),"""")"),"")</f>
        <v/>
      </c>
      <c r="M1445" s="5" t="str">
        <f t="shared" si="6"/>
        <v/>
      </c>
      <c r="N1445" s="5" t="str">
        <f>IFERROR(__xludf.DUMMYFUNCTION("IF(AND(F1445&lt;&gt;"""",REGEXMATCH(SUBSTITUTE(F1445,"" "",""""),""^-?\d+(\.\d+)?,-?\d+(\.\d+)?$""),VALUE(REGEXEXTRACT(SUBSTITUTE(F1445,"" "",""""),""^-?\d+(\.\d+)?""))&gt;=-90,VALUE(REGEXEXTRACT(SUBSTITUTE(F1445,"" "",""""),""^-?\d+(\.\d+)?""))&lt;=90,VALUE(REGEXEXT"&amp;"RACT(SUBSTITUTE(F1445,"" "",""""),""-?\d+(\.\d+)?$""))&gt;=-180,VALUE(REGEXEXTRACT(SUBSTITUTE(F1445,"" "",""""),""-?\d+(\.\d+)?$""))&lt;=180),""OK"",""REVISAR"")"),"#N/A")</f>
        <v>#N/A</v>
      </c>
    </row>
    <row r="1446" ht="15.75" customHeight="1">
      <c r="A1446" s="5" t="str">
        <f t="shared" si="1"/>
        <v>AD507-1444</v>
      </c>
      <c r="C1446" s="5"/>
      <c r="F1446" s="5"/>
      <c r="G1446" s="5" t="str">
        <f t="shared" si="2"/>
        <v/>
      </c>
      <c r="H1446" s="5" t="str">
        <f t="shared" si="3"/>
        <v/>
      </c>
      <c r="I1446" s="5" t="str">
        <f t="shared" si="4"/>
        <v/>
      </c>
      <c r="J1446" s="5" t="str">
        <f t="shared" si="5"/>
        <v/>
      </c>
      <c r="K1446" s="5" t="str">
        <f>IFERROR(__xludf.DUMMYFUNCTION("IF(C1446&lt;&gt;"""",HYPERLINK(""https://wa.me/507""&amp;REGEXREPLACE(C1446,""[^0-9]"","""")&amp;""?text=""&amp;ENCODEURL(""Ya llegue. Codigo: ""&amp;A1446&amp;"". Ubicacion: ""&amp;""https://www.google.com/maps/search/?api=1&amp;query=""&amp;SUBSTITUTE(F1446,"" "","""")),""📲 Avisar al clien"&amp;"te""),"""")"),"")</f>
        <v/>
      </c>
      <c r="L1446" s="5" t="str">
        <f>IFERROR(__xludf.DUMMYFUNCTION("IF(C1446&lt;&gt;"""",""https://api.qrserver.com/v1/create-qr-code/?size=200x200&amp;data=""&amp;ENCODEURL(""https://wa.me/507""&amp;REGEXREPLACE(C1446,""[^0-9]"","""")&amp;""?text=""&amp;ENCODEURL(""Ya llegue. Codigo: ""&amp;A1446&amp;"". Ubicacion: ""&amp;""https://www.google.com/maps/search"&amp;"/?api=1&amp;query=""&amp;SUBSTITUTE(F1446,"" "",""""))),"""")"),"")</f>
        <v/>
      </c>
      <c r="M1446" s="5" t="str">
        <f t="shared" si="6"/>
        <v/>
      </c>
      <c r="N1446" s="5" t="str">
        <f>IFERROR(__xludf.DUMMYFUNCTION("IF(AND(F1446&lt;&gt;"""",REGEXMATCH(SUBSTITUTE(F1446,"" "",""""),""^-?\d+(\.\d+)?,-?\d+(\.\d+)?$""),VALUE(REGEXEXTRACT(SUBSTITUTE(F1446,"" "",""""),""^-?\d+(\.\d+)?""))&gt;=-90,VALUE(REGEXEXTRACT(SUBSTITUTE(F1446,"" "",""""),""^-?\d+(\.\d+)?""))&lt;=90,VALUE(REGEXEXT"&amp;"RACT(SUBSTITUTE(F1446,"" "",""""),""-?\d+(\.\d+)?$""))&gt;=-180,VALUE(REGEXEXTRACT(SUBSTITUTE(F1446,"" "",""""),""-?\d+(\.\d+)?$""))&lt;=180),""OK"",""REVISAR"")"),"#N/A")</f>
        <v>#N/A</v>
      </c>
    </row>
    <row r="1447" ht="15.75" customHeight="1">
      <c r="A1447" s="5" t="str">
        <f t="shared" si="1"/>
        <v>AD507-1445</v>
      </c>
      <c r="C1447" s="5"/>
      <c r="F1447" s="5"/>
      <c r="G1447" s="5" t="str">
        <f t="shared" si="2"/>
        <v/>
      </c>
      <c r="H1447" s="5" t="str">
        <f t="shared" si="3"/>
        <v/>
      </c>
      <c r="I1447" s="5" t="str">
        <f t="shared" si="4"/>
        <v/>
      </c>
      <c r="J1447" s="5" t="str">
        <f t="shared" si="5"/>
        <v/>
      </c>
      <c r="K1447" s="5" t="str">
        <f>IFERROR(__xludf.DUMMYFUNCTION("IF(C1447&lt;&gt;"""",HYPERLINK(""https://wa.me/507""&amp;REGEXREPLACE(C1447,""[^0-9]"","""")&amp;""?text=""&amp;ENCODEURL(""Ya llegue. Codigo: ""&amp;A1447&amp;"". Ubicacion: ""&amp;""https://www.google.com/maps/search/?api=1&amp;query=""&amp;SUBSTITUTE(F1447,"" "","""")),""📲 Avisar al clien"&amp;"te""),"""")"),"")</f>
        <v/>
      </c>
      <c r="L1447" s="5" t="str">
        <f>IFERROR(__xludf.DUMMYFUNCTION("IF(C1447&lt;&gt;"""",""https://api.qrserver.com/v1/create-qr-code/?size=200x200&amp;data=""&amp;ENCODEURL(""https://wa.me/507""&amp;REGEXREPLACE(C1447,""[^0-9]"","""")&amp;""?text=""&amp;ENCODEURL(""Ya llegue. Codigo: ""&amp;A1447&amp;"". Ubicacion: ""&amp;""https://www.google.com/maps/search"&amp;"/?api=1&amp;query=""&amp;SUBSTITUTE(F1447,"" "",""""))),"""")"),"")</f>
        <v/>
      </c>
      <c r="M1447" s="5" t="str">
        <f t="shared" si="6"/>
        <v/>
      </c>
      <c r="N1447" s="5" t="str">
        <f>IFERROR(__xludf.DUMMYFUNCTION("IF(AND(F1447&lt;&gt;"""",REGEXMATCH(SUBSTITUTE(F1447,"" "",""""),""^-?\d+(\.\d+)?,-?\d+(\.\d+)?$""),VALUE(REGEXEXTRACT(SUBSTITUTE(F1447,"" "",""""),""^-?\d+(\.\d+)?""))&gt;=-90,VALUE(REGEXEXTRACT(SUBSTITUTE(F1447,"" "",""""),""^-?\d+(\.\d+)?""))&lt;=90,VALUE(REGEXEXT"&amp;"RACT(SUBSTITUTE(F1447,"" "",""""),""-?\d+(\.\d+)?$""))&gt;=-180,VALUE(REGEXEXTRACT(SUBSTITUTE(F1447,"" "",""""),""-?\d+(\.\d+)?$""))&lt;=180),""OK"",""REVISAR"")"),"#N/A")</f>
        <v>#N/A</v>
      </c>
    </row>
    <row r="1448" ht="15.75" customHeight="1">
      <c r="A1448" s="5" t="str">
        <f t="shared" si="1"/>
        <v>AD507-1446</v>
      </c>
      <c r="C1448" s="5"/>
      <c r="F1448" s="5"/>
      <c r="G1448" s="5" t="str">
        <f t="shared" si="2"/>
        <v/>
      </c>
      <c r="H1448" s="5" t="str">
        <f t="shared" si="3"/>
        <v/>
      </c>
      <c r="I1448" s="5" t="str">
        <f t="shared" si="4"/>
        <v/>
      </c>
      <c r="J1448" s="5" t="str">
        <f t="shared" si="5"/>
        <v/>
      </c>
      <c r="K1448" s="5" t="str">
        <f>IFERROR(__xludf.DUMMYFUNCTION("IF(C1448&lt;&gt;"""",HYPERLINK(""https://wa.me/507""&amp;REGEXREPLACE(C1448,""[^0-9]"","""")&amp;""?text=""&amp;ENCODEURL(""Ya llegue. Codigo: ""&amp;A1448&amp;"". Ubicacion: ""&amp;""https://www.google.com/maps/search/?api=1&amp;query=""&amp;SUBSTITUTE(F1448,"" "","""")),""📲 Avisar al clien"&amp;"te""),"""")"),"")</f>
        <v/>
      </c>
      <c r="L1448" s="5" t="str">
        <f>IFERROR(__xludf.DUMMYFUNCTION("IF(C1448&lt;&gt;"""",""https://api.qrserver.com/v1/create-qr-code/?size=200x200&amp;data=""&amp;ENCODEURL(""https://wa.me/507""&amp;REGEXREPLACE(C1448,""[^0-9]"","""")&amp;""?text=""&amp;ENCODEURL(""Ya llegue. Codigo: ""&amp;A1448&amp;"". Ubicacion: ""&amp;""https://www.google.com/maps/search"&amp;"/?api=1&amp;query=""&amp;SUBSTITUTE(F1448,"" "",""""))),"""")"),"")</f>
        <v/>
      </c>
      <c r="M1448" s="5" t="str">
        <f t="shared" si="6"/>
        <v/>
      </c>
      <c r="N1448" s="5" t="str">
        <f>IFERROR(__xludf.DUMMYFUNCTION("IF(AND(F1448&lt;&gt;"""",REGEXMATCH(SUBSTITUTE(F1448,"" "",""""),""^-?\d+(\.\d+)?,-?\d+(\.\d+)?$""),VALUE(REGEXEXTRACT(SUBSTITUTE(F1448,"" "",""""),""^-?\d+(\.\d+)?""))&gt;=-90,VALUE(REGEXEXTRACT(SUBSTITUTE(F1448,"" "",""""),""^-?\d+(\.\d+)?""))&lt;=90,VALUE(REGEXEXT"&amp;"RACT(SUBSTITUTE(F1448,"" "",""""),""-?\d+(\.\d+)?$""))&gt;=-180,VALUE(REGEXEXTRACT(SUBSTITUTE(F1448,"" "",""""),""-?\d+(\.\d+)?$""))&lt;=180),""OK"",""REVISAR"")"),"#N/A")</f>
        <v>#N/A</v>
      </c>
    </row>
    <row r="1449" ht="15.75" customHeight="1">
      <c r="A1449" s="5" t="str">
        <f t="shared" si="1"/>
        <v>AD507-1447</v>
      </c>
      <c r="C1449" s="5"/>
      <c r="F1449" s="5"/>
      <c r="G1449" s="5" t="str">
        <f t="shared" si="2"/>
        <v/>
      </c>
      <c r="H1449" s="5" t="str">
        <f t="shared" si="3"/>
        <v/>
      </c>
      <c r="I1449" s="5" t="str">
        <f t="shared" si="4"/>
        <v/>
      </c>
      <c r="J1449" s="5" t="str">
        <f t="shared" si="5"/>
        <v/>
      </c>
      <c r="K1449" s="5" t="str">
        <f>IFERROR(__xludf.DUMMYFUNCTION("IF(C1449&lt;&gt;"""",HYPERLINK(""https://wa.me/507""&amp;REGEXREPLACE(C1449,""[^0-9]"","""")&amp;""?text=""&amp;ENCODEURL(""Ya llegue. Codigo: ""&amp;A1449&amp;"". Ubicacion: ""&amp;""https://www.google.com/maps/search/?api=1&amp;query=""&amp;SUBSTITUTE(F1449,"" "","""")),""📲 Avisar al clien"&amp;"te""),"""")"),"")</f>
        <v/>
      </c>
      <c r="L1449" s="5" t="str">
        <f>IFERROR(__xludf.DUMMYFUNCTION("IF(C1449&lt;&gt;"""",""https://api.qrserver.com/v1/create-qr-code/?size=200x200&amp;data=""&amp;ENCODEURL(""https://wa.me/507""&amp;REGEXREPLACE(C1449,""[^0-9]"","""")&amp;""?text=""&amp;ENCODEURL(""Ya llegue. Codigo: ""&amp;A1449&amp;"". Ubicacion: ""&amp;""https://www.google.com/maps/search"&amp;"/?api=1&amp;query=""&amp;SUBSTITUTE(F1449,"" "",""""))),"""")"),"")</f>
        <v/>
      </c>
      <c r="M1449" s="5" t="str">
        <f t="shared" si="6"/>
        <v/>
      </c>
      <c r="N1449" s="5" t="str">
        <f>IFERROR(__xludf.DUMMYFUNCTION("IF(AND(F1449&lt;&gt;"""",REGEXMATCH(SUBSTITUTE(F1449,"" "",""""),""^-?\d+(\.\d+)?,-?\d+(\.\d+)?$""),VALUE(REGEXEXTRACT(SUBSTITUTE(F1449,"" "",""""),""^-?\d+(\.\d+)?""))&gt;=-90,VALUE(REGEXEXTRACT(SUBSTITUTE(F1449,"" "",""""),""^-?\d+(\.\d+)?""))&lt;=90,VALUE(REGEXEXT"&amp;"RACT(SUBSTITUTE(F1449,"" "",""""),""-?\d+(\.\d+)?$""))&gt;=-180,VALUE(REGEXEXTRACT(SUBSTITUTE(F1449,"" "",""""),""-?\d+(\.\d+)?$""))&lt;=180),""OK"",""REVISAR"")"),"#N/A")</f>
        <v>#N/A</v>
      </c>
    </row>
    <row r="1450" ht="15.75" customHeight="1">
      <c r="A1450" s="5" t="str">
        <f t="shared" si="1"/>
        <v>AD507-1448</v>
      </c>
      <c r="C1450" s="5"/>
      <c r="F1450" s="5"/>
      <c r="G1450" s="5" t="str">
        <f t="shared" si="2"/>
        <v/>
      </c>
      <c r="H1450" s="5" t="str">
        <f t="shared" si="3"/>
        <v/>
      </c>
      <c r="I1450" s="5" t="str">
        <f t="shared" si="4"/>
        <v/>
      </c>
      <c r="J1450" s="5" t="str">
        <f t="shared" si="5"/>
        <v/>
      </c>
      <c r="K1450" s="5" t="str">
        <f>IFERROR(__xludf.DUMMYFUNCTION("IF(C1450&lt;&gt;"""",HYPERLINK(""https://wa.me/507""&amp;REGEXREPLACE(C1450,""[^0-9]"","""")&amp;""?text=""&amp;ENCODEURL(""Ya llegue. Codigo: ""&amp;A1450&amp;"". Ubicacion: ""&amp;""https://www.google.com/maps/search/?api=1&amp;query=""&amp;SUBSTITUTE(F1450,"" "","""")),""📲 Avisar al clien"&amp;"te""),"""")"),"")</f>
        <v/>
      </c>
      <c r="L1450" s="5" t="str">
        <f>IFERROR(__xludf.DUMMYFUNCTION("IF(C1450&lt;&gt;"""",""https://api.qrserver.com/v1/create-qr-code/?size=200x200&amp;data=""&amp;ENCODEURL(""https://wa.me/507""&amp;REGEXREPLACE(C1450,""[^0-9]"","""")&amp;""?text=""&amp;ENCODEURL(""Ya llegue. Codigo: ""&amp;A1450&amp;"". Ubicacion: ""&amp;""https://www.google.com/maps/search"&amp;"/?api=1&amp;query=""&amp;SUBSTITUTE(F1450,"" "",""""))),"""")"),"")</f>
        <v/>
      </c>
      <c r="M1450" s="5" t="str">
        <f t="shared" si="6"/>
        <v/>
      </c>
      <c r="N1450" s="5" t="str">
        <f>IFERROR(__xludf.DUMMYFUNCTION("IF(AND(F1450&lt;&gt;"""",REGEXMATCH(SUBSTITUTE(F1450,"" "",""""),""^-?\d+(\.\d+)?,-?\d+(\.\d+)?$""),VALUE(REGEXEXTRACT(SUBSTITUTE(F1450,"" "",""""),""^-?\d+(\.\d+)?""))&gt;=-90,VALUE(REGEXEXTRACT(SUBSTITUTE(F1450,"" "",""""),""^-?\d+(\.\d+)?""))&lt;=90,VALUE(REGEXEXT"&amp;"RACT(SUBSTITUTE(F1450,"" "",""""),""-?\d+(\.\d+)?$""))&gt;=-180,VALUE(REGEXEXTRACT(SUBSTITUTE(F1450,"" "",""""),""-?\d+(\.\d+)?$""))&lt;=180),""OK"",""REVISAR"")"),"#N/A")</f>
        <v>#N/A</v>
      </c>
    </row>
    <row r="1451" ht="15.75" customHeight="1">
      <c r="A1451" s="5" t="str">
        <f t="shared" si="1"/>
        <v>AD507-1449</v>
      </c>
      <c r="C1451" s="5"/>
      <c r="F1451" s="5"/>
      <c r="G1451" s="5" t="str">
        <f t="shared" si="2"/>
        <v/>
      </c>
      <c r="H1451" s="5" t="str">
        <f t="shared" si="3"/>
        <v/>
      </c>
      <c r="I1451" s="5" t="str">
        <f t="shared" si="4"/>
        <v/>
      </c>
      <c r="J1451" s="5" t="str">
        <f t="shared" si="5"/>
        <v/>
      </c>
      <c r="K1451" s="5" t="str">
        <f>IFERROR(__xludf.DUMMYFUNCTION("IF(C1451&lt;&gt;"""",HYPERLINK(""https://wa.me/507""&amp;REGEXREPLACE(C1451,""[^0-9]"","""")&amp;""?text=""&amp;ENCODEURL(""Ya llegue. Codigo: ""&amp;A1451&amp;"". Ubicacion: ""&amp;""https://www.google.com/maps/search/?api=1&amp;query=""&amp;SUBSTITUTE(F1451,"" "","""")),""📲 Avisar al clien"&amp;"te""),"""")"),"")</f>
        <v/>
      </c>
      <c r="L1451" s="5" t="str">
        <f>IFERROR(__xludf.DUMMYFUNCTION("IF(C1451&lt;&gt;"""",""https://api.qrserver.com/v1/create-qr-code/?size=200x200&amp;data=""&amp;ENCODEURL(""https://wa.me/507""&amp;REGEXREPLACE(C1451,""[^0-9]"","""")&amp;""?text=""&amp;ENCODEURL(""Ya llegue. Codigo: ""&amp;A1451&amp;"". Ubicacion: ""&amp;""https://www.google.com/maps/search"&amp;"/?api=1&amp;query=""&amp;SUBSTITUTE(F1451,"" "",""""))),"""")"),"")</f>
        <v/>
      </c>
      <c r="M1451" s="5" t="str">
        <f t="shared" si="6"/>
        <v/>
      </c>
      <c r="N1451" s="5" t="str">
        <f>IFERROR(__xludf.DUMMYFUNCTION("IF(AND(F1451&lt;&gt;"""",REGEXMATCH(SUBSTITUTE(F1451,"" "",""""),""^-?\d+(\.\d+)?,-?\d+(\.\d+)?$""),VALUE(REGEXEXTRACT(SUBSTITUTE(F1451,"" "",""""),""^-?\d+(\.\d+)?""))&gt;=-90,VALUE(REGEXEXTRACT(SUBSTITUTE(F1451,"" "",""""),""^-?\d+(\.\d+)?""))&lt;=90,VALUE(REGEXEXT"&amp;"RACT(SUBSTITUTE(F1451,"" "",""""),""-?\d+(\.\d+)?$""))&gt;=-180,VALUE(REGEXEXTRACT(SUBSTITUTE(F1451,"" "",""""),""-?\d+(\.\d+)?$""))&lt;=180),""OK"",""REVISAR"")"),"#N/A")</f>
        <v>#N/A</v>
      </c>
    </row>
    <row r="1452" ht="15.75" customHeight="1">
      <c r="A1452" s="5" t="str">
        <f t="shared" si="1"/>
        <v>AD507-1450</v>
      </c>
      <c r="C1452" s="5"/>
      <c r="F1452" s="5"/>
      <c r="G1452" s="5" t="str">
        <f t="shared" si="2"/>
        <v/>
      </c>
      <c r="H1452" s="5" t="str">
        <f t="shared" si="3"/>
        <v/>
      </c>
      <c r="I1452" s="5" t="str">
        <f t="shared" si="4"/>
        <v/>
      </c>
      <c r="J1452" s="5" t="str">
        <f t="shared" si="5"/>
        <v/>
      </c>
      <c r="K1452" s="5" t="str">
        <f>IFERROR(__xludf.DUMMYFUNCTION("IF(C1452&lt;&gt;"""",HYPERLINK(""https://wa.me/507""&amp;REGEXREPLACE(C1452,""[^0-9]"","""")&amp;""?text=""&amp;ENCODEURL(""Ya llegue. Codigo: ""&amp;A1452&amp;"". Ubicacion: ""&amp;""https://www.google.com/maps/search/?api=1&amp;query=""&amp;SUBSTITUTE(F1452,"" "","""")),""📲 Avisar al clien"&amp;"te""),"""")"),"")</f>
        <v/>
      </c>
      <c r="L1452" s="5" t="str">
        <f>IFERROR(__xludf.DUMMYFUNCTION("IF(C1452&lt;&gt;"""",""https://api.qrserver.com/v1/create-qr-code/?size=200x200&amp;data=""&amp;ENCODEURL(""https://wa.me/507""&amp;REGEXREPLACE(C1452,""[^0-9]"","""")&amp;""?text=""&amp;ENCODEURL(""Ya llegue. Codigo: ""&amp;A1452&amp;"". Ubicacion: ""&amp;""https://www.google.com/maps/search"&amp;"/?api=1&amp;query=""&amp;SUBSTITUTE(F1452,"" "",""""))),"""")"),"")</f>
        <v/>
      </c>
      <c r="M1452" s="5" t="str">
        <f t="shared" si="6"/>
        <v/>
      </c>
      <c r="N1452" s="5" t="str">
        <f>IFERROR(__xludf.DUMMYFUNCTION("IF(AND(F1452&lt;&gt;"""",REGEXMATCH(SUBSTITUTE(F1452,"" "",""""),""^-?\d+(\.\d+)?,-?\d+(\.\d+)?$""),VALUE(REGEXEXTRACT(SUBSTITUTE(F1452,"" "",""""),""^-?\d+(\.\d+)?""))&gt;=-90,VALUE(REGEXEXTRACT(SUBSTITUTE(F1452,"" "",""""),""^-?\d+(\.\d+)?""))&lt;=90,VALUE(REGEXEXT"&amp;"RACT(SUBSTITUTE(F1452,"" "",""""),""-?\d+(\.\d+)?$""))&gt;=-180,VALUE(REGEXEXTRACT(SUBSTITUTE(F1452,"" "",""""),""-?\d+(\.\d+)?$""))&lt;=180),""OK"",""REVISAR"")"),"#N/A")</f>
        <v>#N/A</v>
      </c>
    </row>
    <row r="1453" ht="15.75" customHeight="1">
      <c r="A1453" s="5" t="str">
        <f t="shared" si="1"/>
        <v>AD507-1451</v>
      </c>
      <c r="C1453" s="5"/>
      <c r="F1453" s="5"/>
      <c r="G1453" s="5" t="str">
        <f t="shared" si="2"/>
        <v/>
      </c>
      <c r="H1453" s="5" t="str">
        <f t="shared" si="3"/>
        <v/>
      </c>
      <c r="I1453" s="5" t="str">
        <f t="shared" si="4"/>
        <v/>
      </c>
      <c r="J1453" s="5" t="str">
        <f t="shared" si="5"/>
        <v/>
      </c>
      <c r="K1453" s="5" t="str">
        <f>IFERROR(__xludf.DUMMYFUNCTION("IF(C1453&lt;&gt;"""",HYPERLINK(""https://wa.me/507""&amp;REGEXREPLACE(C1453,""[^0-9]"","""")&amp;""?text=""&amp;ENCODEURL(""Ya llegue. Codigo: ""&amp;A1453&amp;"". Ubicacion: ""&amp;""https://www.google.com/maps/search/?api=1&amp;query=""&amp;SUBSTITUTE(F1453,"" "","""")),""📲 Avisar al clien"&amp;"te""),"""")"),"")</f>
        <v/>
      </c>
      <c r="L1453" s="5" t="str">
        <f>IFERROR(__xludf.DUMMYFUNCTION("IF(C1453&lt;&gt;"""",""https://api.qrserver.com/v1/create-qr-code/?size=200x200&amp;data=""&amp;ENCODEURL(""https://wa.me/507""&amp;REGEXREPLACE(C1453,""[^0-9]"","""")&amp;""?text=""&amp;ENCODEURL(""Ya llegue. Codigo: ""&amp;A1453&amp;"". Ubicacion: ""&amp;""https://www.google.com/maps/search"&amp;"/?api=1&amp;query=""&amp;SUBSTITUTE(F1453,"" "",""""))),"""")"),"")</f>
        <v/>
      </c>
      <c r="M1453" s="5" t="str">
        <f t="shared" si="6"/>
        <v/>
      </c>
      <c r="N1453" s="5" t="str">
        <f>IFERROR(__xludf.DUMMYFUNCTION("IF(AND(F1453&lt;&gt;"""",REGEXMATCH(SUBSTITUTE(F1453,"" "",""""),""^-?\d+(\.\d+)?,-?\d+(\.\d+)?$""),VALUE(REGEXEXTRACT(SUBSTITUTE(F1453,"" "",""""),""^-?\d+(\.\d+)?""))&gt;=-90,VALUE(REGEXEXTRACT(SUBSTITUTE(F1453,"" "",""""),""^-?\d+(\.\d+)?""))&lt;=90,VALUE(REGEXEXT"&amp;"RACT(SUBSTITUTE(F1453,"" "",""""),""-?\d+(\.\d+)?$""))&gt;=-180,VALUE(REGEXEXTRACT(SUBSTITUTE(F1453,"" "",""""),""-?\d+(\.\d+)?$""))&lt;=180),""OK"",""REVISAR"")"),"#N/A")</f>
        <v>#N/A</v>
      </c>
    </row>
    <row r="1454" ht="15.75" customHeight="1">
      <c r="A1454" s="5" t="str">
        <f t="shared" si="1"/>
        <v>AD507-1452</v>
      </c>
      <c r="C1454" s="5"/>
      <c r="F1454" s="5"/>
      <c r="G1454" s="5" t="str">
        <f t="shared" si="2"/>
        <v/>
      </c>
      <c r="H1454" s="5" t="str">
        <f t="shared" si="3"/>
        <v/>
      </c>
      <c r="I1454" s="5" t="str">
        <f t="shared" si="4"/>
        <v/>
      </c>
      <c r="J1454" s="5" t="str">
        <f t="shared" si="5"/>
        <v/>
      </c>
      <c r="K1454" s="5" t="str">
        <f>IFERROR(__xludf.DUMMYFUNCTION("IF(C1454&lt;&gt;"""",HYPERLINK(""https://wa.me/507""&amp;REGEXREPLACE(C1454,""[^0-9]"","""")&amp;""?text=""&amp;ENCODEURL(""Ya llegue. Codigo: ""&amp;A1454&amp;"". Ubicacion: ""&amp;""https://www.google.com/maps/search/?api=1&amp;query=""&amp;SUBSTITUTE(F1454,"" "","""")),""📲 Avisar al clien"&amp;"te""),"""")"),"")</f>
        <v/>
      </c>
      <c r="L1454" s="5" t="str">
        <f>IFERROR(__xludf.DUMMYFUNCTION("IF(C1454&lt;&gt;"""",""https://api.qrserver.com/v1/create-qr-code/?size=200x200&amp;data=""&amp;ENCODEURL(""https://wa.me/507""&amp;REGEXREPLACE(C1454,""[^0-9]"","""")&amp;""?text=""&amp;ENCODEURL(""Ya llegue. Codigo: ""&amp;A1454&amp;"". Ubicacion: ""&amp;""https://www.google.com/maps/search"&amp;"/?api=1&amp;query=""&amp;SUBSTITUTE(F1454,"" "",""""))),"""")"),"")</f>
        <v/>
      </c>
      <c r="M1454" s="5" t="str">
        <f t="shared" si="6"/>
        <v/>
      </c>
      <c r="N1454" s="5" t="str">
        <f>IFERROR(__xludf.DUMMYFUNCTION("IF(AND(F1454&lt;&gt;"""",REGEXMATCH(SUBSTITUTE(F1454,"" "",""""),""^-?\d+(\.\d+)?,-?\d+(\.\d+)?$""),VALUE(REGEXEXTRACT(SUBSTITUTE(F1454,"" "",""""),""^-?\d+(\.\d+)?""))&gt;=-90,VALUE(REGEXEXTRACT(SUBSTITUTE(F1454,"" "",""""),""^-?\d+(\.\d+)?""))&lt;=90,VALUE(REGEXEXT"&amp;"RACT(SUBSTITUTE(F1454,"" "",""""),""-?\d+(\.\d+)?$""))&gt;=-180,VALUE(REGEXEXTRACT(SUBSTITUTE(F1454,"" "",""""),""-?\d+(\.\d+)?$""))&lt;=180),""OK"",""REVISAR"")"),"#N/A")</f>
        <v>#N/A</v>
      </c>
    </row>
    <row r="1455" ht="15.75" customHeight="1">
      <c r="A1455" s="5" t="str">
        <f t="shared" si="1"/>
        <v>AD507-1453</v>
      </c>
      <c r="C1455" s="5"/>
      <c r="F1455" s="5"/>
      <c r="G1455" s="5" t="str">
        <f t="shared" si="2"/>
        <v/>
      </c>
      <c r="H1455" s="5" t="str">
        <f t="shared" si="3"/>
        <v/>
      </c>
      <c r="I1455" s="5" t="str">
        <f t="shared" si="4"/>
        <v/>
      </c>
      <c r="J1455" s="5" t="str">
        <f t="shared" si="5"/>
        <v/>
      </c>
      <c r="K1455" s="5" t="str">
        <f>IFERROR(__xludf.DUMMYFUNCTION("IF(C1455&lt;&gt;"""",HYPERLINK(""https://wa.me/507""&amp;REGEXREPLACE(C1455,""[^0-9]"","""")&amp;""?text=""&amp;ENCODEURL(""Ya llegue. Codigo: ""&amp;A1455&amp;"". Ubicacion: ""&amp;""https://www.google.com/maps/search/?api=1&amp;query=""&amp;SUBSTITUTE(F1455,"" "","""")),""📲 Avisar al clien"&amp;"te""),"""")"),"")</f>
        <v/>
      </c>
      <c r="L1455" s="5" t="str">
        <f>IFERROR(__xludf.DUMMYFUNCTION("IF(C1455&lt;&gt;"""",""https://api.qrserver.com/v1/create-qr-code/?size=200x200&amp;data=""&amp;ENCODEURL(""https://wa.me/507""&amp;REGEXREPLACE(C1455,""[^0-9]"","""")&amp;""?text=""&amp;ENCODEURL(""Ya llegue. Codigo: ""&amp;A1455&amp;"". Ubicacion: ""&amp;""https://www.google.com/maps/search"&amp;"/?api=1&amp;query=""&amp;SUBSTITUTE(F1455,"" "",""""))),"""")"),"")</f>
        <v/>
      </c>
      <c r="M1455" s="5" t="str">
        <f t="shared" si="6"/>
        <v/>
      </c>
      <c r="N1455" s="5" t="str">
        <f>IFERROR(__xludf.DUMMYFUNCTION("IF(AND(F1455&lt;&gt;"""",REGEXMATCH(SUBSTITUTE(F1455,"" "",""""),""^-?\d+(\.\d+)?,-?\d+(\.\d+)?$""),VALUE(REGEXEXTRACT(SUBSTITUTE(F1455,"" "",""""),""^-?\d+(\.\d+)?""))&gt;=-90,VALUE(REGEXEXTRACT(SUBSTITUTE(F1455,"" "",""""),""^-?\d+(\.\d+)?""))&lt;=90,VALUE(REGEXEXT"&amp;"RACT(SUBSTITUTE(F1455,"" "",""""),""-?\d+(\.\d+)?$""))&gt;=-180,VALUE(REGEXEXTRACT(SUBSTITUTE(F1455,"" "",""""),""-?\d+(\.\d+)?$""))&lt;=180),""OK"",""REVISAR"")"),"#N/A")</f>
        <v>#N/A</v>
      </c>
    </row>
    <row r="1456" ht="15.75" customHeight="1">
      <c r="A1456" s="5" t="str">
        <f t="shared" si="1"/>
        <v>AD507-1454</v>
      </c>
      <c r="C1456" s="5"/>
      <c r="F1456" s="5"/>
      <c r="G1456" s="5" t="str">
        <f t="shared" si="2"/>
        <v/>
      </c>
      <c r="H1456" s="5" t="str">
        <f t="shared" si="3"/>
        <v/>
      </c>
      <c r="I1456" s="5" t="str">
        <f t="shared" si="4"/>
        <v/>
      </c>
      <c r="J1456" s="5" t="str">
        <f t="shared" si="5"/>
        <v/>
      </c>
      <c r="K1456" s="5" t="str">
        <f>IFERROR(__xludf.DUMMYFUNCTION("IF(C1456&lt;&gt;"""",HYPERLINK(""https://wa.me/507""&amp;REGEXREPLACE(C1456,""[^0-9]"","""")&amp;""?text=""&amp;ENCODEURL(""Ya llegue. Codigo: ""&amp;A1456&amp;"". Ubicacion: ""&amp;""https://www.google.com/maps/search/?api=1&amp;query=""&amp;SUBSTITUTE(F1456,"" "","""")),""📲 Avisar al clien"&amp;"te""),"""")"),"")</f>
        <v/>
      </c>
      <c r="L1456" s="5" t="str">
        <f>IFERROR(__xludf.DUMMYFUNCTION("IF(C1456&lt;&gt;"""",""https://api.qrserver.com/v1/create-qr-code/?size=200x200&amp;data=""&amp;ENCODEURL(""https://wa.me/507""&amp;REGEXREPLACE(C1456,""[^0-9]"","""")&amp;""?text=""&amp;ENCODEURL(""Ya llegue. Codigo: ""&amp;A1456&amp;"". Ubicacion: ""&amp;""https://www.google.com/maps/search"&amp;"/?api=1&amp;query=""&amp;SUBSTITUTE(F1456,"" "",""""))),"""")"),"")</f>
        <v/>
      </c>
      <c r="M1456" s="5" t="str">
        <f t="shared" si="6"/>
        <v/>
      </c>
      <c r="N1456" s="5" t="str">
        <f>IFERROR(__xludf.DUMMYFUNCTION("IF(AND(F1456&lt;&gt;"""",REGEXMATCH(SUBSTITUTE(F1456,"" "",""""),""^-?\d+(\.\d+)?,-?\d+(\.\d+)?$""),VALUE(REGEXEXTRACT(SUBSTITUTE(F1456,"" "",""""),""^-?\d+(\.\d+)?""))&gt;=-90,VALUE(REGEXEXTRACT(SUBSTITUTE(F1456,"" "",""""),""^-?\d+(\.\d+)?""))&lt;=90,VALUE(REGEXEXT"&amp;"RACT(SUBSTITUTE(F1456,"" "",""""),""-?\d+(\.\d+)?$""))&gt;=-180,VALUE(REGEXEXTRACT(SUBSTITUTE(F1456,"" "",""""),""-?\d+(\.\d+)?$""))&lt;=180),""OK"",""REVISAR"")"),"#N/A")</f>
        <v>#N/A</v>
      </c>
    </row>
    <row r="1457" ht="15.75" customHeight="1">
      <c r="A1457" s="5" t="str">
        <f t="shared" si="1"/>
        <v>AD507-1455</v>
      </c>
      <c r="C1457" s="5"/>
      <c r="F1457" s="5"/>
      <c r="G1457" s="5" t="str">
        <f t="shared" si="2"/>
        <v/>
      </c>
      <c r="H1457" s="5" t="str">
        <f t="shared" si="3"/>
        <v/>
      </c>
      <c r="I1457" s="5" t="str">
        <f t="shared" si="4"/>
        <v/>
      </c>
      <c r="J1457" s="5" t="str">
        <f t="shared" si="5"/>
        <v/>
      </c>
      <c r="K1457" s="5" t="str">
        <f>IFERROR(__xludf.DUMMYFUNCTION("IF(C1457&lt;&gt;"""",HYPERLINK(""https://wa.me/507""&amp;REGEXREPLACE(C1457,""[^0-9]"","""")&amp;""?text=""&amp;ENCODEURL(""Ya llegue. Codigo: ""&amp;A1457&amp;"". Ubicacion: ""&amp;""https://www.google.com/maps/search/?api=1&amp;query=""&amp;SUBSTITUTE(F1457,"" "","""")),""📲 Avisar al clien"&amp;"te""),"""")"),"")</f>
        <v/>
      </c>
      <c r="L1457" s="5" t="str">
        <f>IFERROR(__xludf.DUMMYFUNCTION("IF(C1457&lt;&gt;"""",""https://api.qrserver.com/v1/create-qr-code/?size=200x200&amp;data=""&amp;ENCODEURL(""https://wa.me/507""&amp;REGEXREPLACE(C1457,""[^0-9]"","""")&amp;""?text=""&amp;ENCODEURL(""Ya llegue. Codigo: ""&amp;A1457&amp;"". Ubicacion: ""&amp;""https://www.google.com/maps/search"&amp;"/?api=1&amp;query=""&amp;SUBSTITUTE(F1457,"" "",""""))),"""")"),"")</f>
        <v/>
      </c>
      <c r="M1457" s="5" t="str">
        <f t="shared" si="6"/>
        <v/>
      </c>
      <c r="N1457" s="5" t="str">
        <f>IFERROR(__xludf.DUMMYFUNCTION("IF(AND(F1457&lt;&gt;"""",REGEXMATCH(SUBSTITUTE(F1457,"" "",""""),""^-?\d+(\.\d+)?,-?\d+(\.\d+)?$""),VALUE(REGEXEXTRACT(SUBSTITUTE(F1457,"" "",""""),""^-?\d+(\.\d+)?""))&gt;=-90,VALUE(REGEXEXTRACT(SUBSTITUTE(F1457,"" "",""""),""^-?\d+(\.\d+)?""))&lt;=90,VALUE(REGEXEXT"&amp;"RACT(SUBSTITUTE(F1457,"" "",""""),""-?\d+(\.\d+)?$""))&gt;=-180,VALUE(REGEXEXTRACT(SUBSTITUTE(F1457,"" "",""""),""-?\d+(\.\d+)?$""))&lt;=180),""OK"",""REVISAR"")"),"#N/A")</f>
        <v>#N/A</v>
      </c>
    </row>
    <row r="1458" ht="15.75" customHeight="1">
      <c r="A1458" s="5" t="str">
        <f t="shared" si="1"/>
        <v>AD507-1456</v>
      </c>
      <c r="C1458" s="5"/>
      <c r="F1458" s="5"/>
      <c r="G1458" s="5" t="str">
        <f t="shared" si="2"/>
        <v/>
      </c>
      <c r="H1458" s="5" t="str">
        <f t="shared" si="3"/>
        <v/>
      </c>
      <c r="I1458" s="5" t="str">
        <f t="shared" si="4"/>
        <v/>
      </c>
      <c r="J1458" s="5" t="str">
        <f t="shared" si="5"/>
        <v/>
      </c>
      <c r="K1458" s="5" t="str">
        <f>IFERROR(__xludf.DUMMYFUNCTION("IF(C1458&lt;&gt;"""",HYPERLINK(""https://wa.me/507""&amp;REGEXREPLACE(C1458,""[^0-9]"","""")&amp;""?text=""&amp;ENCODEURL(""Ya llegue. Codigo: ""&amp;A1458&amp;"". Ubicacion: ""&amp;""https://www.google.com/maps/search/?api=1&amp;query=""&amp;SUBSTITUTE(F1458,"" "","""")),""📲 Avisar al clien"&amp;"te""),"""")"),"")</f>
        <v/>
      </c>
      <c r="L1458" s="5" t="str">
        <f>IFERROR(__xludf.DUMMYFUNCTION("IF(C1458&lt;&gt;"""",""https://api.qrserver.com/v1/create-qr-code/?size=200x200&amp;data=""&amp;ENCODEURL(""https://wa.me/507""&amp;REGEXREPLACE(C1458,""[^0-9]"","""")&amp;""?text=""&amp;ENCODEURL(""Ya llegue. Codigo: ""&amp;A1458&amp;"". Ubicacion: ""&amp;""https://www.google.com/maps/search"&amp;"/?api=1&amp;query=""&amp;SUBSTITUTE(F1458,"" "",""""))),"""")"),"")</f>
        <v/>
      </c>
      <c r="M1458" s="5" t="str">
        <f t="shared" si="6"/>
        <v/>
      </c>
      <c r="N1458" s="5" t="str">
        <f>IFERROR(__xludf.DUMMYFUNCTION("IF(AND(F1458&lt;&gt;"""",REGEXMATCH(SUBSTITUTE(F1458,"" "",""""),""^-?\d+(\.\d+)?,-?\d+(\.\d+)?$""),VALUE(REGEXEXTRACT(SUBSTITUTE(F1458,"" "",""""),""^-?\d+(\.\d+)?""))&gt;=-90,VALUE(REGEXEXTRACT(SUBSTITUTE(F1458,"" "",""""),""^-?\d+(\.\d+)?""))&lt;=90,VALUE(REGEXEXT"&amp;"RACT(SUBSTITUTE(F1458,"" "",""""),""-?\d+(\.\d+)?$""))&gt;=-180,VALUE(REGEXEXTRACT(SUBSTITUTE(F1458,"" "",""""),""-?\d+(\.\d+)?$""))&lt;=180),""OK"",""REVISAR"")"),"#N/A")</f>
        <v>#N/A</v>
      </c>
    </row>
    <row r="1459" ht="15.75" customHeight="1">
      <c r="A1459" s="5" t="str">
        <f t="shared" si="1"/>
        <v>AD507-1457</v>
      </c>
      <c r="C1459" s="5"/>
      <c r="F1459" s="5"/>
      <c r="G1459" s="5" t="str">
        <f t="shared" si="2"/>
        <v/>
      </c>
      <c r="H1459" s="5" t="str">
        <f t="shared" si="3"/>
        <v/>
      </c>
      <c r="I1459" s="5" t="str">
        <f t="shared" si="4"/>
        <v/>
      </c>
      <c r="J1459" s="5" t="str">
        <f t="shared" si="5"/>
        <v/>
      </c>
      <c r="K1459" s="5" t="str">
        <f>IFERROR(__xludf.DUMMYFUNCTION("IF(C1459&lt;&gt;"""",HYPERLINK(""https://wa.me/507""&amp;REGEXREPLACE(C1459,""[^0-9]"","""")&amp;""?text=""&amp;ENCODEURL(""Ya llegue. Codigo: ""&amp;A1459&amp;"". Ubicacion: ""&amp;""https://www.google.com/maps/search/?api=1&amp;query=""&amp;SUBSTITUTE(F1459,"" "","""")),""📲 Avisar al clien"&amp;"te""),"""")"),"")</f>
        <v/>
      </c>
      <c r="L1459" s="5" t="str">
        <f>IFERROR(__xludf.DUMMYFUNCTION("IF(C1459&lt;&gt;"""",""https://api.qrserver.com/v1/create-qr-code/?size=200x200&amp;data=""&amp;ENCODEURL(""https://wa.me/507""&amp;REGEXREPLACE(C1459,""[^0-9]"","""")&amp;""?text=""&amp;ENCODEURL(""Ya llegue. Codigo: ""&amp;A1459&amp;"". Ubicacion: ""&amp;""https://www.google.com/maps/search"&amp;"/?api=1&amp;query=""&amp;SUBSTITUTE(F1459,"" "",""""))),"""")"),"")</f>
        <v/>
      </c>
      <c r="M1459" s="5" t="str">
        <f t="shared" si="6"/>
        <v/>
      </c>
      <c r="N1459" s="5" t="str">
        <f>IFERROR(__xludf.DUMMYFUNCTION("IF(AND(F1459&lt;&gt;"""",REGEXMATCH(SUBSTITUTE(F1459,"" "",""""),""^-?\d+(\.\d+)?,-?\d+(\.\d+)?$""),VALUE(REGEXEXTRACT(SUBSTITUTE(F1459,"" "",""""),""^-?\d+(\.\d+)?""))&gt;=-90,VALUE(REGEXEXTRACT(SUBSTITUTE(F1459,"" "",""""),""^-?\d+(\.\d+)?""))&lt;=90,VALUE(REGEXEXT"&amp;"RACT(SUBSTITUTE(F1459,"" "",""""),""-?\d+(\.\d+)?$""))&gt;=-180,VALUE(REGEXEXTRACT(SUBSTITUTE(F1459,"" "",""""),""-?\d+(\.\d+)?$""))&lt;=180),""OK"",""REVISAR"")"),"#N/A")</f>
        <v>#N/A</v>
      </c>
    </row>
    <row r="1460" ht="15.75" customHeight="1">
      <c r="A1460" s="5" t="str">
        <f t="shared" si="1"/>
        <v>AD507-1458</v>
      </c>
      <c r="C1460" s="5"/>
      <c r="F1460" s="5"/>
      <c r="G1460" s="5" t="str">
        <f t="shared" si="2"/>
        <v/>
      </c>
      <c r="H1460" s="5" t="str">
        <f t="shared" si="3"/>
        <v/>
      </c>
      <c r="I1460" s="5" t="str">
        <f t="shared" si="4"/>
        <v/>
      </c>
      <c r="J1460" s="5" t="str">
        <f t="shared" si="5"/>
        <v/>
      </c>
      <c r="K1460" s="5" t="str">
        <f>IFERROR(__xludf.DUMMYFUNCTION("IF(C1460&lt;&gt;"""",HYPERLINK(""https://wa.me/507""&amp;REGEXREPLACE(C1460,""[^0-9]"","""")&amp;""?text=""&amp;ENCODEURL(""Ya llegue. Codigo: ""&amp;A1460&amp;"". Ubicacion: ""&amp;""https://www.google.com/maps/search/?api=1&amp;query=""&amp;SUBSTITUTE(F1460,"" "","""")),""📲 Avisar al clien"&amp;"te""),"""")"),"")</f>
        <v/>
      </c>
      <c r="L1460" s="5" t="str">
        <f>IFERROR(__xludf.DUMMYFUNCTION("IF(C1460&lt;&gt;"""",""https://api.qrserver.com/v1/create-qr-code/?size=200x200&amp;data=""&amp;ENCODEURL(""https://wa.me/507""&amp;REGEXREPLACE(C1460,""[^0-9]"","""")&amp;""?text=""&amp;ENCODEURL(""Ya llegue. Codigo: ""&amp;A1460&amp;"". Ubicacion: ""&amp;""https://www.google.com/maps/search"&amp;"/?api=1&amp;query=""&amp;SUBSTITUTE(F1460,"" "",""""))),"""")"),"")</f>
        <v/>
      </c>
      <c r="M1460" s="5" t="str">
        <f t="shared" si="6"/>
        <v/>
      </c>
      <c r="N1460" s="5" t="str">
        <f>IFERROR(__xludf.DUMMYFUNCTION("IF(AND(F1460&lt;&gt;"""",REGEXMATCH(SUBSTITUTE(F1460,"" "",""""),""^-?\d+(\.\d+)?,-?\d+(\.\d+)?$""),VALUE(REGEXEXTRACT(SUBSTITUTE(F1460,"" "",""""),""^-?\d+(\.\d+)?""))&gt;=-90,VALUE(REGEXEXTRACT(SUBSTITUTE(F1460,"" "",""""),""^-?\d+(\.\d+)?""))&lt;=90,VALUE(REGEXEXT"&amp;"RACT(SUBSTITUTE(F1460,"" "",""""),""-?\d+(\.\d+)?$""))&gt;=-180,VALUE(REGEXEXTRACT(SUBSTITUTE(F1460,"" "",""""),""-?\d+(\.\d+)?$""))&lt;=180),""OK"",""REVISAR"")"),"#N/A")</f>
        <v>#N/A</v>
      </c>
    </row>
    <row r="1461" ht="15.75" customHeight="1">
      <c r="A1461" s="5" t="str">
        <f t="shared" si="1"/>
        <v>AD507-1459</v>
      </c>
      <c r="C1461" s="5"/>
      <c r="F1461" s="5"/>
      <c r="G1461" s="5" t="str">
        <f t="shared" si="2"/>
        <v/>
      </c>
      <c r="H1461" s="5" t="str">
        <f t="shared" si="3"/>
        <v/>
      </c>
      <c r="I1461" s="5" t="str">
        <f t="shared" si="4"/>
        <v/>
      </c>
      <c r="J1461" s="5" t="str">
        <f t="shared" si="5"/>
        <v/>
      </c>
      <c r="K1461" s="5" t="str">
        <f>IFERROR(__xludf.DUMMYFUNCTION("IF(C1461&lt;&gt;"""",HYPERLINK(""https://wa.me/507""&amp;REGEXREPLACE(C1461,""[^0-9]"","""")&amp;""?text=""&amp;ENCODEURL(""Ya llegue. Codigo: ""&amp;A1461&amp;"". Ubicacion: ""&amp;""https://www.google.com/maps/search/?api=1&amp;query=""&amp;SUBSTITUTE(F1461,"" "","""")),""📲 Avisar al clien"&amp;"te""),"""")"),"")</f>
        <v/>
      </c>
      <c r="L1461" s="5" t="str">
        <f>IFERROR(__xludf.DUMMYFUNCTION("IF(C1461&lt;&gt;"""",""https://api.qrserver.com/v1/create-qr-code/?size=200x200&amp;data=""&amp;ENCODEURL(""https://wa.me/507""&amp;REGEXREPLACE(C1461,""[^0-9]"","""")&amp;""?text=""&amp;ENCODEURL(""Ya llegue. Codigo: ""&amp;A1461&amp;"". Ubicacion: ""&amp;""https://www.google.com/maps/search"&amp;"/?api=1&amp;query=""&amp;SUBSTITUTE(F1461,"" "",""""))),"""")"),"")</f>
        <v/>
      </c>
      <c r="M1461" s="5" t="str">
        <f t="shared" si="6"/>
        <v/>
      </c>
      <c r="N1461" s="5" t="str">
        <f>IFERROR(__xludf.DUMMYFUNCTION("IF(AND(F1461&lt;&gt;"""",REGEXMATCH(SUBSTITUTE(F1461,"" "",""""),""^-?\d+(\.\d+)?,-?\d+(\.\d+)?$""),VALUE(REGEXEXTRACT(SUBSTITUTE(F1461,"" "",""""),""^-?\d+(\.\d+)?""))&gt;=-90,VALUE(REGEXEXTRACT(SUBSTITUTE(F1461,"" "",""""),""^-?\d+(\.\d+)?""))&lt;=90,VALUE(REGEXEXT"&amp;"RACT(SUBSTITUTE(F1461,"" "",""""),""-?\d+(\.\d+)?$""))&gt;=-180,VALUE(REGEXEXTRACT(SUBSTITUTE(F1461,"" "",""""),""-?\d+(\.\d+)?$""))&lt;=180),""OK"",""REVISAR"")"),"#N/A")</f>
        <v>#N/A</v>
      </c>
    </row>
    <row r="1462" ht="15.75" customHeight="1">
      <c r="A1462" s="5" t="str">
        <f t="shared" si="1"/>
        <v>AD507-1460</v>
      </c>
      <c r="C1462" s="5"/>
      <c r="F1462" s="5"/>
      <c r="G1462" s="5" t="str">
        <f t="shared" si="2"/>
        <v/>
      </c>
      <c r="H1462" s="5" t="str">
        <f t="shared" si="3"/>
        <v/>
      </c>
      <c r="I1462" s="5" t="str">
        <f t="shared" si="4"/>
        <v/>
      </c>
      <c r="J1462" s="5" t="str">
        <f t="shared" si="5"/>
        <v/>
      </c>
      <c r="K1462" s="5" t="str">
        <f>IFERROR(__xludf.DUMMYFUNCTION("IF(C1462&lt;&gt;"""",HYPERLINK(""https://wa.me/507""&amp;REGEXREPLACE(C1462,""[^0-9]"","""")&amp;""?text=""&amp;ENCODEURL(""Ya llegue. Codigo: ""&amp;A1462&amp;"". Ubicacion: ""&amp;""https://www.google.com/maps/search/?api=1&amp;query=""&amp;SUBSTITUTE(F1462,"" "","""")),""📲 Avisar al clien"&amp;"te""),"""")"),"")</f>
        <v/>
      </c>
      <c r="L1462" s="5" t="str">
        <f>IFERROR(__xludf.DUMMYFUNCTION("IF(C1462&lt;&gt;"""",""https://api.qrserver.com/v1/create-qr-code/?size=200x200&amp;data=""&amp;ENCODEURL(""https://wa.me/507""&amp;REGEXREPLACE(C1462,""[^0-9]"","""")&amp;""?text=""&amp;ENCODEURL(""Ya llegue. Codigo: ""&amp;A1462&amp;"". Ubicacion: ""&amp;""https://www.google.com/maps/search"&amp;"/?api=1&amp;query=""&amp;SUBSTITUTE(F1462,"" "",""""))),"""")"),"")</f>
        <v/>
      </c>
      <c r="M1462" s="5" t="str">
        <f t="shared" si="6"/>
        <v/>
      </c>
      <c r="N1462" s="5" t="str">
        <f>IFERROR(__xludf.DUMMYFUNCTION("IF(AND(F1462&lt;&gt;"""",REGEXMATCH(SUBSTITUTE(F1462,"" "",""""),""^-?\d+(\.\d+)?,-?\d+(\.\d+)?$""),VALUE(REGEXEXTRACT(SUBSTITUTE(F1462,"" "",""""),""^-?\d+(\.\d+)?""))&gt;=-90,VALUE(REGEXEXTRACT(SUBSTITUTE(F1462,"" "",""""),""^-?\d+(\.\d+)?""))&lt;=90,VALUE(REGEXEXT"&amp;"RACT(SUBSTITUTE(F1462,"" "",""""),""-?\d+(\.\d+)?$""))&gt;=-180,VALUE(REGEXEXTRACT(SUBSTITUTE(F1462,"" "",""""),""-?\d+(\.\d+)?$""))&lt;=180),""OK"",""REVISAR"")"),"#N/A")</f>
        <v>#N/A</v>
      </c>
    </row>
    <row r="1463" ht="15.75" customHeight="1">
      <c r="A1463" s="5" t="str">
        <f t="shared" si="1"/>
        <v>AD507-1461</v>
      </c>
      <c r="C1463" s="5"/>
      <c r="F1463" s="5"/>
      <c r="G1463" s="5" t="str">
        <f t="shared" si="2"/>
        <v/>
      </c>
      <c r="H1463" s="5" t="str">
        <f t="shared" si="3"/>
        <v/>
      </c>
      <c r="I1463" s="5" t="str">
        <f t="shared" si="4"/>
        <v/>
      </c>
      <c r="J1463" s="5" t="str">
        <f t="shared" si="5"/>
        <v/>
      </c>
      <c r="K1463" s="5" t="str">
        <f>IFERROR(__xludf.DUMMYFUNCTION("IF(C1463&lt;&gt;"""",HYPERLINK(""https://wa.me/507""&amp;REGEXREPLACE(C1463,""[^0-9]"","""")&amp;""?text=""&amp;ENCODEURL(""Ya llegue. Codigo: ""&amp;A1463&amp;"". Ubicacion: ""&amp;""https://www.google.com/maps/search/?api=1&amp;query=""&amp;SUBSTITUTE(F1463,"" "","""")),""📲 Avisar al clien"&amp;"te""),"""")"),"")</f>
        <v/>
      </c>
      <c r="L1463" s="5" t="str">
        <f>IFERROR(__xludf.DUMMYFUNCTION("IF(C1463&lt;&gt;"""",""https://api.qrserver.com/v1/create-qr-code/?size=200x200&amp;data=""&amp;ENCODEURL(""https://wa.me/507""&amp;REGEXREPLACE(C1463,""[^0-9]"","""")&amp;""?text=""&amp;ENCODEURL(""Ya llegue. Codigo: ""&amp;A1463&amp;"". Ubicacion: ""&amp;""https://www.google.com/maps/search"&amp;"/?api=1&amp;query=""&amp;SUBSTITUTE(F1463,"" "",""""))),"""")"),"")</f>
        <v/>
      </c>
      <c r="M1463" s="5" t="str">
        <f t="shared" si="6"/>
        <v/>
      </c>
      <c r="N1463" s="5" t="str">
        <f>IFERROR(__xludf.DUMMYFUNCTION("IF(AND(F1463&lt;&gt;"""",REGEXMATCH(SUBSTITUTE(F1463,"" "",""""),""^-?\d+(\.\d+)?,-?\d+(\.\d+)?$""),VALUE(REGEXEXTRACT(SUBSTITUTE(F1463,"" "",""""),""^-?\d+(\.\d+)?""))&gt;=-90,VALUE(REGEXEXTRACT(SUBSTITUTE(F1463,"" "",""""),""^-?\d+(\.\d+)?""))&lt;=90,VALUE(REGEXEXT"&amp;"RACT(SUBSTITUTE(F1463,"" "",""""),""-?\d+(\.\d+)?$""))&gt;=-180,VALUE(REGEXEXTRACT(SUBSTITUTE(F1463,"" "",""""),""-?\d+(\.\d+)?$""))&lt;=180),""OK"",""REVISAR"")"),"#N/A")</f>
        <v>#N/A</v>
      </c>
    </row>
    <row r="1464" ht="15.75" customHeight="1">
      <c r="A1464" s="5" t="str">
        <f t="shared" si="1"/>
        <v>AD507-1462</v>
      </c>
      <c r="C1464" s="5"/>
      <c r="F1464" s="5"/>
      <c r="G1464" s="5" t="str">
        <f t="shared" si="2"/>
        <v/>
      </c>
      <c r="H1464" s="5" t="str">
        <f t="shared" si="3"/>
        <v/>
      </c>
      <c r="I1464" s="5" t="str">
        <f t="shared" si="4"/>
        <v/>
      </c>
      <c r="J1464" s="5" t="str">
        <f t="shared" si="5"/>
        <v/>
      </c>
      <c r="K1464" s="5" t="str">
        <f>IFERROR(__xludf.DUMMYFUNCTION("IF(C1464&lt;&gt;"""",HYPERLINK(""https://wa.me/507""&amp;REGEXREPLACE(C1464,""[^0-9]"","""")&amp;""?text=""&amp;ENCODEURL(""Ya llegue. Codigo: ""&amp;A1464&amp;"". Ubicacion: ""&amp;""https://www.google.com/maps/search/?api=1&amp;query=""&amp;SUBSTITUTE(F1464,"" "","""")),""📲 Avisar al clien"&amp;"te""),"""")"),"")</f>
        <v/>
      </c>
      <c r="L1464" s="5" t="str">
        <f>IFERROR(__xludf.DUMMYFUNCTION("IF(C1464&lt;&gt;"""",""https://api.qrserver.com/v1/create-qr-code/?size=200x200&amp;data=""&amp;ENCODEURL(""https://wa.me/507""&amp;REGEXREPLACE(C1464,""[^0-9]"","""")&amp;""?text=""&amp;ENCODEURL(""Ya llegue. Codigo: ""&amp;A1464&amp;"". Ubicacion: ""&amp;""https://www.google.com/maps/search"&amp;"/?api=1&amp;query=""&amp;SUBSTITUTE(F1464,"" "",""""))),"""")"),"")</f>
        <v/>
      </c>
      <c r="M1464" s="5" t="str">
        <f t="shared" si="6"/>
        <v/>
      </c>
      <c r="N1464" s="5" t="str">
        <f>IFERROR(__xludf.DUMMYFUNCTION("IF(AND(F1464&lt;&gt;"""",REGEXMATCH(SUBSTITUTE(F1464,"" "",""""),""^-?\d+(\.\d+)?,-?\d+(\.\d+)?$""),VALUE(REGEXEXTRACT(SUBSTITUTE(F1464,"" "",""""),""^-?\d+(\.\d+)?""))&gt;=-90,VALUE(REGEXEXTRACT(SUBSTITUTE(F1464,"" "",""""),""^-?\d+(\.\d+)?""))&lt;=90,VALUE(REGEXEXT"&amp;"RACT(SUBSTITUTE(F1464,"" "",""""),""-?\d+(\.\d+)?$""))&gt;=-180,VALUE(REGEXEXTRACT(SUBSTITUTE(F1464,"" "",""""),""-?\d+(\.\d+)?$""))&lt;=180),""OK"",""REVISAR"")"),"#N/A")</f>
        <v>#N/A</v>
      </c>
    </row>
    <row r="1465" ht="15.75" customHeight="1">
      <c r="A1465" s="5" t="str">
        <f t="shared" si="1"/>
        <v>AD507-1463</v>
      </c>
      <c r="C1465" s="5"/>
      <c r="F1465" s="5"/>
      <c r="G1465" s="5" t="str">
        <f t="shared" si="2"/>
        <v/>
      </c>
      <c r="H1465" s="5" t="str">
        <f t="shared" si="3"/>
        <v/>
      </c>
      <c r="I1465" s="5" t="str">
        <f t="shared" si="4"/>
        <v/>
      </c>
      <c r="J1465" s="5" t="str">
        <f t="shared" si="5"/>
        <v/>
      </c>
      <c r="K1465" s="5" t="str">
        <f>IFERROR(__xludf.DUMMYFUNCTION("IF(C1465&lt;&gt;"""",HYPERLINK(""https://wa.me/507""&amp;REGEXREPLACE(C1465,""[^0-9]"","""")&amp;""?text=""&amp;ENCODEURL(""Ya llegue. Codigo: ""&amp;A1465&amp;"". Ubicacion: ""&amp;""https://www.google.com/maps/search/?api=1&amp;query=""&amp;SUBSTITUTE(F1465,"" "","""")),""📲 Avisar al clien"&amp;"te""),"""")"),"")</f>
        <v/>
      </c>
      <c r="L1465" s="5" t="str">
        <f>IFERROR(__xludf.DUMMYFUNCTION("IF(C1465&lt;&gt;"""",""https://api.qrserver.com/v1/create-qr-code/?size=200x200&amp;data=""&amp;ENCODEURL(""https://wa.me/507""&amp;REGEXREPLACE(C1465,""[^0-9]"","""")&amp;""?text=""&amp;ENCODEURL(""Ya llegue. Codigo: ""&amp;A1465&amp;"". Ubicacion: ""&amp;""https://www.google.com/maps/search"&amp;"/?api=1&amp;query=""&amp;SUBSTITUTE(F1465,"" "",""""))),"""")"),"")</f>
        <v/>
      </c>
      <c r="M1465" s="5" t="str">
        <f t="shared" si="6"/>
        <v/>
      </c>
      <c r="N1465" s="5" t="str">
        <f>IFERROR(__xludf.DUMMYFUNCTION("IF(AND(F1465&lt;&gt;"""",REGEXMATCH(SUBSTITUTE(F1465,"" "",""""),""^-?\d+(\.\d+)?,-?\d+(\.\d+)?$""),VALUE(REGEXEXTRACT(SUBSTITUTE(F1465,"" "",""""),""^-?\d+(\.\d+)?""))&gt;=-90,VALUE(REGEXEXTRACT(SUBSTITUTE(F1465,"" "",""""),""^-?\d+(\.\d+)?""))&lt;=90,VALUE(REGEXEXT"&amp;"RACT(SUBSTITUTE(F1465,"" "",""""),""-?\d+(\.\d+)?$""))&gt;=-180,VALUE(REGEXEXTRACT(SUBSTITUTE(F1465,"" "",""""),""-?\d+(\.\d+)?$""))&lt;=180),""OK"",""REVISAR"")"),"#N/A")</f>
        <v>#N/A</v>
      </c>
    </row>
    <row r="1466" ht="15.75" customHeight="1">
      <c r="A1466" s="5" t="str">
        <f t="shared" si="1"/>
        <v>AD507-1464</v>
      </c>
      <c r="C1466" s="5"/>
      <c r="F1466" s="5"/>
      <c r="G1466" s="5" t="str">
        <f t="shared" si="2"/>
        <v/>
      </c>
      <c r="H1466" s="5" t="str">
        <f t="shared" si="3"/>
        <v/>
      </c>
      <c r="I1466" s="5" t="str">
        <f t="shared" si="4"/>
        <v/>
      </c>
      <c r="J1466" s="5" t="str">
        <f t="shared" si="5"/>
        <v/>
      </c>
      <c r="K1466" s="5" t="str">
        <f>IFERROR(__xludf.DUMMYFUNCTION("IF(C1466&lt;&gt;"""",HYPERLINK(""https://wa.me/507""&amp;REGEXREPLACE(C1466,""[^0-9]"","""")&amp;""?text=""&amp;ENCODEURL(""Ya llegue. Codigo: ""&amp;A1466&amp;"". Ubicacion: ""&amp;""https://www.google.com/maps/search/?api=1&amp;query=""&amp;SUBSTITUTE(F1466,"" "","""")),""📲 Avisar al clien"&amp;"te""),"""")"),"")</f>
        <v/>
      </c>
      <c r="L1466" s="5" t="str">
        <f>IFERROR(__xludf.DUMMYFUNCTION("IF(C1466&lt;&gt;"""",""https://api.qrserver.com/v1/create-qr-code/?size=200x200&amp;data=""&amp;ENCODEURL(""https://wa.me/507""&amp;REGEXREPLACE(C1466,""[^0-9]"","""")&amp;""?text=""&amp;ENCODEURL(""Ya llegue. Codigo: ""&amp;A1466&amp;"". Ubicacion: ""&amp;""https://www.google.com/maps/search"&amp;"/?api=1&amp;query=""&amp;SUBSTITUTE(F1466,"" "",""""))),"""")"),"")</f>
        <v/>
      </c>
      <c r="M1466" s="5" t="str">
        <f t="shared" si="6"/>
        <v/>
      </c>
      <c r="N1466" s="5" t="str">
        <f>IFERROR(__xludf.DUMMYFUNCTION("IF(AND(F1466&lt;&gt;"""",REGEXMATCH(SUBSTITUTE(F1466,"" "",""""),""^-?\d+(\.\d+)?,-?\d+(\.\d+)?$""),VALUE(REGEXEXTRACT(SUBSTITUTE(F1466,"" "",""""),""^-?\d+(\.\d+)?""))&gt;=-90,VALUE(REGEXEXTRACT(SUBSTITUTE(F1466,"" "",""""),""^-?\d+(\.\d+)?""))&lt;=90,VALUE(REGEXEXT"&amp;"RACT(SUBSTITUTE(F1466,"" "",""""),""-?\d+(\.\d+)?$""))&gt;=-180,VALUE(REGEXEXTRACT(SUBSTITUTE(F1466,"" "",""""),""-?\d+(\.\d+)?$""))&lt;=180),""OK"",""REVISAR"")"),"#N/A")</f>
        <v>#N/A</v>
      </c>
    </row>
    <row r="1467" ht="15.75" customHeight="1">
      <c r="A1467" s="5" t="str">
        <f t="shared" si="1"/>
        <v>AD507-1465</v>
      </c>
      <c r="C1467" s="5"/>
      <c r="F1467" s="5"/>
      <c r="G1467" s="5" t="str">
        <f t="shared" si="2"/>
        <v/>
      </c>
      <c r="H1467" s="5" t="str">
        <f t="shared" si="3"/>
        <v/>
      </c>
      <c r="I1467" s="5" t="str">
        <f t="shared" si="4"/>
        <v/>
      </c>
      <c r="J1467" s="5" t="str">
        <f t="shared" si="5"/>
        <v/>
      </c>
      <c r="K1467" s="5" t="str">
        <f>IFERROR(__xludf.DUMMYFUNCTION("IF(C1467&lt;&gt;"""",HYPERLINK(""https://wa.me/507""&amp;REGEXREPLACE(C1467,""[^0-9]"","""")&amp;""?text=""&amp;ENCODEURL(""Ya llegue. Codigo: ""&amp;A1467&amp;"". Ubicacion: ""&amp;""https://www.google.com/maps/search/?api=1&amp;query=""&amp;SUBSTITUTE(F1467,"" "","""")),""📲 Avisar al clien"&amp;"te""),"""")"),"")</f>
        <v/>
      </c>
      <c r="L1467" s="5" t="str">
        <f>IFERROR(__xludf.DUMMYFUNCTION("IF(C1467&lt;&gt;"""",""https://api.qrserver.com/v1/create-qr-code/?size=200x200&amp;data=""&amp;ENCODEURL(""https://wa.me/507""&amp;REGEXREPLACE(C1467,""[^0-9]"","""")&amp;""?text=""&amp;ENCODEURL(""Ya llegue. Codigo: ""&amp;A1467&amp;"". Ubicacion: ""&amp;""https://www.google.com/maps/search"&amp;"/?api=1&amp;query=""&amp;SUBSTITUTE(F1467,"" "",""""))),"""")"),"")</f>
        <v/>
      </c>
      <c r="M1467" s="5" t="str">
        <f t="shared" si="6"/>
        <v/>
      </c>
      <c r="N1467" s="5" t="str">
        <f>IFERROR(__xludf.DUMMYFUNCTION("IF(AND(F1467&lt;&gt;"""",REGEXMATCH(SUBSTITUTE(F1467,"" "",""""),""^-?\d+(\.\d+)?,-?\d+(\.\d+)?$""),VALUE(REGEXEXTRACT(SUBSTITUTE(F1467,"" "",""""),""^-?\d+(\.\d+)?""))&gt;=-90,VALUE(REGEXEXTRACT(SUBSTITUTE(F1467,"" "",""""),""^-?\d+(\.\d+)?""))&lt;=90,VALUE(REGEXEXT"&amp;"RACT(SUBSTITUTE(F1467,"" "",""""),""-?\d+(\.\d+)?$""))&gt;=-180,VALUE(REGEXEXTRACT(SUBSTITUTE(F1467,"" "",""""),""-?\d+(\.\d+)?$""))&lt;=180),""OK"",""REVISAR"")"),"#N/A")</f>
        <v>#N/A</v>
      </c>
    </row>
    <row r="1468" ht="15.75" customHeight="1">
      <c r="A1468" s="5" t="str">
        <f t="shared" si="1"/>
        <v>AD507-1466</v>
      </c>
      <c r="C1468" s="5"/>
      <c r="F1468" s="5"/>
      <c r="G1468" s="5" t="str">
        <f t="shared" si="2"/>
        <v/>
      </c>
      <c r="H1468" s="5" t="str">
        <f t="shared" si="3"/>
        <v/>
      </c>
      <c r="I1468" s="5" t="str">
        <f t="shared" si="4"/>
        <v/>
      </c>
      <c r="J1468" s="5" t="str">
        <f t="shared" si="5"/>
        <v/>
      </c>
      <c r="K1468" s="5" t="str">
        <f>IFERROR(__xludf.DUMMYFUNCTION("IF(C1468&lt;&gt;"""",HYPERLINK(""https://wa.me/507""&amp;REGEXREPLACE(C1468,""[^0-9]"","""")&amp;""?text=""&amp;ENCODEURL(""Ya llegue. Codigo: ""&amp;A1468&amp;"". Ubicacion: ""&amp;""https://www.google.com/maps/search/?api=1&amp;query=""&amp;SUBSTITUTE(F1468,"" "","""")),""📲 Avisar al clien"&amp;"te""),"""")"),"")</f>
        <v/>
      </c>
      <c r="L1468" s="5" t="str">
        <f>IFERROR(__xludf.DUMMYFUNCTION("IF(C1468&lt;&gt;"""",""https://api.qrserver.com/v1/create-qr-code/?size=200x200&amp;data=""&amp;ENCODEURL(""https://wa.me/507""&amp;REGEXREPLACE(C1468,""[^0-9]"","""")&amp;""?text=""&amp;ENCODEURL(""Ya llegue. Codigo: ""&amp;A1468&amp;"". Ubicacion: ""&amp;""https://www.google.com/maps/search"&amp;"/?api=1&amp;query=""&amp;SUBSTITUTE(F1468,"" "",""""))),"""")"),"")</f>
        <v/>
      </c>
      <c r="M1468" s="5" t="str">
        <f t="shared" si="6"/>
        <v/>
      </c>
      <c r="N1468" s="5" t="str">
        <f>IFERROR(__xludf.DUMMYFUNCTION("IF(AND(F1468&lt;&gt;"""",REGEXMATCH(SUBSTITUTE(F1468,"" "",""""),""^-?\d+(\.\d+)?,-?\d+(\.\d+)?$""),VALUE(REGEXEXTRACT(SUBSTITUTE(F1468,"" "",""""),""^-?\d+(\.\d+)?""))&gt;=-90,VALUE(REGEXEXTRACT(SUBSTITUTE(F1468,"" "",""""),""^-?\d+(\.\d+)?""))&lt;=90,VALUE(REGEXEXT"&amp;"RACT(SUBSTITUTE(F1468,"" "",""""),""-?\d+(\.\d+)?$""))&gt;=-180,VALUE(REGEXEXTRACT(SUBSTITUTE(F1468,"" "",""""),""-?\d+(\.\d+)?$""))&lt;=180),""OK"",""REVISAR"")"),"#N/A")</f>
        <v>#N/A</v>
      </c>
    </row>
    <row r="1469" ht="15.75" customHeight="1">
      <c r="A1469" s="5" t="str">
        <f t="shared" si="1"/>
        <v>AD507-1467</v>
      </c>
      <c r="C1469" s="5"/>
      <c r="F1469" s="5"/>
      <c r="G1469" s="5" t="str">
        <f t="shared" si="2"/>
        <v/>
      </c>
      <c r="H1469" s="5" t="str">
        <f t="shared" si="3"/>
        <v/>
      </c>
      <c r="I1469" s="5" t="str">
        <f t="shared" si="4"/>
        <v/>
      </c>
      <c r="J1469" s="5" t="str">
        <f t="shared" si="5"/>
        <v/>
      </c>
      <c r="K1469" s="5" t="str">
        <f>IFERROR(__xludf.DUMMYFUNCTION("IF(C1469&lt;&gt;"""",HYPERLINK(""https://wa.me/507""&amp;REGEXREPLACE(C1469,""[^0-9]"","""")&amp;""?text=""&amp;ENCODEURL(""Ya llegue. Codigo: ""&amp;A1469&amp;"". Ubicacion: ""&amp;""https://www.google.com/maps/search/?api=1&amp;query=""&amp;SUBSTITUTE(F1469,"" "","""")),""📲 Avisar al clien"&amp;"te""),"""")"),"")</f>
        <v/>
      </c>
      <c r="L1469" s="5" t="str">
        <f>IFERROR(__xludf.DUMMYFUNCTION("IF(C1469&lt;&gt;"""",""https://api.qrserver.com/v1/create-qr-code/?size=200x200&amp;data=""&amp;ENCODEURL(""https://wa.me/507""&amp;REGEXREPLACE(C1469,""[^0-9]"","""")&amp;""?text=""&amp;ENCODEURL(""Ya llegue. Codigo: ""&amp;A1469&amp;"". Ubicacion: ""&amp;""https://www.google.com/maps/search"&amp;"/?api=1&amp;query=""&amp;SUBSTITUTE(F1469,"" "",""""))),"""")"),"")</f>
        <v/>
      </c>
      <c r="M1469" s="5" t="str">
        <f t="shared" si="6"/>
        <v/>
      </c>
      <c r="N1469" s="5" t="str">
        <f>IFERROR(__xludf.DUMMYFUNCTION("IF(AND(F1469&lt;&gt;"""",REGEXMATCH(SUBSTITUTE(F1469,"" "",""""),""^-?\d+(\.\d+)?,-?\d+(\.\d+)?$""),VALUE(REGEXEXTRACT(SUBSTITUTE(F1469,"" "",""""),""^-?\d+(\.\d+)?""))&gt;=-90,VALUE(REGEXEXTRACT(SUBSTITUTE(F1469,"" "",""""),""^-?\d+(\.\d+)?""))&lt;=90,VALUE(REGEXEXT"&amp;"RACT(SUBSTITUTE(F1469,"" "",""""),""-?\d+(\.\d+)?$""))&gt;=-180,VALUE(REGEXEXTRACT(SUBSTITUTE(F1469,"" "",""""),""-?\d+(\.\d+)?$""))&lt;=180),""OK"",""REVISAR"")"),"#N/A")</f>
        <v>#N/A</v>
      </c>
    </row>
    <row r="1470" ht="15.75" customHeight="1">
      <c r="A1470" s="5" t="str">
        <f t="shared" si="1"/>
        <v>AD507-1468</v>
      </c>
      <c r="C1470" s="5"/>
      <c r="F1470" s="5"/>
      <c r="G1470" s="5" t="str">
        <f t="shared" si="2"/>
        <v/>
      </c>
      <c r="H1470" s="5" t="str">
        <f t="shared" si="3"/>
        <v/>
      </c>
      <c r="I1470" s="5" t="str">
        <f t="shared" si="4"/>
        <v/>
      </c>
      <c r="J1470" s="5" t="str">
        <f t="shared" si="5"/>
        <v/>
      </c>
      <c r="K1470" s="5" t="str">
        <f>IFERROR(__xludf.DUMMYFUNCTION("IF(C1470&lt;&gt;"""",HYPERLINK(""https://wa.me/507""&amp;REGEXREPLACE(C1470,""[^0-9]"","""")&amp;""?text=""&amp;ENCODEURL(""Ya llegue. Codigo: ""&amp;A1470&amp;"". Ubicacion: ""&amp;""https://www.google.com/maps/search/?api=1&amp;query=""&amp;SUBSTITUTE(F1470,"" "","""")),""📲 Avisar al clien"&amp;"te""),"""")"),"")</f>
        <v/>
      </c>
      <c r="L1470" s="5" t="str">
        <f>IFERROR(__xludf.DUMMYFUNCTION("IF(C1470&lt;&gt;"""",""https://api.qrserver.com/v1/create-qr-code/?size=200x200&amp;data=""&amp;ENCODEURL(""https://wa.me/507""&amp;REGEXREPLACE(C1470,""[^0-9]"","""")&amp;""?text=""&amp;ENCODEURL(""Ya llegue. Codigo: ""&amp;A1470&amp;"". Ubicacion: ""&amp;""https://www.google.com/maps/search"&amp;"/?api=1&amp;query=""&amp;SUBSTITUTE(F1470,"" "",""""))),"""")"),"")</f>
        <v/>
      </c>
      <c r="M1470" s="5" t="str">
        <f t="shared" si="6"/>
        <v/>
      </c>
      <c r="N1470" s="5" t="str">
        <f>IFERROR(__xludf.DUMMYFUNCTION("IF(AND(F1470&lt;&gt;"""",REGEXMATCH(SUBSTITUTE(F1470,"" "",""""),""^-?\d+(\.\d+)?,-?\d+(\.\d+)?$""),VALUE(REGEXEXTRACT(SUBSTITUTE(F1470,"" "",""""),""^-?\d+(\.\d+)?""))&gt;=-90,VALUE(REGEXEXTRACT(SUBSTITUTE(F1470,"" "",""""),""^-?\d+(\.\d+)?""))&lt;=90,VALUE(REGEXEXT"&amp;"RACT(SUBSTITUTE(F1470,"" "",""""),""-?\d+(\.\d+)?$""))&gt;=-180,VALUE(REGEXEXTRACT(SUBSTITUTE(F1470,"" "",""""),""-?\d+(\.\d+)?$""))&lt;=180),""OK"",""REVISAR"")"),"#N/A")</f>
        <v>#N/A</v>
      </c>
    </row>
    <row r="1471" ht="15.75" customHeight="1">
      <c r="A1471" s="5" t="str">
        <f t="shared" si="1"/>
        <v>AD507-1469</v>
      </c>
      <c r="C1471" s="5"/>
      <c r="F1471" s="5"/>
      <c r="G1471" s="5" t="str">
        <f t="shared" si="2"/>
        <v/>
      </c>
      <c r="H1471" s="5" t="str">
        <f t="shared" si="3"/>
        <v/>
      </c>
      <c r="I1471" s="5" t="str">
        <f t="shared" si="4"/>
        <v/>
      </c>
      <c r="J1471" s="5" t="str">
        <f t="shared" si="5"/>
        <v/>
      </c>
      <c r="K1471" s="5" t="str">
        <f>IFERROR(__xludf.DUMMYFUNCTION("IF(C1471&lt;&gt;"""",HYPERLINK(""https://wa.me/507""&amp;REGEXREPLACE(C1471,""[^0-9]"","""")&amp;""?text=""&amp;ENCODEURL(""Ya llegue. Codigo: ""&amp;A1471&amp;"". Ubicacion: ""&amp;""https://www.google.com/maps/search/?api=1&amp;query=""&amp;SUBSTITUTE(F1471,"" "","""")),""📲 Avisar al clien"&amp;"te""),"""")"),"")</f>
        <v/>
      </c>
      <c r="L1471" s="5" t="str">
        <f>IFERROR(__xludf.DUMMYFUNCTION("IF(C1471&lt;&gt;"""",""https://api.qrserver.com/v1/create-qr-code/?size=200x200&amp;data=""&amp;ENCODEURL(""https://wa.me/507""&amp;REGEXREPLACE(C1471,""[^0-9]"","""")&amp;""?text=""&amp;ENCODEURL(""Ya llegue. Codigo: ""&amp;A1471&amp;"". Ubicacion: ""&amp;""https://www.google.com/maps/search"&amp;"/?api=1&amp;query=""&amp;SUBSTITUTE(F1471,"" "",""""))),"""")"),"")</f>
        <v/>
      </c>
      <c r="M1471" s="5" t="str">
        <f t="shared" si="6"/>
        <v/>
      </c>
      <c r="N1471" s="5" t="str">
        <f>IFERROR(__xludf.DUMMYFUNCTION("IF(AND(F1471&lt;&gt;"""",REGEXMATCH(SUBSTITUTE(F1471,"" "",""""),""^-?\d+(\.\d+)?,-?\d+(\.\d+)?$""),VALUE(REGEXEXTRACT(SUBSTITUTE(F1471,"" "",""""),""^-?\d+(\.\d+)?""))&gt;=-90,VALUE(REGEXEXTRACT(SUBSTITUTE(F1471,"" "",""""),""^-?\d+(\.\d+)?""))&lt;=90,VALUE(REGEXEXT"&amp;"RACT(SUBSTITUTE(F1471,"" "",""""),""-?\d+(\.\d+)?$""))&gt;=-180,VALUE(REGEXEXTRACT(SUBSTITUTE(F1471,"" "",""""),""-?\d+(\.\d+)?$""))&lt;=180),""OK"",""REVISAR"")"),"#N/A")</f>
        <v>#N/A</v>
      </c>
    </row>
    <row r="1472" ht="15.75" customHeight="1">
      <c r="A1472" s="5" t="str">
        <f t="shared" si="1"/>
        <v>AD507-1470</v>
      </c>
      <c r="C1472" s="5"/>
      <c r="F1472" s="5"/>
      <c r="G1472" s="5" t="str">
        <f t="shared" si="2"/>
        <v/>
      </c>
      <c r="H1472" s="5" t="str">
        <f t="shared" si="3"/>
        <v/>
      </c>
      <c r="I1472" s="5" t="str">
        <f t="shared" si="4"/>
        <v/>
      </c>
      <c r="J1472" s="5" t="str">
        <f t="shared" si="5"/>
        <v/>
      </c>
      <c r="K1472" s="5" t="str">
        <f>IFERROR(__xludf.DUMMYFUNCTION("IF(C1472&lt;&gt;"""",HYPERLINK(""https://wa.me/507""&amp;REGEXREPLACE(C1472,""[^0-9]"","""")&amp;""?text=""&amp;ENCODEURL(""Ya llegue. Codigo: ""&amp;A1472&amp;"". Ubicacion: ""&amp;""https://www.google.com/maps/search/?api=1&amp;query=""&amp;SUBSTITUTE(F1472,"" "","""")),""📲 Avisar al clien"&amp;"te""),"""")"),"")</f>
        <v/>
      </c>
      <c r="L1472" s="5" t="str">
        <f>IFERROR(__xludf.DUMMYFUNCTION("IF(C1472&lt;&gt;"""",""https://api.qrserver.com/v1/create-qr-code/?size=200x200&amp;data=""&amp;ENCODEURL(""https://wa.me/507""&amp;REGEXREPLACE(C1472,""[^0-9]"","""")&amp;""?text=""&amp;ENCODEURL(""Ya llegue. Codigo: ""&amp;A1472&amp;"". Ubicacion: ""&amp;""https://www.google.com/maps/search"&amp;"/?api=1&amp;query=""&amp;SUBSTITUTE(F1472,"" "",""""))),"""")"),"")</f>
        <v/>
      </c>
      <c r="M1472" s="5" t="str">
        <f t="shared" si="6"/>
        <v/>
      </c>
      <c r="N1472" s="5" t="str">
        <f>IFERROR(__xludf.DUMMYFUNCTION("IF(AND(F1472&lt;&gt;"""",REGEXMATCH(SUBSTITUTE(F1472,"" "",""""),""^-?\d+(\.\d+)?,-?\d+(\.\d+)?$""),VALUE(REGEXEXTRACT(SUBSTITUTE(F1472,"" "",""""),""^-?\d+(\.\d+)?""))&gt;=-90,VALUE(REGEXEXTRACT(SUBSTITUTE(F1472,"" "",""""),""^-?\d+(\.\d+)?""))&lt;=90,VALUE(REGEXEXT"&amp;"RACT(SUBSTITUTE(F1472,"" "",""""),""-?\d+(\.\d+)?$""))&gt;=-180,VALUE(REGEXEXTRACT(SUBSTITUTE(F1472,"" "",""""),""-?\d+(\.\d+)?$""))&lt;=180),""OK"",""REVISAR"")"),"#N/A")</f>
        <v>#N/A</v>
      </c>
    </row>
    <row r="1473" ht="15.75" customHeight="1">
      <c r="A1473" s="5" t="str">
        <f t="shared" si="1"/>
        <v>AD507-1471</v>
      </c>
      <c r="C1473" s="5"/>
      <c r="F1473" s="5"/>
      <c r="G1473" s="5" t="str">
        <f t="shared" si="2"/>
        <v/>
      </c>
      <c r="H1473" s="5" t="str">
        <f t="shared" si="3"/>
        <v/>
      </c>
      <c r="I1473" s="5" t="str">
        <f t="shared" si="4"/>
        <v/>
      </c>
      <c r="J1473" s="5" t="str">
        <f t="shared" si="5"/>
        <v/>
      </c>
      <c r="K1473" s="5" t="str">
        <f>IFERROR(__xludf.DUMMYFUNCTION("IF(C1473&lt;&gt;"""",HYPERLINK(""https://wa.me/507""&amp;REGEXREPLACE(C1473,""[^0-9]"","""")&amp;""?text=""&amp;ENCODEURL(""Ya llegue. Codigo: ""&amp;A1473&amp;"". Ubicacion: ""&amp;""https://www.google.com/maps/search/?api=1&amp;query=""&amp;SUBSTITUTE(F1473,"" "","""")),""📲 Avisar al clien"&amp;"te""),"""")"),"")</f>
        <v/>
      </c>
      <c r="L1473" s="5" t="str">
        <f>IFERROR(__xludf.DUMMYFUNCTION("IF(C1473&lt;&gt;"""",""https://api.qrserver.com/v1/create-qr-code/?size=200x200&amp;data=""&amp;ENCODEURL(""https://wa.me/507""&amp;REGEXREPLACE(C1473,""[^0-9]"","""")&amp;""?text=""&amp;ENCODEURL(""Ya llegue. Codigo: ""&amp;A1473&amp;"". Ubicacion: ""&amp;""https://www.google.com/maps/search"&amp;"/?api=1&amp;query=""&amp;SUBSTITUTE(F1473,"" "",""""))),"""")"),"")</f>
        <v/>
      </c>
      <c r="M1473" s="5" t="str">
        <f t="shared" si="6"/>
        <v/>
      </c>
      <c r="N1473" s="5" t="str">
        <f>IFERROR(__xludf.DUMMYFUNCTION("IF(AND(F1473&lt;&gt;"""",REGEXMATCH(SUBSTITUTE(F1473,"" "",""""),""^-?\d+(\.\d+)?,-?\d+(\.\d+)?$""),VALUE(REGEXEXTRACT(SUBSTITUTE(F1473,"" "",""""),""^-?\d+(\.\d+)?""))&gt;=-90,VALUE(REGEXEXTRACT(SUBSTITUTE(F1473,"" "",""""),""^-?\d+(\.\d+)?""))&lt;=90,VALUE(REGEXEXT"&amp;"RACT(SUBSTITUTE(F1473,"" "",""""),""-?\d+(\.\d+)?$""))&gt;=-180,VALUE(REGEXEXTRACT(SUBSTITUTE(F1473,"" "",""""),""-?\d+(\.\d+)?$""))&lt;=180),""OK"",""REVISAR"")"),"#N/A")</f>
        <v>#N/A</v>
      </c>
    </row>
    <row r="1474" ht="15.75" customHeight="1">
      <c r="A1474" s="5" t="str">
        <f t="shared" si="1"/>
        <v>AD507-1472</v>
      </c>
      <c r="C1474" s="5"/>
      <c r="F1474" s="5"/>
      <c r="G1474" s="5" t="str">
        <f t="shared" si="2"/>
        <v/>
      </c>
      <c r="H1474" s="5" t="str">
        <f t="shared" si="3"/>
        <v/>
      </c>
      <c r="I1474" s="5" t="str">
        <f t="shared" si="4"/>
        <v/>
      </c>
      <c r="J1474" s="5" t="str">
        <f t="shared" si="5"/>
        <v/>
      </c>
      <c r="K1474" s="5" t="str">
        <f>IFERROR(__xludf.DUMMYFUNCTION("IF(C1474&lt;&gt;"""",HYPERLINK(""https://wa.me/507""&amp;REGEXREPLACE(C1474,""[^0-9]"","""")&amp;""?text=""&amp;ENCODEURL(""Ya llegue. Codigo: ""&amp;A1474&amp;"". Ubicacion: ""&amp;""https://www.google.com/maps/search/?api=1&amp;query=""&amp;SUBSTITUTE(F1474,"" "","""")),""📲 Avisar al clien"&amp;"te""),"""")"),"")</f>
        <v/>
      </c>
      <c r="L1474" s="5" t="str">
        <f>IFERROR(__xludf.DUMMYFUNCTION("IF(C1474&lt;&gt;"""",""https://api.qrserver.com/v1/create-qr-code/?size=200x200&amp;data=""&amp;ENCODEURL(""https://wa.me/507""&amp;REGEXREPLACE(C1474,""[^0-9]"","""")&amp;""?text=""&amp;ENCODEURL(""Ya llegue. Codigo: ""&amp;A1474&amp;"". Ubicacion: ""&amp;""https://www.google.com/maps/search"&amp;"/?api=1&amp;query=""&amp;SUBSTITUTE(F1474,"" "",""""))),"""")"),"")</f>
        <v/>
      </c>
      <c r="M1474" s="5" t="str">
        <f t="shared" si="6"/>
        <v/>
      </c>
      <c r="N1474" s="5" t="str">
        <f>IFERROR(__xludf.DUMMYFUNCTION("IF(AND(F1474&lt;&gt;"""",REGEXMATCH(SUBSTITUTE(F1474,"" "",""""),""^-?\d+(\.\d+)?,-?\d+(\.\d+)?$""),VALUE(REGEXEXTRACT(SUBSTITUTE(F1474,"" "",""""),""^-?\d+(\.\d+)?""))&gt;=-90,VALUE(REGEXEXTRACT(SUBSTITUTE(F1474,"" "",""""),""^-?\d+(\.\d+)?""))&lt;=90,VALUE(REGEXEXT"&amp;"RACT(SUBSTITUTE(F1474,"" "",""""),""-?\d+(\.\d+)?$""))&gt;=-180,VALUE(REGEXEXTRACT(SUBSTITUTE(F1474,"" "",""""),""-?\d+(\.\d+)?$""))&lt;=180),""OK"",""REVISAR"")"),"#N/A")</f>
        <v>#N/A</v>
      </c>
    </row>
    <row r="1475" ht="15.75" customHeight="1">
      <c r="A1475" s="5" t="str">
        <f t="shared" si="1"/>
        <v>AD507-1473</v>
      </c>
      <c r="C1475" s="5"/>
      <c r="F1475" s="5"/>
      <c r="G1475" s="5" t="str">
        <f t="shared" si="2"/>
        <v/>
      </c>
      <c r="H1475" s="5" t="str">
        <f t="shared" si="3"/>
        <v/>
      </c>
      <c r="I1475" s="5" t="str">
        <f t="shared" si="4"/>
        <v/>
      </c>
      <c r="J1475" s="5" t="str">
        <f t="shared" si="5"/>
        <v/>
      </c>
      <c r="K1475" s="5" t="str">
        <f>IFERROR(__xludf.DUMMYFUNCTION("IF(C1475&lt;&gt;"""",HYPERLINK(""https://wa.me/507""&amp;REGEXREPLACE(C1475,""[^0-9]"","""")&amp;""?text=""&amp;ENCODEURL(""Ya llegue. Codigo: ""&amp;A1475&amp;"". Ubicacion: ""&amp;""https://www.google.com/maps/search/?api=1&amp;query=""&amp;SUBSTITUTE(F1475,"" "","""")),""📲 Avisar al clien"&amp;"te""),"""")"),"")</f>
        <v/>
      </c>
      <c r="L1475" s="5" t="str">
        <f>IFERROR(__xludf.DUMMYFUNCTION("IF(C1475&lt;&gt;"""",""https://api.qrserver.com/v1/create-qr-code/?size=200x200&amp;data=""&amp;ENCODEURL(""https://wa.me/507""&amp;REGEXREPLACE(C1475,""[^0-9]"","""")&amp;""?text=""&amp;ENCODEURL(""Ya llegue. Codigo: ""&amp;A1475&amp;"". Ubicacion: ""&amp;""https://www.google.com/maps/search"&amp;"/?api=1&amp;query=""&amp;SUBSTITUTE(F1475,"" "",""""))),"""")"),"")</f>
        <v/>
      </c>
      <c r="M1475" s="5" t="str">
        <f t="shared" si="6"/>
        <v/>
      </c>
      <c r="N1475" s="5" t="str">
        <f>IFERROR(__xludf.DUMMYFUNCTION("IF(AND(F1475&lt;&gt;"""",REGEXMATCH(SUBSTITUTE(F1475,"" "",""""),""^-?\d+(\.\d+)?,-?\d+(\.\d+)?$""),VALUE(REGEXEXTRACT(SUBSTITUTE(F1475,"" "",""""),""^-?\d+(\.\d+)?""))&gt;=-90,VALUE(REGEXEXTRACT(SUBSTITUTE(F1475,"" "",""""),""^-?\d+(\.\d+)?""))&lt;=90,VALUE(REGEXEXT"&amp;"RACT(SUBSTITUTE(F1475,"" "",""""),""-?\d+(\.\d+)?$""))&gt;=-180,VALUE(REGEXEXTRACT(SUBSTITUTE(F1475,"" "",""""),""-?\d+(\.\d+)?$""))&lt;=180),""OK"",""REVISAR"")"),"#N/A")</f>
        <v>#N/A</v>
      </c>
    </row>
    <row r="1476" ht="15.75" customHeight="1">
      <c r="A1476" s="5" t="str">
        <f t="shared" si="1"/>
        <v>AD507-1474</v>
      </c>
      <c r="C1476" s="5"/>
      <c r="F1476" s="5"/>
      <c r="G1476" s="5" t="str">
        <f t="shared" si="2"/>
        <v/>
      </c>
      <c r="H1476" s="5" t="str">
        <f t="shared" si="3"/>
        <v/>
      </c>
      <c r="I1476" s="5" t="str">
        <f t="shared" si="4"/>
        <v/>
      </c>
      <c r="J1476" s="5" t="str">
        <f t="shared" si="5"/>
        <v/>
      </c>
      <c r="K1476" s="5" t="str">
        <f>IFERROR(__xludf.DUMMYFUNCTION("IF(C1476&lt;&gt;"""",HYPERLINK(""https://wa.me/507""&amp;REGEXREPLACE(C1476,""[^0-9]"","""")&amp;""?text=""&amp;ENCODEURL(""Ya llegue. Codigo: ""&amp;A1476&amp;"". Ubicacion: ""&amp;""https://www.google.com/maps/search/?api=1&amp;query=""&amp;SUBSTITUTE(F1476,"" "","""")),""📲 Avisar al clien"&amp;"te""),"""")"),"")</f>
        <v/>
      </c>
      <c r="L1476" s="5" t="str">
        <f>IFERROR(__xludf.DUMMYFUNCTION("IF(C1476&lt;&gt;"""",""https://api.qrserver.com/v1/create-qr-code/?size=200x200&amp;data=""&amp;ENCODEURL(""https://wa.me/507""&amp;REGEXREPLACE(C1476,""[^0-9]"","""")&amp;""?text=""&amp;ENCODEURL(""Ya llegue. Codigo: ""&amp;A1476&amp;"". Ubicacion: ""&amp;""https://www.google.com/maps/search"&amp;"/?api=1&amp;query=""&amp;SUBSTITUTE(F1476,"" "",""""))),"""")"),"")</f>
        <v/>
      </c>
      <c r="M1476" s="5" t="str">
        <f t="shared" si="6"/>
        <v/>
      </c>
      <c r="N1476" s="5" t="str">
        <f>IFERROR(__xludf.DUMMYFUNCTION("IF(AND(F1476&lt;&gt;"""",REGEXMATCH(SUBSTITUTE(F1476,"" "",""""),""^-?\d+(\.\d+)?,-?\d+(\.\d+)?$""),VALUE(REGEXEXTRACT(SUBSTITUTE(F1476,"" "",""""),""^-?\d+(\.\d+)?""))&gt;=-90,VALUE(REGEXEXTRACT(SUBSTITUTE(F1476,"" "",""""),""^-?\d+(\.\d+)?""))&lt;=90,VALUE(REGEXEXT"&amp;"RACT(SUBSTITUTE(F1476,"" "",""""),""-?\d+(\.\d+)?$""))&gt;=-180,VALUE(REGEXEXTRACT(SUBSTITUTE(F1476,"" "",""""),""-?\d+(\.\d+)?$""))&lt;=180),""OK"",""REVISAR"")"),"#N/A")</f>
        <v>#N/A</v>
      </c>
    </row>
    <row r="1477" ht="15.75" customHeight="1">
      <c r="A1477" s="5" t="str">
        <f t="shared" si="1"/>
        <v>AD507-1475</v>
      </c>
      <c r="C1477" s="5"/>
      <c r="F1477" s="5"/>
      <c r="G1477" s="5" t="str">
        <f t="shared" si="2"/>
        <v/>
      </c>
      <c r="H1477" s="5" t="str">
        <f t="shared" si="3"/>
        <v/>
      </c>
      <c r="I1477" s="5" t="str">
        <f t="shared" si="4"/>
        <v/>
      </c>
      <c r="J1477" s="5" t="str">
        <f t="shared" si="5"/>
        <v/>
      </c>
      <c r="K1477" s="5" t="str">
        <f>IFERROR(__xludf.DUMMYFUNCTION("IF(C1477&lt;&gt;"""",HYPERLINK(""https://wa.me/507""&amp;REGEXREPLACE(C1477,""[^0-9]"","""")&amp;""?text=""&amp;ENCODEURL(""Ya llegue. Codigo: ""&amp;A1477&amp;"". Ubicacion: ""&amp;""https://www.google.com/maps/search/?api=1&amp;query=""&amp;SUBSTITUTE(F1477,"" "","""")),""📲 Avisar al clien"&amp;"te""),"""")"),"")</f>
        <v/>
      </c>
      <c r="L1477" s="5" t="str">
        <f>IFERROR(__xludf.DUMMYFUNCTION("IF(C1477&lt;&gt;"""",""https://api.qrserver.com/v1/create-qr-code/?size=200x200&amp;data=""&amp;ENCODEURL(""https://wa.me/507""&amp;REGEXREPLACE(C1477,""[^0-9]"","""")&amp;""?text=""&amp;ENCODEURL(""Ya llegue. Codigo: ""&amp;A1477&amp;"". Ubicacion: ""&amp;""https://www.google.com/maps/search"&amp;"/?api=1&amp;query=""&amp;SUBSTITUTE(F1477,"" "",""""))),"""")"),"")</f>
        <v/>
      </c>
      <c r="M1477" s="5" t="str">
        <f t="shared" si="6"/>
        <v/>
      </c>
      <c r="N1477" s="5" t="str">
        <f>IFERROR(__xludf.DUMMYFUNCTION("IF(AND(F1477&lt;&gt;"""",REGEXMATCH(SUBSTITUTE(F1477,"" "",""""),""^-?\d+(\.\d+)?,-?\d+(\.\d+)?$""),VALUE(REGEXEXTRACT(SUBSTITUTE(F1477,"" "",""""),""^-?\d+(\.\d+)?""))&gt;=-90,VALUE(REGEXEXTRACT(SUBSTITUTE(F1477,"" "",""""),""^-?\d+(\.\d+)?""))&lt;=90,VALUE(REGEXEXT"&amp;"RACT(SUBSTITUTE(F1477,"" "",""""),""-?\d+(\.\d+)?$""))&gt;=-180,VALUE(REGEXEXTRACT(SUBSTITUTE(F1477,"" "",""""),""-?\d+(\.\d+)?$""))&lt;=180),""OK"",""REVISAR"")"),"#N/A")</f>
        <v>#N/A</v>
      </c>
    </row>
    <row r="1478" ht="15.75" customHeight="1">
      <c r="A1478" s="5" t="str">
        <f t="shared" si="1"/>
        <v>AD507-1476</v>
      </c>
      <c r="C1478" s="5"/>
      <c r="F1478" s="5"/>
      <c r="G1478" s="5" t="str">
        <f t="shared" si="2"/>
        <v/>
      </c>
      <c r="H1478" s="5" t="str">
        <f t="shared" si="3"/>
        <v/>
      </c>
      <c r="I1478" s="5" t="str">
        <f t="shared" si="4"/>
        <v/>
      </c>
      <c r="J1478" s="5" t="str">
        <f t="shared" si="5"/>
        <v/>
      </c>
      <c r="K1478" s="5" t="str">
        <f>IFERROR(__xludf.DUMMYFUNCTION("IF(C1478&lt;&gt;"""",HYPERLINK(""https://wa.me/507""&amp;REGEXREPLACE(C1478,""[^0-9]"","""")&amp;""?text=""&amp;ENCODEURL(""Ya llegue. Codigo: ""&amp;A1478&amp;"". Ubicacion: ""&amp;""https://www.google.com/maps/search/?api=1&amp;query=""&amp;SUBSTITUTE(F1478,"" "","""")),""📲 Avisar al clien"&amp;"te""),"""")"),"")</f>
        <v/>
      </c>
      <c r="L1478" s="5" t="str">
        <f>IFERROR(__xludf.DUMMYFUNCTION("IF(C1478&lt;&gt;"""",""https://api.qrserver.com/v1/create-qr-code/?size=200x200&amp;data=""&amp;ENCODEURL(""https://wa.me/507""&amp;REGEXREPLACE(C1478,""[^0-9]"","""")&amp;""?text=""&amp;ENCODEURL(""Ya llegue. Codigo: ""&amp;A1478&amp;"". Ubicacion: ""&amp;""https://www.google.com/maps/search"&amp;"/?api=1&amp;query=""&amp;SUBSTITUTE(F1478,"" "",""""))),"""")"),"")</f>
        <v/>
      </c>
      <c r="M1478" s="5" t="str">
        <f t="shared" si="6"/>
        <v/>
      </c>
      <c r="N1478" s="5" t="str">
        <f>IFERROR(__xludf.DUMMYFUNCTION("IF(AND(F1478&lt;&gt;"""",REGEXMATCH(SUBSTITUTE(F1478,"" "",""""),""^-?\d+(\.\d+)?,-?\d+(\.\d+)?$""),VALUE(REGEXEXTRACT(SUBSTITUTE(F1478,"" "",""""),""^-?\d+(\.\d+)?""))&gt;=-90,VALUE(REGEXEXTRACT(SUBSTITUTE(F1478,"" "",""""),""^-?\d+(\.\d+)?""))&lt;=90,VALUE(REGEXEXT"&amp;"RACT(SUBSTITUTE(F1478,"" "",""""),""-?\d+(\.\d+)?$""))&gt;=-180,VALUE(REGEXEXTRACT(SUBSTITUTE(F1478,"" "",""""),""-?\d+(\.\d+)?$""))&lt;=180),""OK"",""REVISAR"")"),"#N/A")</f>
        <v>#N/A</v>
      </c>
    </row>
    <row r="1479" ht="15.75" customHeight="1">
      <c r="A1479" s="5" t="str">
        <f t="shared" si="1"/>
        <v>AD507-1477</v>
      </c>
      <c r="C1479" s="5"/>
      <c r="F1479" s="5"/>
      <c r="G1479" s="5" t="str">
        <f t="shared" si="2"/>
        <v/>
      </c>
      <c r="H1479" s="5" t="str">
        <f t="shared" si="3"/>
        <v/>
      </c>
      <c r="I1479" s="5" t="str">
        <f t="shared" si="4"/>
        <v/>
      </c>
      <c r="J1479" s="5" t="str">
        <f t="shared" si="5"/>
        <v/>
      </c>
      <c r="K1479" s="5" t="str">
        <f>IFERROR(__xludf.DUMMYFUNCTION("IF(C1479&lt;&gt;"""",HYPERLINK(""https://wa.me/507""&amp;REGEXREPLACE(C1479,""[^0-9]"","""")&amp;""?text=""&amp;ENCODEURL(""Ya llegue. Codigo: ""&amp;A1479&amp;"". Ubicacion: ""&amp;""https://www.google.com/maps/search/?api=1&amp;query=""&amp;SUBSTITUTE(F1479,"" "","""")),""📲 Avisar al clien"&amp;"te""),"""")"),"")</f>
        <v/>
      </c>
      <c r="L1479" s="5" t="str">
        <f>IFERROR(__xludf.DUMMYFUNCTION("IF(C1479&lt;&gt;"""",""https://api.qrserver.com/v1/create-qr-code/?size=200x200&amp;data=""&amp;ENCODEURL(""https://wa.me/507""&amp;REGEXREPLACE(C1479,""[^0-9]"","""")&amp;""?text=""&amp;ENCODEURL(""Ya llegue. Codigo: ""&amp;A1479&amp;"". Ubicacion: ""&amp;""https://www.google.com/maps/search"&amp;"/?api=1&amp;query=""&amp;SUBSTITUTE(F1479,"" "",""""))),"""")"),"")</f>
        <v/>
      </c>
      <c r="M1479" s="5" t="str">
        <f t="shared" si="6"/>
        <v/>
      </c>
      <c r="N1479" s="5" t="str">
        <f>IFERROR(__xludf.DUMMYFUNCTION("IF(AND(F1479&lt;&gt;"""",REGEXMATCH(SUBSTITUTE(F1479,"" "",""""),""^-?\d+(\.\d+)?,-?\d+(\.\d+)?$""),VALUE(REGEXEXTRACT(SUBSTITUTE(F1479,"" "",""""),""^-?\d+(\.\d+)?""))&gt;=-90,VALUE(REGEXEXTRACT(SUBSTITUTE(F1479,"" "",""""),""^-?\d+(\.\d+)?""))&lt;=90,VALUE(REGEXEXT"&amp;"RACT(SUBSTITUTE(F1479,"" "",""""),""-?\d+(\.\d+)?$""))&gt;=-180,VALUE(REGEXEXTRACT(SUBSTITUTE(F1479,"" "",""""),""-?\d+(\.\d+)?$""))&lt;=180),""OK"",""REVISAR"")"),"#N/A")</f>
        <v>#N/A</v>
      </c>
    </row>
    <row r="1480" ht="15.75" customHeight="1">
      <c r="A1480" s="5" t="str">
        <f t="shared" si="1"/>
        <v>AD507-1478</v>
      </c>
      <c r="C1480" s="5"/>
      <c r="F1480" s="5"/>
      <c r="G1480" s="5" t="str">
        <f t="shared" si="2"/>
        <v/>
      </c>
      <c r="H1480" s="5" t="str">
        <f t="shared" si="3"/>
        <v/>
      </c>
      <c r="I1480" s="5" t="str">
        <f t="shared" si="4"/>
        <v/>
      </c>
      <c r="J1480" s="5" t="str">
        <f t="shared" si="5"/>
        <v/>
      </c>
      <c r="K1480" s="5" t="str">
        <f>IFERROR(__xludf.DUMMYFUNCTION("IF(C1480&lt;&gt;"""",HYPERLINK(""https://wa.me/507""&amp;REGEXREPLACE(C1480,""[^0-9]"","""")&amp;""?text=""&amp;ENCODEURL(""Ya llegue. Codigo: ""&amp;A1480&amp;"". Ubicacion: ""&amp;""https://www.google.com/maps/search/?api=1&amp;query=""&amp;SUBSTITUTE(F1480,"" "","""")),""📲 Avisar al clien"&amp;"te""),"""")"),"")</f>
        <v/>
      </c>
      <c r="L1480" s="5" t="str">
        <f>IFERROR(__xludf.DUMMYFUNCTION("IF(C1480&lt;&gt;"""",""https://api.qrserver.com/v1/create-qr-code/?size=200x200&amp;data=""&amp;ENCODEURL(""https://wa.me/507""&amp;REGEXREPLACE(C1480,""[^0-9]"","""")&amp;""?text=""&amp;ENCODEURL(""Ya llegue. Codigo: ""&amp;A1480&amp;"". Ubicacion: ""&amp;""https://www.google.com/maps/search"&amp;"/?api=1&amp;query=""&amp;SUBSTITUTE(F1480,"" "",""""))),"""")"),"")</f>
        <v/>
      </c>
      <c r="M1480" s="5" t="str">
        <f t="shared" si="6"/>
        <v/>
      </c>
      <c r="N1480" s="5" t="str">
        <f>IFERROR(__xludf.DUMMYFUNCTION("IF(AND(F1480&lt;&gt;"""",REGEXMATCH(SUBSTITUTE(F1480,"" "",""""),""^-?\d+(\.\d+)?,-?\d+(\.\d+)?$""),VALUE(REGEXEXTRACT(SUBSTITUTE(F1480,"" "",""""),""^-?\d+(\.\d+)?""))&gt;=-90,VALUE(REGEXEXTRACT(SUBSTITUTE(F1480,"" "",""""),""^-?\d+(\.\d+)?""))&lt;=90,VALUE(REGEXEXT"&amp;"RACT(SUBSTITUTE(F1480,"" "",""""),""-?\d+(\.\d+)?$""))&gt;=-180,VALUE(REGEXEXTRACT(SUBSTITUTE(F1480,"" "",""""),""-?\d+(\.\d+)?$""))&lt;=180),""OK"",""REVISAR"")"),"#N/A")</f>
        <v>#N/A</v>
      </c>
    </row>
    <row r="1481" ht="15.75" customHeight="1">
      <c r="A1481" s="5" t="str">
        <f t="shared" si="1"/>
        <v>AD507-1479</v>
      </c>
      <c r="C1481" s="5"/>
      <c r="F1481" s="5"/>
      <c r="G1481" s="5" t="str">
        <f t="shared" si="2"/>
        <v/>
      </c>
      <c r="H1481" s="5" t="str">
        <f t="shared" si="3"/>
        <v/>
      </c>
      <c r="I1481" s="5" t="str">
        <f t="shared" si="4"/>
        <v/>
      </c>
      <c r="J1481" s="5" t="str">
        <f t="shared" si="5"/>
        <v/>
      </c>
      <c r="K1481" s="5" t="str">
        <f>IFERROR(__xludf.DUMMYFUNCTION("IF(C1481&lt;&gt;"""",HYPERLINK(""https://wa.me/507""&amp;REGEXREPLACE(C1481,""[^0-9]"","""")&amp;""?text=""&amp;ENCODEURL(""Ya llegue. Codigo: ""&amp;A1481&amp;"". Ubicacion: ""&amp;""https://www.google.com/maps/search/?api=1&amp;query=""&amp;SUBSTITUTE(F1481,"" "","""")),""📲 Avisar al clien"&amp;"te""),"""")"),"")</f>
        <v/>
      </c>
      <c r="L1481" s="5" t="str">
        <f>IFERROR(__xludf.DUMMYFUNCTION("IF(C1481&lt;&gt;"""",""https://api.qrserver.com/v1/create-qr-code/?size=200x200&amp;data=""&amp;ENCODEURL(""https://wa.me/507""&amp;REGEXREPLACE(C1481,""[^0-9]"","""")&amp;""?text=""&amp;ENCODEURL(""Ya llegue. Codigo: ""&amp;A1481&amp;"". Ubicacion: ""&amp;""https://www.google.com/maps/search"&amp;"/?api=1&amp;query=""&amp;SUBSTITUTE(F1481,"" "",""""))),"""")"),"")</f>
        <v/>
      </c>
      <c r="M1481" s="5" t="str">
        <f t="shared" si="6"/>
        <v/>
      </c>
      <c r="N1481" s="5" t="str">
        <f>IFERROR(__xludf.DUMMYFUNCTION("IF(AND(F1481&lt;&gt;"""",REGEXMATCH(SUBSTITUTE(F1481,"" "",""""),""^-?\d+(\.\d+)?,-?\d+(\.\d+)?$""),VALUE(REGEXEXTRACT(SUBSTITUTE(F1481,"" "",""""),""^-?\d+(\.\d+)?""))&gt;=-90,VALUE(REGEXEXTRACT(SUBSTITUTE(F1481,"" "",""""),""^-?\d+(\.\d+)?""))&lt;=90,VALUE(REGEXEXT"&amp;"RACT(SUBSTITUTE(F1481,"" "",""""),""-?\d+(\.\d+)?$""))&gt;=-180,VALUE(REGEXEXTRACT(SUBSTITUTE(F1481,"" "",""""),""-?\d+(\.\d+)?$""))&lt;=180),""OK"",""REVISAR"")"),"#N/A")</f>
        <v>#N/A</v>
      </c>
    </row>
    <row r="1482" ht="15.75" customHeight="1">
      <c r="A1482" s="5" t="str">
        <f t="shared" si="1"/>
        <v>AD507-1480</v>
      </c>
      <c r="C1482" s="5"/>
      <c r="F1482" s="5"/>
      <c r="G1482" s="5" t="str">
        <f t="shared" si="2"/>
        <v/>
      </c>
      <c r="H1482" s="5" t="str">
        <f t="shared" si="3"/>
        <v/>
      </c>
      <c r="I1482" s="5" t="str">
        <f t="shared" si="4"/>
        <v/>
      </c>
      <c r="J1482" s="5" t="str">
        <f t="shared" si="5"/>
        <v/>
      </c>
      <c r="K1482" s="5" t="str">
        <f>IFERROR(__xludf.DUMMYFUNCTION("IF(C1482&lt;&gt;"""",HYPERLINK(""https://wa.me/507""&amp;REGEXREPLACE(C1482,""[^0-9]"","""")&amp;""?text=""&amp;ENCODEURL(""Ya llegue. Codigo: ""&amp;A1482&amp;"". Ubicacion: ""&amp;""https://www.google.com/maps/search/?api=1&amp;query=""&amp;SUBSTITUTE(F1482,"" "","""")),""📲 Avisar al clien"&amp;"te""),"""")"),"")</f>
        <v/>
      </c>
      <c r="L1482" s="5" t="str">
        <f>IFERROR(__xludf.DUMMYFUNCTION("IF(C1482&lt;&gt;"""",""https://api.qrserver.com/v1/create-qr-code/?size=200x200&amp;data=""&amp;ENCODEURL(""https://wa.me/507""&amp;REGEXREPLACE(C1482,""[^0-9]"","""")&amp;""?text=""&amp;ENCODEURL(""Ya llegue. Codigo: ""&amp;A1482&amp;"". Ubicacion: ""&amp;""https://www.google.com/maps/search"&amp;"/?api=1&amp;query=""&amp;SUBSTITUTE(F1482,"" "",""""))),"""")"),"")</f>
        <v/>
      </c>
      <c r="M1482" s="5" t="str">
        <f t="shared" si="6"/>
        <v/>
      </c>
      <c r="N1482" s="5" t="str">
        <f>IFERROR(__xludf.DUMMYFUNCTION("IF(AND(F1482&lt;&gt;"""",REGEXMATCH(SUBSTITUTE(F1482,"" "",""""),""^-?\d+(\.\d+)?,-?\d+(\.\d+)?$""),VALUE(REGEXEXTRACT(SUBSTITUTE(F1482,"" "",""""),""^-?\d+(\.\d+)?""))&gt;=-90,VALUE(REGEXEXTRACT(SUBSTITUTE(F1482,"" "",""""),""^-?\d+(\.\d+)?""))&lt;=90,VALUE(REGEXEXT"&amp;"RACT(SUBSTITUTE(F1482,"" "",""""),""-?\d+(\.\d+)?$""))&gt;=-180,VALUE(REGEXEXTRACT(SUBSTITUTE(F1482,"" "",""""),""-?\d+(\.\d+)?$""))&lt;=180),""OK"",""REVISAR"")"),"#N/A")</f>
        <v>#N/A</v>
      </c>
    </row>
    <row r="1483" ht="15.75" customHeight="1">
      <c r="A1483" s="5" t="str">
        <f t="shared" si="1"/>
        <v>AD507-1481</v>
      </c>
      <c r="C1483" s="5"/>
      <c r="F1483" s="5"/>
      <c r="G1483" s="5" t="str">
        <f t="shared" si="2"/>
        <v/>
      </c>
      <c r="H1483" s="5" t="str">
        <f t="shared" si="3"/>
        <v/>
      </c>
      <c r="I1483" s="5" t="str">
        <f t="shared" si="4"/>
        <v/>
      </c>
      <c r="J1483" s="5" t="str">
        <f t="shared" si="5"/>
        <v/>
      </c>
      <c r="K1483" s="5" t="str">
        <f>IFERROR(__xludf.DUMMYFUNCTION("IF(C1483&lt;&gt;"""",HYPERLINK(""https://wa.me/507""&amp;REGEXREPLACE(C1483,""[^0-9]"","""")&amp;""?text=""&amp;ENCODEURL(""Ya llegue. Codigo: ""&amp;A1483&amp;"". Ubicacion: ""&amp;""https://www.google.com/maps/search/?api=1&amp;query=""&amp;SUBSTITUTE(F1483,"" "","""")),""📲 Avisar al clien"&amp;"te""),"""")"),"")</f>
        <v/>
      </c>
      <c r="L1483" s="5" t="str">
        <f>IFERROR(__xludf.DUMMYFUNCTION("IF(C1483&lt;&gt;"""",""https://api.qrserver.com/v1/create-qr-code/?size=200x200&amp;data=""&amp;ENCODEURL(""https://wa.me/507""&amp;REGEXREPLACE(C1483,""[^0-9]"","""")&amp;""?text=""&amp;ENCODEURL(""Ya llegue. Codigo: ""&amp;A1483&amp;"". Ubicacion: ""&amp;""https://www.google.com/maps/search"&amp;"/?api=1&amp;query=""&amp;SUBSTITUTE(F1483,"" "",""""))),"""")"),"")</f>
        <v/>
      </c>
      <c r="M1483" s="5" t="str">
        <f t="shared" si="6"/>
        <v/>
      </c>
      <c r="N1483" s="5" t="str">
        <f>IFERROR(__xludf.DUMMYFUNCTION("IF(AND(F1483&lt;&gt;"""",REGEXMATCH(SUBSTITUTE(F1483,"" "",""""),""^-?\d+(\.\d+)?,-?\d+(\.\d+)?$""),VALUE(REGEXEXTRACT(SUBSTITUTE(F1483,"" "",""""),""^-?\d+(\.\d+)?""))&gt;=-90,VALUE(REGEXEXTRACT(SUBSTITUTE(F1483,"" "",""""),""^-?\d+(\.\d+)?""))&lt;=90,VALUE(REGEXEXT"&amp;"RACT(SUBSTITUTE(F1483,"" "",""""),""-?\d+(\.\d+)?$""))&gt;=-180,VALUE(REGEXEXTRACT(SUBSTITUTE(F1483,"" "",""""),""-?\d+(\.\d+)?$""))&lt;=180),""OK"",""REVISAR"")"),"#N/A")</f>
        <v>#N/A</v>
      </c>
    </row>
    <row r="1484" ht="15.75" customHeight="1">
      <c r="A1484" s="5" t="str">
        <f t="shared" si="1"/>
        <v>AD507-1482</v>
      </c>
      <c r="C1484" s="5"/>
      <c r="F1484" s="5"/>
      <c r="G1484" s="5" t="str">
        <f t="shared" si="2"/>
        <v/>
      </c>
      <c r="H1484" s="5" t="str">
        <f t="shared" si="3"/>
        <v/>
      </c>
      <c r="I1484" s="5" t="str">
        <f t="shared" si="4"/>
        <v/>
      </c>
      <c r="J1484" s="5" t="str">
        <f t="shared" si="5"/>
        <v/>
      </c>
      <c r="K1484" s="5" t="str">
        <f>IFERROR(__xludf.DUMMYFUNCTION("IF(C1484&lt;&gt;"""",HYPERLINK(""https://wa.me/507""&amp;REGEXREPLACE(C1484,""[^0-9]"","""")&amp;""?text=""&amp;ENCODEURL(""Ya llegue. Codigo: ""&amp;A1484&amp;"". Ubicacion: ""&amp;""https://www.google.com/maps/search/?api=1&amp;query=""&amp;SUBSTITUTE(F1484,"" "","""")),""📲 Avisar al clien"&amp;"te""),"""")"),"")</f>
        <v/>
      </c>
      <c r="L1484" s="5" t="str">
        <f>IFERROR(__xludf.DUMMYFUNCTION("IF(C1484&lt;&gt;"""",""https://api.qrserver.com/v1/create-qr-code/?size=200x200&amp;data=""&amp;ENCODEURL(""https://wa.me/507""&amp;REGEXREPLACE(C1484,""[^0-9]"","""")&amp;""?text=""&amp;ENCODEURL(""Ya llegue. Codigo: ""&amp;A1484&amp;"". Ubicacion: ""&amp;""https://www.google.com/maps/search"&amp;"/?api=1&amp;query=""&amp;SUBSTITUTE(F1484,"" "",""""))),"""")"),"")</f>
        <v/>
      </c>
      <c r="M1484" s="5" t="str">
        <f t="shared" si="6"/>
        <v/>
      </c>
      <c r="N1484" s="5" t="str">
        <f>IFERROR(__xludf.DUMMYFUNCTION("IF(AND(F1484&lt;&gt;"""",REGEXMATCH(SUBSTITUTE(F1484,"" "",""""),""^-?\d+(\.\d+)?,-?\d+(\.\d+)?$""),VALUE(REGEXEXTRACT(SUBSTITUTE(F1484,"" "",""""),""^-?\d+(\.\d+)?""))&gt;=-90,VALUE(REGEXEXTRACT(SUBSTITUTE(F1484,"" "",""""),""^-?\d+(\.\d+)?""))&lt;=90,VALUE(REGEXEXT"&amp;"RACT(SUBSTITUTE(F1484,"" "",""""),""-?\d+(\.\d+)?$""))&gt;=-180,VALUE(REGEXEXTRACT(SUBSTITUTE(F1484,"" "",""""),""-?\d+(\.\d+)?$""))&lt;=180),""OK"",""REVISAR"")"),"#N/A")</f>
        <v>#N/A</v>
      </c>
    </row>
    <row r="1485" ht="15.75" customHeight="1">
      <c r="A1485" s="5" t="str">
        <f t="shared" si="1"/>
        <v>AD507-1483</v>
      </c>
      <c r="C1485" s="5"/>
      <c r="F1485" s="5"/>
      <c r="G1485" s="5" t="str">
        <f t="shared" si="2"/>
        <v/>
      </c>
      <c r="H1485" s="5" t="str">
        <f t="shared" si="3"/>
        <v/>
      </c>
      <c r="I1485" s="5" t="str">
        <f t="shared" si="4"/>
        <v/>
      </c>
      <c r="J1485" s="5" t="str">
        <f t="shared" si="5"/>
        <v/>
      </c>
      <c r="K1485" s="5" t="str">
        <f>IFERROR(__xludf.DUMMYFUNCTION("IF(C1485&lt;&gt;"""",HYPERLINK(""https://wa.me/507""&amp;REGEXREPLACE(C1485,""[^0-9]"","""")&amp;""?text=""&amp;ENCODEURL(""Ya llegue. Codigo: ""&amp;A1485&amp;"". Ubicacion: ""&amp;""https://www.google.com/maps/search/?api=1&amp;query=""&amp;SUBSTITUTE(F1485,"" "","""")),""📲 Avisar al clien"&amp;"te""),"""")"),"")</f>
        <v/>
      </c>
      <c r="L1485" s="5" t="str">
        <f>IFERROR(__xludf.DUMMYFUNCTION("IF(C1485&lt;&gt;"""",""https://api.qrserver.com/v1/create-qr-code/?size=200x200&amp;data=""&amp;ENCODEURL(""https://wa.me/507""&amp;REGEXREPLACE(C1485,""[^0-9]"","""")&amp;""?text=""&amp;ENCODEURL(""Ya llegue. Codigo: ""&amp;A1485&amp;"". Ubicacion: ""&amp;""https://www.google.com/maps/search"&amp;"/?api=1&amp;query=""&amp;SUBSTITUTE(F1485,"" "",""""))),"""")"),"")</f>
        <v/>
      </c>
      <c r="M1485" s="5" t="str">
        <f t="shared" si="6"/>
        <v/>
      </c>
      <c r="N1485" s="5" t="str">
        <f>IFERROR(__xludf.DUMMYFUNCTION("IF(AND(F1485&lt;&gt;"""",REGEXMATCH(SUBSTITUTE(F1485,"" "",""""),""^-?\d+(\.\d+)?,-?\d+(\.\d+)?$""),VALUE(REGEXEXTRACT(SUBSTITUTE(F1485,"" "",""""),""^-?\d+(\.\d+)?""))&gt;=-90,VALUE(REGEXEXTRACT(SUBSTITUTE(F1485,"" "",""""),""^-?\d+(\.\d+)?""))&lt;=90,VALUE(REGEXEXT"&amp;"RACT(SUBSTITUTE(F1485,"" "",""""),""-?\d+(\.\d+)?$""))&gt;=-180,VALUE(REGEXEXTRACT(SUBSTITUTE(F1485,"" "",""""),""-?\d+(\.\d+)?$""))&lt;=180),""OK"",""REVISAR"")"),"#N/A")</f>
        <v>#N/A</v>
      </c>
    </row>
    <row r="1486" ht="15.75" customHeight="1">
      <c r="A1486" s="5" t="str">
        <f t="shared" si="1"/>
        <v>AD507-1484</v>
      </c>
      <c r="C1486" s="5"/>
      <c r="F1486" s="5"/>
      <c r="G1486" s="5" t="str">
        <f t="shared" si="2"/>
        <v/>
      </c>
      <c r="H1486" s="5" t="str">
        <f t="shared" si="3"/>
        <v/>
      </c>
      <c r="I1486" s="5" t="str">
        <f t="shared" si="4"/>
        <v/>
      </c>
      <c r="J1486" s="5" t="str">
        <f t="shared" si="5"/>
        <v/>
      </c>
      <c r="K1486" s="5" t="str">
        <f>IFERROR(__xludf.DUMMYFUNCTION("IF(C1486&lt;&gt;"""",HYPERLINK(""https://wa.me/507""&amp;REGEXREPLACE(C1486,""[^0-9]"","""")&amp;""?text=""&amp;ENCODEURL(""Ya llegue. Codigo: ""&amp;A1486&amp;"". Ubicacion: ""&amp;""https://www.google.com/maps/search/?api=1&amp;query=""&amp;SUBSTITUTE(F1486,"" "","""")),""📲 Avisar al clien"&amp;"te""),"""")"),"")</f>
        <v/>
      </c>
      <c r="L1486" s="5" t="str">
        <f>IFERROR(__xludf.DUMMYFUNCTION("IF(C1486&lt;&gt;"""",""https://api.qrserver.com/v1/create-qr-code/?size=200x200&amp;data=""&amp;ENCODEURL(""https://wa.me/507""&amp;REGEXREPLACE(C1486,""[^0-9]"","""")&amp;""?text=""&amp;ENCODEURL(""Ya llegue. Codigo: ""&amp;A1486&amp;"". Ubicacion: ""&amp;""https://www.google.com/maps/search"&amp;"/?api=1&amp;query=""&amp;SUBSTITUTE(F1486,"" "",""""))),"""")"),"")</f>
        <v/>
      </c>
      <c r="M1486" s="5" t="str">
        <f t="shared" si="6"/>
        <v/>
      </c>
      <c r="N1486" s="5" t="str">
        <f>IFERROR(__xludf.DUMMYFUNCTION("IF(AND(F1486&lt;&gt;"""",REGEXMATCH(SUBSTITUTE(F1486,"" "",""""),""^-?\d+(\.\d+)?,-?\d+(\.\d+)?$""),VALUE(REGEXEXTRACT(SUBSTITUTE(F1486,"" "",""""),""^-?\d+(\.\d+)?""))&gt;=-90,VALUE(REGEXEXTRACT(SUBSTITUTE(F1486,"" "",""""),""^-?\d+(\.\d+)?""))&lt;=90,VALUE(REGEXEXT"&amp;"RACT(SUBSTITUTE(F1486,"" "",""""),""-?\d+(\.\d+)?$""))&gt;=-180,VALUE(REGEXEXTRACT(SUBSTITUTE(F1486,"" "",""""),""-?\d+(\.\d+)?$""))&lt;=180),""OK"",""REVISAR"")"),"#N/A")</f>
        <v>#N/A</v>
      </c>
    </row>
    <row r="1487" ht="15.75" customHeight="1">
      <c r="A1487" s="5" t="str">
        <f t="shared" si="1"/>
        <v>AD507-1485</v>
      </c>
      <c r="C1487" s="5"/>
      <c r="F1487" s="5"/>
      <c r="G1487" s="5" t="str">
        <f t="shared" si="2"/>
        <v/>
      </c>
      <c r="H1487" s="5" t="str">
        <f t="shared" si="3"/>
        <v/>
      </c>
      <c r="I1487" s="5" t="str">
        <f t="shared" si="4"/>
        <v/>
      </c>
      <c r="J1487" s="5" t="str">
        <f t="shared" si="5"/>
        <v/>
      </c>
      <c r="K1487" s="5" t="str">
        <f>IFERROR(__xludf.DUMMYFUNCTION("IF(C1487&lt;&gt;"""",HYPERLINK(""https://wa.me/507""&amp;REGEXREPLACE(C1487,""[^0-9]"","""")&amp;""?text=""&amp;ENCODEURL(""Ya llegue. Codigo: ""&amp;A1487&amp;"". Ubicacion: ""&amp;""https://www.google.com/maps/search/?api=1&amp;query=""&amp;SUBSTITUTE(F1487,"" "","""")),""📲 Avisar al clien"&amp;"te""),"""")"),"")</f>
        <v/>
      </c>
      <c r="L1487" s="5" t="str">
        <f>IFERROR(__xludf.DUMMYFUNCTION("IF(C1487&lt;&gt;"""",""https://api.qrserver.com/v1/create-qr-code/?size=200x200&amp;data=""&amp;ENCODEURL(""https://wa.me/507""&amp;REGEXREPLACE(C1487,""[^0-9]"","""")&amp;""?text=""&amp;ENCODEURL(""Ya llegue. Codigo: ""&amp;A1487&amp;"". Ubicacion: ""&amp;""https://www.google.com/maps/search"&amp;"/?api=1&amp;query=""&amp;SUBSTITUTE(F1487,"" "",""""))),"""")"),"")</f>
        <v/>
      </c>
      <c r="M1487" s="5" t="str">
        <f t="shared" si="6"/>
        <v/>
      </c>
      <c r="N1487" s="5" t="str">
        <f>IFERROR(__xludf.DUMMYFUNCTION("IF(AND(F1487&lt;&gt;"""",REGEXMATCH(SUBSTITUTE(F1487,"" "",""""),""^-?\d+(\.\d+)?,-?\d+(\.\d+)?$""),VALUE(REGEXEXTRACT(SUBSTITUTE(F1487,"" "",""""),""^-?\d+(\.\d+)?""))&gt;=-90,VALUE(REGEXEXTRACT(SUBSTITUTE(F1487,"" "",""""),""^-?\d+(\.\d+)?""))&lt;=90,VALUE(REGEXEXT"&amp;"RACT(SUBSTITUTE(F1487,"" "",""""),""-?\d+(\.\d+)?$""))&gt;=-180,VALUE(REGEXEXTRACT(SUBSTITUTE(F1487,"" "",""""),""-?\d+(\.\d+)?$""))&lt;=180),""OK"",""REVISAR"")"),"#N/A")</f>
        <v>#N/A</v>
      </c>
    </row>
    <row r="1488" ht="15.75" customHeight="1">
      <c r="A1488" s="5" t="str">
        <f t="shared" si="1"/>
        <v>AD507-1486</v>
      </c>
      <c r="C1488" s="5"/>
      <c r="F1488" s="5"/>
      <c r="G1488" s="5" t="str">
        <f t="shared" si="2"/>
        <v/>
      </c>
      <c r="H1488" s="5" t="str">
        <f t="shared" si="3"/>
        <v/>
      </c>
      <c r="I1488" s="5" t="str">
        <f t="shared" si="4"/>
        <v/>
      </c>
      <c r="J1488" s="5" t="str">
        <f t="shared" si="5"/>
        <v/>
      </c>
      <c r="K1488" s="5" t="str">
        <f>IFERROR(__xludf.DUMMYFUNCTION("IF(C1488&lt;&gt;"""",HYPERLINK(""https://wa.me/507""&amp;REGEXREPLACE(C1488,""[^0-9]"","""")&amp;""?text=""&amp;ENCODEURL(""Ya llegue. Codigo: ""&amp;A1488&amp;"". Ubicacion: ""&amp;""https://www.google.com/maps/search/?api=1&amp;query=""&amp;SUBSTITUTE(F1488,"" "","""")),""📲 Avisar al clien"&amp;"te""),"""")"),"")</f>
        <v/>
      </c>
      <c r="L1488" s="5" t="str">
        <f>IFERROR(__xludf.DUMMYFUNCTION("IF(C1488&lt;&gt;"""",""https://api.qrserver.com/v1/create-qr-code/?size=200x200&amp;data=""&amp;ENCODEURL(""https://wa.me/507""&amp;REGEXREPLACE(C1488,""[^0-9]"","""")&amp;""?text=""&amp;ENCODEURL(""Ya llegue. Codigo: ""&amp;A1488&amp;"". Ubicacion: ""&amp;""https://www.google.com/maps/search"&amp;"/?api=1&amp;query=""&amp;SUBSTITUTE(F1488,"" "",""""))),"""")"),"")</f>
        <v/>
      </c>
      <c r="M1488" s="5" t="str">
        <f t="shared" si="6"/>
        <v/>
      </c>
      <c r="N1488" s="5" t="str">
        <f>IFERROR(__xludf.DUMMYFUNCTION("IF(AND(F1488&lt;&gt;"""",REGEXMATCH(SUBSTITUTE(F1488,"" "",""""),""^-?\d+(\.\d+)?,-?\d+(\.\d+)?$""),VALUE(REGEXEXTRACT(SUBSTITUTE(F1488,"" "",""""),""^-?\d+(\.\d+)?""))&gt;=-90,VALUE(REGEXEXTRACT(SUBSTITUTE(F1488,"" "",""""),""^-?\d+(\.\d+)?""))&lt;=90,VALUE(REGEXEXT"&amp;"RACT(SUBSTITUTE(F1488,"" "",""""),""-?\d+(\.\d+)?$""))&gt;=-180,VALUE(REGEXEXTRACT(SUBSTITUTE(F1488,"" "",""""),""-?\d+(\.\d+)?$""))&lt;=180),""OK"",""REVISAR"")"),"#N/A")</f>
        <v>#N/A</v>
      </c>
    </row>
    <row r="1489" ht="15.75" customHeight="1">
      <c r="A1489" s="5" t="str">
        <f t="shared" si="1"/>
        <v>AD507-1487</v>
      </c>
      <c r="C1489" s="5"/>
      <c r="F1489" s="5"/>
      <c r="G1489" s="5" t="str">
        <f t="shared" si="2"/>
        <v/>
      </c>
      <c r="H1489" s="5" t="str">
        <f t="shared" si="3"/>
        <v/>
      </c>
      <c r="I1489" s="5" t="str">
        <f t="shared" si="4"/>
        <v/>
      </c>
      <c r="J1489" s="5" t="str">
        <f t="shared" si="5"/>
        <v/>
      </c>
      <c r="K1489" s="5" t="str">
        <f>IFERROR(__xludf.DUMMYFUNCTION("IF(C1489&lt;&gt;"""",HYPERLINK(""https://wa.me/507""&amp;REGEXREPLACE(C1489,""[^0-9]"","""")&amp;""?text=""&amp;ENCODEURL(""Ya llegue. Codigo: ""&amp;A1489&amp;"". Ubicacion: ""&amp;""https://www.google.com/maps/search/?api=1&amp;query=""&amp;SUBSTITUTE(F1489,"" "","""")),""📲 Avisar al clien"&amp;"te""),"""")"),"")</f>
        <v/>
      </c>
      <c r="L1489" s="5" t="str">
        <f>IFERROR(__xludf.DUMMYFUNCTION("IF(C1489&lt;&gt;"""",""https://api.qrserver.com/v1/create-qr-code/?size=200x200&amp;data=""&amp;ENCODEURL(""https://wa.me/507""&amp;REGEXREPLACE(C1489,""[^0-9]"","""")&amp;""?text=""&amp;ENCODEURL(""Ya llegue. Codigo: ""&amp;A1489&amp;"". Ubicacion: ""&amp;""https://www.google.com/maps/search"&amp;"/?api=1&amp;query=""&amp;SUBSTITUTE(F1489,"" "",""""))),"""")"),"")</f>
        <v/>
      </c>
      <c r="M1489" s="5" t="str">
        <f t="shared" si="6"/>
        <v/>
      </c>
      <c r="N1489" s="5" t="str">
        <f>IFERROR(__xludf.DUMMYFUNCTION("IF(AND(F1489&lt;&gt;"""",REGEXMATCH(SUBSTITUTE(F1489,"" "",""""),""^-?\d+(\.\d+)?,-?\d+(\.\d+)?$""),VALUE(REGEXEXTRACT(SUBSTITUTE(F1489,"" "",""""),""^-?\d+(\.\d+)?""))&gt;=-90,VALUE(REGEXEXTRACT(SUBSTITUTE(F1489,"" "",""""),""^-?\d+(\.\d+)?""))&lt;=90,VALUE(REGEXEXT"&amp;"RACT(SUBSTITUTE(F1489,"" "",""""),""-?\d+(\.\d+)?$""))&gt;=-180,VALUE(REGEXEXTRACT(SUBSTITUTE(F1489,"" "",""""),""-?\d+(\.\d+)?$""))&lt;=180),""OK"",""REVISAR"")"),"#N/A")</f>
        <v>#N/A</v>
      </c>
    </row>
    <row r="1490" ht="15.75" customHeight="1">
      <c r="A1490" s="5" t="str">
        <f t="shared" si="1"/>
        <v>AD507-1488</v>
      </c>
      <c r="C1490" s="5"/>
      <c r="F1490" s="5"/>
      <c r="G1490" s="5" t="str">
        <f t="shared" si="2"/>
        <v/>
      </c>
      <c r="H1490" s="5" t="str">
        <f t="shared" si="3"/>
        <v/>
      </c>
      <c r="I1490" s="5" t="str">
        <f t="shared" si="4"/>
        <v/>
      </c>
      <c r="J1490" s="5" t="str">
        <f t="shared" si="5"/>
        <v/>
      </c>
      <c r="K1490" s="5" t="str">
        <f>IFERROR(__xludf.DUMMYFUNCTION("IF(C1490&lt;&gt;"""",HYPERLINK(""https://wa.me/507""&amp;REGEXREPLACE(C1490,""[^0-9]"","""")&amp;""?text=""&amp;ENCODEURL(""Ya llegue. Codigo: ""&amp;A1490&amp;"". Ubicacion: ""&amp;""https://www.google.com/maps/search/?api=1&amp;query=""&amp;SUBSTITUTE(F1490,"" "","""")),""📲 Avisar al clien"&amp;"te""),"""")"),"")</f>
        <v/>
      </c>
      <c r="L1490" s="5" t="str">
        <f>IFERROR(__xludf.DUMMYFUNCTION("IF(C1490&lt;&gt;"""",""https://api.qrserver.com/v1/create-qr-code/?size=200x200&amp;data=""&amp;ENCODEURL(""https://wa.me/507""&amp;REGEXREPLACE(C1490,""[^0-9]"","""")&amp;""?text=""&amp;ENCODEURL(""Ya llegue. Codigo: ""&amp;A1490&amp;"". Ubicacion: ""&amp;""https://www.google.com/maps/search"&amp;"/?api=1&amp;query=""&amp;SUBSTITUTE(F1490,"" "",""""))),"""")"),"")</f>
        <v/>
      </c>
      <c r="M1490" s="5" t="str">
        <f t="shared" si="6"/>
        <v/>
      </c>
      <c r="N1490" s="5" t="str">
        <f>IFERROR(__xludf.DUMMYFUNCTION("IF(AND(F1490&lt;&gt;"""",REGEXMATCH(SUBSTITUTE(F1490,"" "",""""),""^-?\d+(\.\d+)?,-?\d+(\.\d+)?$""),VALUE(REGEXEXTRACT(SUBSTITUTE(F1490,"" "",""""),""^-?\d+(\.\d+)?""))&gt;=-90,VALUE(REGEXEXTRACT(SUBSTITUTE(F1490,"" "",""""),""^-?\d+(\.\d+)?""))&lt;=90,VALUE(REGEXEXT"&amp;"RACT(SUBSTITUTE(F1490,"" "",""""),""-?\d+(\.\d+)?$""))&gt;=-180,VALUE(REGEXEXTRACT(SUBSTITUTE(F1490,"" "",""""),""-?\d+(\.\d+)?$""))&lt;=180),""OK"",""REVISAR"")"),"#N/A")</f>
        <v>#N/A</v>
      </c>
    </row>
    <row r="1491" ht="15.75" customHeight="1">
      <c r="A1491" s="5" t="str">
        <f t="shared" si="1"/>
        <v>AD507-1489</v>
      </c>
      <c r="C1491" s="5"/>
      <c r="F1491" s="5"/>
      <c r="G1491" s="5" t="str">
        <f t="shared" si="2"/>
        <v/>
      </c>
      <c r="H1491" s="5" t="str">
        <f t="shared" si="3"/>
        <v/>
      </c>
      <c r="I1491" s="5" t="str">
        <f t="shared" si="4"/>
        <v/>
      </c>
      <c r="J1491" s="5" t="str">
        <f t="shared" si="5"/>
        <v/>
      </c>
      <c r="K1491" s="5" t="str">
        <f>IFERROR(__xludf.DUMMYFUNCTION("IF(C1491&lt;&gt;"""",HYPERLINK(""https://wa.me/507""&amp;REGEXREPLACE(C1491,""[^0-9]"","""")&amp;""?text=""&amp;ENCODEURL(""Ya llegue. Codigo: ""&amp;A1491&amp;"". Ubicacion: ""&amp;""https://www.google.com/maps/search/?api=1&amp;query=""&amp;SUBSTITUTE(F1491,"" "","""")),""📲 Avisar al clien"&amp;"te""),"""")"),"")</f>
        <v/>
      </c>
      <c r="L1491" s="5" t="str">
        <f>IFERROR(__xludf.DUMMYFUNCTION("IF(C1491&lt;&gt;"""",""https://api.qrserver.com/v1/create-qr-code/?size=200x200&amp;data=""&amp;ENCODEURL(""https://wa.me/507""&amp;REGEXREPLACE(C1491,""[^0-9]"","""")&amp;""?text=""&amp;ENCODEURL(""Ya llegue. Codigo: ""&amp;A1491&amp;"". Ubicacion: ""&amp;""https://www.google.com/maps/search"&amp;"/?api=1&amp;query=""&amp;SUBSTITUTE(F1491,"" "",""""))),"""")"),"")</f>
        <v/>
      </c>
      <c r="M1491" s="5" t="str">
        <f t="shared" si="6"/>
        <v/>
      </c>
      <c r="N1491" s="5" t="str">
        <f>IFERROR(__xludf.DUMMYFUNCTION("IF(AND(F1491&lt;&gt;"""",REGEXMATCH(SUBSTITUTE(F1491,"" "",""""),""^-?\d+(\.\d+)?,-?\d+(\.\d+)?$""),VALUE(REGEXEXTRACT(SUBSTITUTE(F1491,"" "",""""),""^-?\d+(\.\d+)?""))&gt;=-90,VALUE(REGEXEXTRACT(SUBSTITUTE(F1491,"" "",""""),""^-?\d+(\.\d+)?""))&lt;=90,VALUE(REGEXEXT"&amp;"RACT(SUBSTITUTE(F1491,"" "",""""),""-?\d+(\.\d+)?$""))&gt;=-180,VALUE(REGEXEXTRACT(SUBSTITUTE(F1491,"" "",""""),""-?\d+(\.\d+)?$""))&lt;=180),""OK"",""REVISAR"")"),"#N/A")</f>
        <v>#N/A</v>
      </c>
    </row>
    <row r="1492" ht="15.75" customHeight="1">
      <c r="A1492" s="5" t="str">
        <f t="shared" si="1"/>
        <v>AD507-1490</v>
      </c>
      <c r="C1492" s="5"/>
      <c r="F1492" s="5"/>
      <c r="G1492" s="5" t="str">
        <f t="shared" si="2"/>
        <v/>
      </c>
      <c r="H1492" s="5" t="str">
        <f t="shared" si="3"/>
        <v/>
      </c>
      <c r="I1492" s="5" t="str">
        <f t="shared" si="4"/>
        <v/>
      </c>
      <c r="J1492" s="5" t="str">
        <f t="shared" si="5"/>
        <v/>
      </c>
      <c r="K1492" s="5" t="str">
        <f>IFERROR(__xludf.DUMMYFUNCTION("IF(C1492&lt;&gt;"""",HYPERLINK(""https://wa.me/507""&amp;REGEXREPLACE(C1492,""[^0-9]"","""")&amp;""?text=""&amp;ENCODEURL(""Ya llegue. Codigo: ""&amp;A1492&amp;"". Ubicacion: ""&amp;""https://www.google.com/maps/search/?api=1&amp;query=""&amp;SUBSTITUTE(F1492,"" "","""")),""📲 Avisar al clien"&amp;"te""),"""")"),"")</f>
        <v/>
      </c>
      <c r="L1492" s="5" t="str">
        <f>IFERROR(__xludf.DUMMYFUNCTION("IF(C1492&lt;&gt;"""",""https://api.qrserver.com/v1/create-qr-code/?size=200x200&amp;data=""&amp;ENCODEURL(""https://wa.me/507""&amp;REGEXREPLACE(C1492,""[^0-9]"","""")&amp;""?text=""&amp;ENCODEURL(""Ya llegue. Codigo: ""&amp;A1492&amp;"". Ubicacion: ""&amp;""https://www.google.com/maps/search"&amp;"/?api=1&amp;query=""&amp;SUBSTITUTE(F1492,"" "",""""))),"""")"),"")</f>
        <v/>
      </c>
      <c r="M1492" s="5" t="str">
        <f t="shared" si="6"/>
        <v/>
      </c>
      <c r="N1492" s="5" t="str">
        <f>IFERROR(__xludf.DUMMYFUNCTION("IF(AND(F1492&lt;&gt;"""",REGEXMATCH(SUBSTITUTE(F1492,"" "",""""),""^-?\d+(\.\d+)?,-?\d+(\.\d+)?$""),VALUE(REGEXEXTRACT(SUBSTITUTE(F1492,"" "",""""),""^-?\d+(\.\d+)?""))&gt;=-90,VALUE(REGEXEXTRACT(SUBSTITUTE(F1492,"" "",""""),""^-?\d+(\.\d+)?""))&lt;=90,VALUE(REGEXEXT"&amp;"RACT(SUBSTITUTE(F1492,"" "",""""),""-?\d+(\.\d+)?$""))&gt;=-180,VALUE(REGEXEXTRACT(SUBSTITUTE(F1492,"" "",""""),""-?\d+(\.\d+)?$""))&lt;=180),""OK"",""REVISAR"")"),"#N/A")</f>
        <v>#N/A</v>
      </c>
    </row>
    <row r="1493" ht="15.75" customHeight="1">
      <c r="A1493" s="5" t="str">
        <f t="shared" si="1"/>
        <v>AD507-1491</v>
      </c>
      <c r="C1493" s="5"/>
      <c r="F1493" s="5"/>
      <c r="G1493" s="5" t="str">
        <f t="shared" si="2"/>
        <v/>
      </c>
      <c r="H1493" s="5" t="str">
        <f t="shared" si="3"/>
        <v/>
      </c>
      <c r="I1493" s="5" t="str">
        <f t="shared" si="4"/>
        <v/>
      </c>
      <c r="J1493" s="5" t="str">
        <f t="shared" si="5"/>
        <v/>
      </c>
      <c r="K1493" s="5" t="str">
        <f>IFERROR(__xludf.DUMMYFUNCTION("IF(C1493&lt;&gt;"""",HYPERLINK(""https://wa.me/507""&amp;REGEXREPLACE(C1493,""[^0-9]"","""")&amp;""?text=""&amp;ENCODEURL(""Ya llegue. Codigo: ""&amp;A1493&amp;"". Ubicacion: ""&amp;""https://www.google.com/maps/search/?api=1&amp;query=""&amp;SUBSTITUTE(F1493,"" "","""")),""📲 Avisar al clien"&amp;"te""),"""")"),"")</f>
        <v/>
      </c>
      <c r="L1493" s="5" t="str">
        <f>IFERROR(__xludf.DUMMYFUNCTION("IF(C1493&lt;&gt;"""",""https://api.qrserver.com/v1/create-qr-code/?size=200x200&amp;data=""&amp;ENCODEURL(""https://wa.me/507""&amp;REGEXREPLACE(C1493,""[^0-9]"","""")&amp;""?text=""&amp;ENCODEURL(""Ya llegue. Codigo: ""&amp;A1493&amp;"". Ubicacion: ""&amp;""https://www.google.com/maps/search"&amp;"/?api=1&amp;query=""&amp;SUBSTITUTE(F1493,"" "",""""))),"""")"),"")</f>
        <v/>
      </c>
      <c r="M1493" s="5" t="str">
        <f t="shared" si="6"/>
        <v/>
      </c>
      <c r="N1493" s="5" t="str">
        <f>IFERROR(__xludf.DUMMYFUNCTION("IF(AND(F1493&lt;&gt;"""",REGEXMATCH(SUBSTITUTE(F1493,"" "",""""),""^-?\d+(\.\d+)?,-?\d+(\.\d+)?$""),VALUE(REGEXEXTRACT(SUBSTITUTE(F1493,"" "",""""),""^-?\d+(\.\d+)?""))&gt;=-90,VALUE(REGEXEXTRACT(SUBSTITUTE(F1493,"" "",""""),""^-?\d+(\.\d+)?""))&lt;=90,VALUE(REGEXEXT"&amp;"RACT(SUBSTITUTE(F1493,"" "",""""),""-?\d+(\.\d+)?$""))&gt;=-180,VALUE(REGEXEXTRACT(SUBSTITUTE(F1493,"" "",""""),""-?\d+(\.\d+)?$""))&lt;=180),""OK"",""REVISAR"")"),"#N/A")</f>
        <v>#N/A</v>
      </c>
    </row>
    <row r="1494" ht="15.75" customHeight="1">
      <c r="A1494" s="5" t="str">
        <f t="shared" si="1"/>
        <v>AD507-1492</v>
      </c>
      <c r="C1494" s="5"/>
      <c r="F1494" s="5"/>
      <c r="G1494" s="5" t="str">
        <f t="shared" si="2"/>
        <v/>
      </c>
      <c r="H1494" s="5" t="str">
        <f t="shared" si="3"/>
        <v/>
      </c>
      <c r="I1494" s="5" t="str">
        <f t="shared" si="4"/>
        <v/>
      </c>
      <c r="J1494" s="5" t="str">
        <f t="shared" si="5"/>
        <v/>
      </c>
      <c r="K1494" s="5" t="str">
        <f>IFERROR(__xludf.DUMMYFUNCTION("IF(C1494&lt;&gt;"""",HYPERLINK(""https://wa.me/507""&amp;REGEXREPLACE(C1494,""[^0-9]"","""")&amp;""?text=""&amp;ENCODEURL(""Ya llegue. Codigo: ""&amp;A1494&amp;"". Ubicacion: ""&amp;""https://www.google.com/maps/search/?api=1&amp;query=""&amp;SUBSTITUTE(F1494,"" "","""")),""📲 Avisar al clien"&amp;"te""),"""")"),"")</f>
        <v/>
      </c>
      <c r="L1494" s="5" t="str">
        <f>IFERROR(__xludf.DUMMYFUNCTION("IF(C1494&lt;&gt;"""",""https://api.qrserver.com/v1/create-qr-code/?size=200x200&amp;data=""&amp;ENCODEURL(""https://wa.me/507""&amp;REGEXREPLACE(C1494,""[^0-9]"","""")&amp;""?text=""&amp;ENCODEURL(""Ya llegue. Codigo: ""&amp;A1494&amp;"". Ubicacion: ""&amp;""https://www.google.com/maps/search"&amp;"/?api=1&amp;query=""&amp;SUBSTITUTE(F1494,"" "",""""))),"""")"),"")</f>
        <v/>
      </c>
      <c r="M1494" s="5" t="str">
        <f t="shared" si="6"/>
        <v/>
      </c>
      <c r="N1494" s="5" t="str">
        <f>IFERROR(__xludf.DUMMYFUNCTION("IF(AND(F1494&lt;&gt;"""",REGEXMATCH(SUBSTITUTE(F1494,"" "",""""),""^-?\d+(\.\d+)?,-?\d+(\.\d+)?$""),VALUE(REGEXEXTRACT(SUBSTITUTE(F1494,"" "",""""),""^-?\d+(\.\d+)?""))&gt;=-90,VALUE(REGEXEXTRACT(SUBSTITUTE(F1494,"" "",""""),""^-?\d+(\.\d+)?""))&lt;=90,VALUE(REGEXEXT"&amp;"RACT(SUBSTITUTE(F1494,"" "",""""),""-?\d+(\.\d+)?$""))&gt;=-180,VALUE(REGEXEXTRACT(SUBSTITUTE(F1494,"" "",""""),""-?\d+(\.\d+)?$""))&lt;=180),""OK"",""REVISAR"")"),"#N/A")</f>
        <v>#N/A</v>
      </c>
    </row>
    <row r="1495" ht="15.75" customHeight="1">
      <c r="A1495" s="5" t="str">
        <f t="shared" si="1"/>
        <v>AD507-1493</v>
      </c>
      <c r="C1495" s="5"/>
      <c r="F1495" s="5"/>
      <c r="G1495" s="5" t="str">
        <f t="shared" si="2"/>
        <v/>
      </c>
      <c r="H1495" s="5" t="str">
        <f t="shared" si="3"/>
        <v/>
      </c>
      <c r="I1495" s="5" t="str">
        <f t="shared" si="4"/>
        <v/>
      </c>
      <c r="J1495" s="5" t="str">
        <f t="shared" si="5"/>
        <v/>
      </c>
      <c r="K1495" s="5" t="str">
        <f>IFERROR(__xludf.DUMMYFUNCTION("IF(C1495&lt;&gt;"""",HYPERLINK(""https://wa.me/507""&amp;REGEXREPLACE(C1495,""[^0-9]"","""")&amp;""?text=""&amp;ENCODEURL(""Ya llegue. Codigo: ""&amp;A1495&amp;"". Ubicacion: ""&amp;""https://www.google.com/maps/search/?api=1&amp;query=""&amp;SUBSTITUTE(F1495,"" "","""")),""📲 Avisar al clien"&amp;"te""),"""")"),"")</f>
        <v/>
      </c>
      <c r="L1495" s="5" t="str">
        <f>IFERROR(__xludf.DUMMYFUNCTION("IF(C1495&lt;&gt;"""",""https://api.qrserver.com/v1/create-qr-code/?size=200x200&amp;data=""&amp;ENCODEURL(""https://wa.me/507""&amp;REGEXREPLACE(C1495,""[^0-9]"","""")&amp;""?text=""&amp;ENCODEURL(""Ya llegue. Codigo: ""&amp;A1495&amp;"". Ubicacion: ""&amp;""https://www.google.com/maps/search"&amp;"/?api=1&amp;query=""&amp;SUBSTITUTE(F1495,"" "",""""))),"""")"),"")</f>
        <v/>
      </c>
      <c r="M1495" s="5" t="str">
        <f t="shared" si="6"/>
        <v/>
      </c>
      <c r="N1495" s="5" t="str">
        <f>IFERROR(__xludf.DUMMYFUNCTION("IF(AND(F1495&lt;&gt;"""",REGEXMATCH(SUBSTITUTE(F1495,"" "",""""),""^-?\d+(\.\d+)?,-?\d+(\.\d+)?$""),VALUE(REGEXEXTRACT(SUBSTITUTE(F1495,"" "",""""),""^-?\d+(\.\d+)?""))&gt;=-90,VALUE(REGEXEXTRACT(SUBSTITUTE(F1495,"" "",""""),""^-?\d+(\.\d+)?""))&lt;=90,VALUE(REGEXEXT"&amp;"RACT(SUBSTITUTE(F1495,"" "",""""),""-?\d+(\.\d+)?$""))&gt;=-180,VALUE(REGEXEXTRACT(SUBSTITUTE(F1495,"" "",""""),""-?\d+(\.\d+)?$""))&lt;=180),""OK"",""REVISAR"")"),"#N/A")</f>
        <v>#N/A</v>
      </c>
    </row>
    <row r="1496" ht="15.75" customHeight="1">
      <c r="A1496" s="5" t="str">
        <f t="shared" si="1"/>
        <v>AD507-1494</v>
      </c>
      <c r="C1496" s="5"/>
      <c r="F1496" s="5"/>
      <c r="G1496" s="5" t="str">
        <f t="shared" si="2"/>
        <v/>
      </c>
      <c r="H1496" s="5" t="str">
        <f t="shared" si="3"/>
        <v/>
      </c>
      <c r="I1496" s="5" t="str">
        <f t="shared" si="4"/>
        <v/>
      </c>
      <c r="J1496" s="5" t="str">
        <f t="shared" si="5"/>
        <v/>
      </c>
      <c r="K1496" s="5" t="str">
        <f>IFERROR(__xludf.DUMMYFUNCTION("IF(C1496&lt;&gt;"""",HYPERLINK(""https://wa.me/507""&amp;REGEXREPLACE(C1496,""[^0-9]"","""")&amp;""?text=""&amp;ENCODEURL(""Ya llegue. Codigo: ""&amp;A1496&amp;"". Ubicacion: ""&amp;""https://www.google.com/maps/search/?api=1&amp;query=""&amp;SUBSTITUTE(F1496,"" "","""")),""📲 Avisar al clien"&amp;"te""),"""")"),"")</f>
        <v/>
      </c>
      <c r="L1496" s="5" t="str">
        <f>IFERROR(__xludf.DUMMYFUNCTION("IF(C1496&lt;&gt;"""",""https://api.qrserver.com/v1/create-qr-code/?size=200x200&amp;data=""&amp;ENCODEURL(""https://wa.me/507""&amp;REGEXREPLACE(C1496,""[^0-9]"","""")&amp;""?text=""&amp;ENCODEURL(""Ya llegue. Codigo: ""&amp;A1496&amp;"". Ubicacion: ""&amp;""https://www.google.com/maps/search"&amp;"/?api=1&amp;query=""&amp;SUBSTITUTE(F1496,"" "",""""))),"""")"),"")</f>
        <v/>
      </c>
      <c r="M1496" s="5" t="str">
        <f t="shared" si="6"/>
        <v/>
      </c>
      <c r="N1496" s="5" t="str">
        <f>IFERROR(__xludf.DUMMYFUNCTION("IF(AND(F1496&lt;&gt;"""",REGEXMATCH(SUBSTITUTE(F1496,"" "",""""),""^-?\d+(\.\d+)?,-?\d+(\.\d+)?$""),VALUE(REGEXEXTRACT(SUBSTITUTE(F1496,"" "",""""),""^-?\d+(\.\d+)?""))&gt;=-90,VALUE(REGEXEXTRACT(SUBSTITUTE(F1496,"" "",""""),""^-?\d+(\.\d+)?""))&lt;=90,VALUE(REGEXEXT"&amp;"RACT(SUBSTITUTE(F1496,"" "",""""),""-?\d+(\.\d+)?$""))&gt;=-180,VALUE(REGEXEXTRACT(SUBSTITUTE(F1496,"" "",""""),""-?\d+(\.\d+)?$""))&lt;=180),""OK"",""REVISAR"")"),"#N/A")</f>
        <v>#N/A</v>
      </c>
    </row>
    <row r="1497" ht="15.75" customHeight="1">
      <c r="A1497" s="5" t="str">
        <f t="shared" si="1"/>
        <v>AD507-1495</v>
      </c>
      <c r="C1497" s="5"/>
      <c r="F1497" s="5"/>
      <c r="G1497" s="5" t="str">
        <f t="shared" si="2"/>
        <v/>
      </c>
      <c r="H1497" s="5" t="str">
        <f t="shared" si="3"/>
        <v/>
      </c>
      <c r="I1497" s="5" t="str">
        <f t="shared" si="4"/>
        <v/>
      </c>
      <c r="J1497" s="5" t="str">
        <f t="shared" si="5"/>
        <v/>
      </c>
      <c r="K1497" s="5" t="str">
        <f>IFERROR(__xludf.DUMMYFUNCTION("IF(C1497&lt;&gt;"""",HYPERLINK(""https://wa.me/507""&amp;REGEXREPLACE(C1497,""[^0-9]"","""")&amp;""?text=""&amp;ENCODEURL(""Ya llegue. Codigo: ""&amp;A1497&amp;"". Ubicacion: ""&amp;""https://www.google.com/maps/search/?api=1&amp;query=""&amp;SUBSTITUTE(F1497,"" "","""")),""📲 Avisar al clien"&amp;"te""),"""")"),"")</f>
        <v/>
      </c>
      <c r="L1497" s="5" t="str">
        <f>IFERROR(__xludf.DUMMYFUNCTION("IF(C1497&lt;&gt;"""",""https://api.qrserver.com/v1/create-qr-code/?size=200x200&amp;data=""&amp;ENCODEURL(""https://wa.me/507""&amp;REGEXREPLACE(C1497,""[^0-9]"","""")&amp;""?text=""&amp;ENCODEURL(""Ya llegue. Codigo: ""&amp;A1497&amp;"". Ubicacion: ""&amp;""https://www.google.com/maps/search"&amp;"/?api=1&amp;query=""&amp;SUBSTITUTE(F1497,"" "",""""))),"""")"),"")</f>
        <v/>
      </c>
      <c r="M1497" s="5" t="str">
        <f t="shared" si="6"/>
        <v/>
      </c>
      <c r="N1497" s="5" t="str">
        <f>IFERROR(__xludf.DUMMYFUNCTION("IF(AND(F1497&lt;&gt;"""",REGEXMATCH(SUBSTITUTE(F1497,"" "",""""),""^-?\d+(\.\d+)?,-?\d+(\.\d+)?$""),VALUE(REGEXEXTRACT(SUBSTITUTE(F1497,"" "",""""),""^-?\d+(\.\d+)?""))&gt;=-90,VALUE(REGEXEXTRACT(SUBSTITUTE(F1497,"" "",""""),""^-?\d+(\.\d+)?""))&lt;=90,VALUE(REGEXEXT"&amp;"RACT(SUBSTITUTE(F1497,"" "",""""),""-?\d+(\.\d+)?$""))&gt;=-180,VALUE(REGEXEXTRACT(SUBSTITUTE(F1497,"" "",""""),""-?\d+(\.\d+)?$""))&lt;=180),""OK"",""REVISAR"")"),"#N/A")</f>
        <v>#N/A</v>
      </c>
    </row>
    <row r="1498" ht="15.75" customHeight="1">
      <c r="A1498" s="5" t="str">
        <f t="shared" si="1"/>
        <v>AD507-1496</v>
      </c>
      <c r="C1498" s="5"/>
      <c r="F1498" s="5"/>
      <c r="G1498" s="5" t="str">
        <f t="shared" si="2"/>
        <v/>
      </c>
      <c r="H1498" s="5" t="str">
        <f t="shared" si="3"/>
        <v/>
      </c>
      <c r="I1498" s="5" t="str">
        <f t="shared" si="4"/>
        <v/>
      </c>
      <c r="J1498" s="5" t="str">
        <f t="shared" si="5"/>
        <v/>
      </c>
      <c r="K1498" s="5" t="str">
        <f>IFERROR(__xludf.DUMMYFUNCTION("IF(C1498&lt;&gt;"""",HYPERLINK(""https://wa.me/507""&amp;REGEXREPLACE(C1498,""[^0-9]"","""")&amp;""?text=""&amp;ENCODEURL(""Ya llegue. Codigo: ""&amp;A1498&amp;"". Ubicacion: ""&amp;""https://www.google.com/maps/search/?api=1&amp;query=""&amp;SUBSTITUTE(F1498,"" "","""")),""📲 Avisar al clien"&amp;"te""),"""")"),"")</f>
        <v/>
      </c>
      <c r="L1498" s="5" t="str">
        <f>IFERROR(__xludf.DUMMYFUNCTION("IF(C1498&lt;&gt;"""",""https://api.qrserver.com/v1/create-qr-code/?size=200x200&amp;data=""&amp;ENCODEURL(""https://wa.me/507""&amp;REGEXREPLACE(C1498,""[^0-9]"","""")&amp;""?text=""&amp;ENCODEURL(""Ya llegue. Codigo: ""&amp;A1498&amp;"". Ubicacion: ""&amp;""https://www.google.com/maps/search"&amp;"/?api=1&amp;query=""&amp;SUBSTITUTE(F1498,"" "",""""))),"""")"),"")</f>
        <v/>
      </c>
      <c r="M1498" s="5" t="str">
        <f t="shared" si="6"/>
        <v/>
      </c>
      <c r="N1498" s="5" t="str">
        <f>IFERROR(__xludf.DUMMYFUNCTION("IF(AND(F1498&lt;&gt;"""",REGEXMATCH(SUBSTITUTE(F1498,"" "",""""),""^-?\d+(\.\d+)?,-?\d+(\.\d+)?$""),VALUE(REGEXEXTRACT(SUBSTITUTE(F1498,"" "",""""),""^-?\d+(\.\d+)?""))&gt;=-90,VALUE(REGEXEXTRACT(SUBSTITUTE(F1498,"" "",""""),""^-?\d+(\.\d+)?""))&lt;=90,VALUE(REGEXEXT"&amp;"RACT(SUBSTITUTE(F1498,"" "",""""),""-?\d+(\.\d+)?$""))&gt;=-180,VALUE(REGEXEXTRACT(SUBSTITUTE(F1498,"" "",""""),""-?\d+(\.\d+)?$""))&lt;=180),""OK"",""REVISAR"")"),"#N/A")</f>
        <v>#N/A</v>
      </c>
    </row>
    <row r="1499" ht="15.75" customHeight="1">
      <c r="A1499" s="5" t="str">
        <f t="shared" si="1"/>
        <v>AD507-1497</v>
      </c>
      <c r="C1499" s="5"/>
      <c r="F1499" s="5"/>
      <c r="G1499" s="5" t="str">
        <f t="shared" si="2"/>
        <v/>
      </c>
      <c r="H1499" s="5" t="str">
        <f t="shared" si="3"/>
        <v/>
      </c>
      <c r="I1499" s="5" t="str">
        <f t="shared" si="4"/>
        <v/>
      </c>
      <c r="J1499" s="5" t="str">
        <f t="shared" si="5"/>
        <v/>
      </c>
      <c r="K1499" s="5" t="str">
        <f>IFERROR(__xludf.DUMMYFUNCTION("IF(C1499&lt;&gt;"""",HYPERLINK(""https://wa.me/507""&amp;REGEXREPLACE(C1499,""[^0-9]"","""")&amp;""?text=""&amp;ENCODEURL(""Ya llegue. Codigo: ""&amp;A1499&amp;"". Ubicacion: ""&amp;""https://www.google.com/maps/search/?api=1&amp;query=""&amp;SUBSTITUTE(F1499,"" "","""")),""📲 Avisar al clien"&amp;"te""),"""")"),"")</f>
        <v/>
      </c>
      <c r="L1499" s="5" t="str">
        <f>IFERROR(__xludf.DUMMYFUNCTION("IF(C1499&lt;&gt;"""",""https://api.qrserver.com/v1/create-qr-code/?size=200x200&amp;data=""&amp;ENCODEURL(""https://wa.me/507""&amp;REGEXREPLACE(C1499,""[^0-9]"","""")&amp;""?text=""&amp;ENCODEURL(""Ya llegue. Codigo: ""&amp;A1499&amp;"". Ubicacion: ""&amp;""https://www.google.com/maps/search"&amp;"/?api=1&amp;query=""&amp;SUBSTITUTE(F1499,"" "",""""))),"""")"),"")</f>
        <v/>
      </c>
      <c r="M1499" s="5" t="str">
        <f t="shared" si="6"/>
        <v/>
      </c>
      <c r="N1499" s="5" t="str">
        <f>IFERROR(__xludf.DUMMYFUNCTION("IF(AND(F1499&lt;&gt;"""",REGEXMATCH(SUBSTITUTE(F1499,"" "",""""),""^-?\d+(\.\d+)?,-?\d+(\.\d+)?$""),VALUE(REGEXEXTRACT(SUBSTITUTE(F1499,"" "",""""),""^-?\d+(\.\d+)?""))&gt;=-90,VALUE(REGEXEXTRACT(SUBSTITUTE(F1499,"" "",""""),""^-?\d+(\.\d+)?""))&lt;=90,VALUE(REGEXEXT"&amp;"RACT(SUBSTITUTE(F1499,"" "",""""),""-?\d+(\.\d+)?$""))&gt;=-180,VALUE(REGEXEXTRACT(SUBSTITUTE(F1499,"" "",""""),""-?\d+(\.\d+)?$""))&lt;=180),""OK"",""REVISAR"")"),"#N/A")</f>
        <v>#N/A</v>
      </c>
    </row>
    <row r="1500" ht="15.75" customHeight="1">
      <c r="A1500" s="5" t="str">
        <f t="shared" si="1"/>
        <v>AD507-1498</v>
      </c>
      <c r="C1500" s="5"/>
      <c r="F1500" s="5"/>
      <c r="G1500" s="5" t="str">
        <f t="shared" si="2"/>
        <v/>
      </c>
      <c r="H1500" s="5" t="str">
        <f t="shared" si="3"/>
        <v/>
      </c>
      <c r="I1500" s="5" t="str">
        <f t="shared" si="4"/>
        <v/>
      </c>
      <c r="J1500" s="5" t="str">
        <f t="shared" si="5"/>
        <v/>
      </c>
      <c r="K1500" s="5" t="str">
        <f>IFERROR(__xludf.DUMMYFUNCTION("IF(C1500&lt;&gt;"""",HYPERLINK(""https://wa.me/507""&amp;REGEXREPLACE(C1500,""[^0-9]"","""")&amp;""?text=""&amp;ENCODEURL(""Ya llegue. Codigo: ""&amp;A1500&amp;"". Ubicacion: ""&amp;""https://www.google.com/maps/search/?api=1&amp;query=""&amp;SUBSTITUTE(F1500,"" "","""")),""📲 Avisar al clien"&amp;"te""),"""")"),"")</f>
        <v/>
      </c>
      <c r="L1500" s="5" t="str">
        <f>IFERROR(__xludf.DUMMYFUNCTION("IF(C1500&lt;&gt;"""",""https://api.qrserver.com/v1/create-qr-code/?size=200x200&amp;data=""&amp;ENCODEURL(""https://wa.me/507""&amp;REGEXREPLACE(C1500,""[^0-9]"","""")&amp;""?text=""&amp;ENCODEURL(""Ya llegue. Codigo: ""&amp;A1500&amp;"". Ubicacion: ""&amp;""https://www.google.com/maps/search"&amp;"/?api=1&amp;query=""&amp;SUBSTITUTE(F1500,"" "",""""))),"""")"),"")</f>
        <v/>
      </c>
      <c r="M1500" s="5" t="str">
        <f t="shared" si="6"/>
        <v/>
      </c>
      <c r="N1500" s="5" t="str">
        <f>IFERROR(__xludf.DUMMYFUNCTION("IF(AND(F1500&lt;&gt;"""",REGEXMATCH(SUBSTITUTE(F1500,"" "",""""),""^-?\d+(\.\d+)?,-?\d+(\.\d+)?$""),VALUE(REGEXEXTRACT(SUBSTITUTE(F1500,"" "",""""),""^-?\d+(\.\d+)?""))&gt;=-90,VALUE(REGEXEXTRACT(SUBSTITUTE(F1500,"" "",""""),""^-?\d+(\.\d+)?""))&lt;=90,VALUE(REGEXEXT"&amp;"RACT(SUBSTITUTE(F1500,"" "",""""),""-?\d+(\.\d+)?$""))&gt;=-180,VALUE(REGEXEXTRACT(SUBSTITUTE(F1500,"" "",""""),""-?\d+(\.\d+)?$""))&lt;=180),""OK"",""REVISAR"")"),"#N/A")</f>
        <v>#N/A</v>
      </c>
    </row>
    <row r="1501" ht="15.75" customHeight="1">
      <c r="A1501" s="5" t="str">
        <f t="shared" si="1"/>
        <v>AD507-1499</v>
      </c>
      <c r="C1501" s="5"/>
      <c r="F1501" s="5"/>
      <c r="G1501" s="5" t="str">
        <f t="shared" si="2"/>
        <v/>
      </c>
      <c r="H1501" s="5" t="str">
        <f t="shared" si="3"/>
        <v/>
      </c>
      <c r="I1501" s="5" t="str">
        <f t="shared" si="4"/>
        <v/>
      </c>
      <c r="J1501" s="5" t="str">
        <f t="shared" si="5"/>
        <v/>
      </c>
      <c r="K1501" s="5" t="str">
        <f>IFERROR(__xludf.DUMMYFUNCTION("IF(C1501&lt;&gt;"""",HYPERLINK(""https://wa.me/507""&amp;REGEXREPLACE(C1501,""[^0-9]"","""")&amp;""?text=""&amp;ENCODEURL(""Ya llegue. Codigo: ""&amp;A1501&amp;"". Ubicacion: ""&amp;""https://www.google.com/maps/search/?api=1&amp;query=""&amp;SUBSTITUTE(F1501,"" "","""")),""📲 Avisar al clien"&amp;"te""),"""")"),"")</f>
        <v/>
      </c>
      <c r="L1501" s="5" t="str">
        <f>IFERROR(__xludf.DUMMYFUNCTION("IF(C1501&lt;&gt;"""",""https://api.qrserver.com/v1/create-qr-code/?size=200x200&amp;data=""&amp;ENCODEURL(""https://wa.me/507""&amp;REGEXREPLACE(C1501,""[^0-9]"","""")&amp;""?text=""&amp;ENCODEURL(""Ya llegue. Codigo: ""&amp;A1501&amp;"". Ubicacion: ""&amp;""https://www.google.com/maps/search"&amp;"/?api=1&amp;query=""&amp;SUBSTITUTE(F1501,"" "",""""))),"""")"),"")</f>
        <v/>
      </c>
      <c r="M1501" s="5" t="str">
        <f t="shared" si="6"/>
        <v/>
      </c>
      <c r="N1501" s="5" t="str">
        <f>IFERROR(__xludf.DUMMYFUNCTION("IF(AND(F1501&lt;&gt;"""",REGEXMATCH(SUBSTITUTE(F1501,"" "",""""),""^-?\d+(\.\d+)?,-?\d+(\.\d+)?$""),VALUE(REGEXEXTRACT(SUBSTITUTE(F1501,"" "",""""),""^-?\d+(\.\d+)?""))&gt;=-90,VALUE(REGEXEXTRACT(SUBSTITUTE(F1501,"" "",""""),""^-?\d+(\.\d+)?""))&lt;=90,VALUE(REGEXEXT"&amp;"RACT(SUBSTITUTE(F1501,"" "",""""),""-?\d+(\.\d+)?$""))&gt;=-180,VALUE(REGEXEXTRACT(SUBSTITUTE(F1501,"" "",""""),""-?\d+(\.\d+)?$""))&lt;=180),""OK"",""REVISAR"")"),"#N/A")</f>
        <v>#N/A</v>
      </c>
    </row>
    <row r="1502" ht="15.75" customHeight="1">
      <c r="A1502" s="5" t="str">
        <f t="shared" si="1"/>
        <v>AD507-1500</v>
      </c>
      <c r="C1502" s="5"/>
      <c r="F1502" s="5"/>
      <c r="G1502" s="5" t="str">
        <f t="shared" si="2"/>
        <v/>
      </c>
      <c r="H1502" s="5" t="str">
        <f t="shared" si="3"/>
        <v/>
      </c>
      <c r="I1502" s="5" t="str">
        <f t="shared" si="4"/>
        <v/>
      </c>
      <c r="J1502" s="5" t="str">
        <f t="shared" si="5"/>
        <v/>
      </c>
      <c r="K1502" s="5" t="str">
        <f>IFERROR(__xludf.DUMMYFUNCTION("IF(C1502&lt;&gt;"""",HYPERLINK(""https://wa.me/507""&amp;REGEXREPLACE(C1502,""[^0-9]"","""")&amp;""?text=""&amp;ENCODEURL(""Ya llegue. Codigo: ""&amp;A1502&amp;"". Ubicacion: ""&amp;""https://www.google.com/maps/search/?api=1&amp;query=""&amp;SUBSTITUTE(F1502,"" "","""")),""📲 Avisar al clien"&amp;"te""),"""")"),"")</f>
        <v/>
      </c>
      <c r="L1502" s="5" t="str">
        <f>IFERROR(__xludf.DUMMYFUNCTION("IF(C1502&lt;&gt;"""",""https://api.qrserver.com/v1/create-qr-code/?size=200x200&amp;data=""&amp;ENCODEURL(""https://wa.me/507""&amp;REGEXREPLACE(C1502,""[^0-9]"","""")&amp;""?text=""&amp;ENCODEURL(""Ya llegue. Codigo: ""&amp;A1502&amp;"". Ubicacion: ""&amp;""https://www.google.com/maps/search"&amp;"/?api=1&amp;query=""&amp;SUBSTITUTE(F1502,"" "",""""))),"""")"),"")</f>
        <v/>
      </c>
      <c r="M1502" s="5" t="str">
        <f t="shared" si="6"/>
        <v/>
      </c>
      <c r="N1502" s="5" t="str">
        <f>IFERROR(__xludf.DUMMYFUNCTION("IF(AND(F1502&lt;&gt;"""",REGEXMATCH(SUBSTITUTE(F1502,"" "",""""),""^-?\d+(\.\d+)?,-?\d+(\.\d+)?$""),VALUE(REGEXEXTRACT(SUBSTITUTE(F1502,"" "",""""),""^-?\d+(\.\d+)?""))&gt;=-90,VALUE(REGEXEXTRACT(SUBSTITUTE(F1502,"" "",""""),""^-?\d+(\.\d+)?""))&lt;=90,VALUE(REGEXEXT"&amp;"RACT(SUBSTITUTE(F1502,"" "",""""),""-?\d+(\.\d+)?$""))&gt;=-180,VALUE(REGEXEXTRACT(SUBSTITUTE(F1502,"" "",""""),""-?\d+(\.\d+)?$""))&lt;=180),""OK"",""REVISAR"")"),"#N/A")</f>
        <v>#N/A</v>
      </c>
    </row>
    <row r="1503" ht="15.75" customHeight="1">
      <c r="A1503" s="5" t="str">
        <f t="shared" si="1"/>
        <v>AD507-1501</v>
      </c>
      <c r="C1503" s="5"/>
      <c r="F1503" s="5"/>
      <c r="G1503" s="5" t="str">
        <f t="shared" si="2"/>
        <v/>
      </c>
      <c r="H1503" s="5" t="str">
        <f t="shared" si="3"/>
        <v/>
      </c>
      <c r="I1503" s="5" t="str">
        <f t="shared" si="4"/>
        <v/>
      </c>
      <c r="J1503" s="5" t="str">
        <f t="shared" si="5"/>
        <v/>
      </c>
      <c r="K1503" s="5" t="str">
        <f>IFERROR(__xludf.DUMMYFUNCTION("IF(C1503&lt;&gt;"""",HYPERLINK(""https://wa.me/507""&amp;REGEXREPLACE(C1503,""[^0-9]"","""")&amp;""?text=""&amp;ENCODEURL(""Ya llegue. Codigo: ""&amp;A1503&amp;"". Ubicacion: ""&amp;""https://www.google.com/maps/search/?api=1&amp;query=""&amp;SUBSTITUTE(F1503,"" "","""")),""📲 Avisar al clien"&amp;"te""),"""")"),"")</f>
        <v/>
      </c>
      <c r="L1503" s="5" t="str">
        <f>IFERROR(__xludf.DUMMYFUNCTION("IF(C1503&lt;&gt;"""",""https://api.qrserver.com/v1/create-qr-code/?size=200x200&amp;data=""&amp;ENCODEURL(""https://wa.me/507""&amp;REGEXREPLACE(C1503,""[^0-9]"","""")&amp;""?text=""&amp;ENCODEURL(""Ya llegue. Codigo: ""&amp;A1503&amp;"". Ubicacion: ""&amp;""https://www.google.com/maps/search"&amp;"/?api=1&amp;query=""&amp;SUBSTITUTE(F1503,"" "",""""))),"""")"),"")</f>
        <v/>
      </c>
      <c r="M1503" s="5" t="str">
        <f t="shared" si="6"/>
        <v/>
      </c>
      <c r="N1503" s="5" t="str">
        <f>IFERROR(__xludf.DUMMYFUNCTION("IF(AND(F1503&lt;&gt;"""",REGEXMATCH(SUBSTITUTE(F1503,"" "",""""),""^-?\d+(\.\d+)?,-?\d+(\.\d+)?$""),VALUE(REGEXEXTRACT(SUBSTITUTE(F1503,"" "",""""),""^-?\d+(\.\d+)?""))&gt;=-90,VALUE(REGEXEXTRACT(SUBSTITUTE(F1503,"" "",""""),""^-?\d+(\.\d+)?""))&lt;=90,VALUE(REGEXEXT"&amp;"RACT(SUBSTITUTE(F1503,"" "",""""),""-?\d+(\.\d+)?$""))&gt;=-180,VALUE(REGEXEXTRACT(SUBSTITUTE(F1503,"" "",""""),""-?\d+(\.\d+)?$""))&lt;=180),""OK"",""REVISAR"")"),"#N/A")</f>
        <v>#N/A</v>
      </c>
    </row>
    <row r="1504" ht="15.75" customHeight="1">
      <c r="A1504" s="5" t="str">
        <f t="shared" si="1"/>
        <v>AD507-1502</v>
      </c>
      <c r="C1504" s="5"/>
      <c r="F1504" s="5"/>
      <c r="G1504" s="5" t="str">
        <f t="shared" si="2"/>
        <v/>
      </c>
      <c r="H1504" s="5" t="str">
        <f t="shared" si="3"/>
        <v/>
      </c>
      <c r="I1504" s="5" t="str">
        <f t="shared" si="4"/>
        <v/>
      </c>
      <c r="J1504" s="5" t="str">
        <f t="shared" si="5"/>
        <v/>
      </c>
      <c r="K1504" s="5" t="str">
        <f>IFERROR(__xludf.DUMMYFUNCTION("IF(C1504&lt;&gt;"""",HYPERLINK(""https://wa.me/507""&amp;REGEXREPLACE(C1504,""[^0-9]"","""")&amp;""?text=""&amp;ENCODEURL(""Ya llegue. Codigo: ""&amp;A1504&amp;"". Ubicacion: ""&amp;""https://www.google.com/maps/search/?api=1&amp;query=""&amp;SUBSTITUTE(F1504,"" "","""")),""📲 Avisar al clien"&amp;"te""),"""")"),"")</f>
        <v/>
      </c>
      <c r="L1504" s="5" t="str">
        <f>IFERROR(__xludf.DUMMYFUNCTION("IF(C1504&lt;&gt;"""",""https://api.qrserver.com/v1/create-qr-code/?size=200x200&amp;data=""&amp;ENCODEURL(""https://wa.me/507""&amp;REGEXREPLACE(C1504,""[^0-9]"","""")&amp;""?text=""&amp;ENCODEURL(""Ya llegue. Codigo: ""&amp;A1504&amp;"". Ubicacion: ""&amp;""https://www.google.com/maps/search"&amp;"/?api=1&amp;query=""&amp;SUBSTITUTE(F1504,"" "",""""))),"""")"),"")</f>
        <v/>
      </c>
      <c r="M1504" s="5" t="str">
        <f t="shared" si="6"/>
        <v/>
      </c>
      <c r="N1504" s="5" t="str">
        <f>IFERROR(__xludf.DUMMYFUNCTION("IF(AND(F1504&lt;&gt;"""",REGEXMATCH(SUBSTITUTE(F1504,"" "",""""),""^-?\d+(\.\d+)?,-?\d+(\.\d+)?$""),VALUE(REGEXEXTRACT(SUBSTITUTE(F1504,"" "",""""),""^-?\d+(\.\d+)?""))&gt;=-90,VALUE(REGEXEXTRACT(SUBSTITUTE(F1504,"" "",""""),""^-?\d+(\.\d+)?""))&lt;=90,VALUE(REGEXEXT"&amp;"RACT(SUBSTITUTE(F1504,"" "",""""),""-?\d+(\.\d+)?$""))&gt;=-180,VALUE(REGEXEXTRACT(SUBSTITUTE(F1504,"" "",""""),""-?\d+(\.\d+)?$""))&lt;=180),""OK"",""REVISAR"")"),"#N/A")</f>
        <v>#N/A</v>
      </c>
    </row>
    <row r="1505" ht="15.75" customHeight="1">
      <c r="A1505" s="5" t="str">
        <f t="shared" si="1"/>
        <v>AD507-1503</v>
      </c>
      <c r="C1505" s="5"/>
      <c r="F1505" s="5"/>
      <c r="G1505" s="5" t="str">
        <f t="shared" si="2"/>
        <v/>
      </c>
      <c r="H1505" s="5" t="str">
        <f t="shared" si="3"/>
        <v/>
      </c>
      <c r="I1505" s="5" t="str">
        <f t="shared" si="4"/>
        <v/>
      </c>
      <c r="J1505" s="5" t="str">
        <f t="shared" si="5"/>
        <v/>
      </c>
      <c r="K1505" s="5" t="str">
        <f>IFERROR(__xludf.DUMMYFUNCTION("IF(C1505&lt;&gt;"""",HYPERLINK(""https://wa.me/507""&amp;REGEXREPLACE(C1505,""[^0-9]"","""")&amp;""?text=""&amp;ENCODEURL(""Ya llegue. Codigo: ""&amp;A1505&amp;"". Ubicacion: ""&amp;""https://www.google.com/maps/search/?api=1&amp;query=""&amp;SUBSTITUTE(F1505,"" "","""")),""📲 Avisar al clien"&amp;"te""),"""")"),"")</f>
        <v/>
      </c>
      <c r="L1505" s="5" t="str">
        <f>IFERROR(__xludf.DUMMYFUNCTION("IF(C1505&lt;&gt;"""",""https://api.qrserver.com/v1/create-qr-code/?size=200x200&amp;data=""&amp;ENCODEURL(""https://wa.me/507""&amp;REGEXREPLACE(C1505,""[^0-9]"","""")&amp;""?text=""&amp;ENCODEURL(""Ya llegue. Codigo: ""&amp;A1505&amp;"". Ubicacion: ""&amp;""https://www.google.com/maps/search"&amp;"/?api=1&amp;query=""&amp;SUBSTITUTE(F1505,"" "",""""))),"""")"),"")</f>
        <v/>
      </c>
      <c r="M1505" s="5" t="str">
        <f t="shared" si="6"/>
        <v/>
      </c>
      <c r="N1505" s="5" t="str">
        <f>IFERROR(__xludf.DUMMYFUNCTION("IF(AND(F1505&lt;&gt;"""",REGEXMATCH(SUBSTITUTE(F1505,"" "",""""),""^-?\d+(\.\d+)?,-?\d+(\.\d+)?$""),VALUE(REGEXEXTRACT(SUBSTITUTE(F1505,"" "",""""),""^-?\d+(\.\d+)?""))&gt;=-90,VALUE(REGEXEXTRACT(SUBSTITUTE(F1505,"" "",""""),""^-?\d+(\.\d+)?""))&lt;=90,VALUE(REGEXEXT"&amp;"RACT(SUBSTITUTE(F1505,"" "",""""),""-?\d+(\.\d+)?$""))&gt;=-180,VALUE(REGEXEXTRACT(SUBSTITUTE(F1505,"" "",""""),""-?\d+(\.\d+)?$""))&lt;=180),""OK"",""REVISAR"")"),"#N/A")</f>
        <v>#N/A</v>
      </c>
    </row>
    <row r="1506" ht="15.75" customHeight="1">
      <c r="A1506" s="5" t="str">
        <f t="shared" si="1"/>
        <v>AD507-1504</v>
      </c>
      <c r="C1506" s="5"/>
      <c r="F1506" s="5"/>
      <c r="G1506" s="5" t="str">
        <f t="shared" si="2"/>
        <v/>
      </c>
      <c r="H1506" s="5" t="str">
        <f t="shared" si="3"/>
        <v/>
      </c>
      <c r="I1506" s="5" t="str">
        <f t="shared" si="4"/>
        <v/>
      </c>
      <c r="J1506" s="5" t="str">
        <f t="shared" si="5"/>
        <v/>
      </c>
      <c r="K1506" s="5" t="str">
        <f>IFERROR(__xludf.DUMMYFUNCTION("IF(C1506&lt;&gt;"""",HYPERLINK(""https://wa.me/507""&amp;REGEXREPLACE(C1506,""[^0-9]"","""")&amp;""?text=""&amp;ENCODEURL(""Ya llegue. Codigo: ""&amp;A1506&amp;"". Ubicacion: ""&amp;""https://www.google.com/maps/search/?api=1&amp;query=""&amp;SUBSTITUTE(F1506,"" "","""")),""📲 Avisar al clien"&amp;"te""),"""")"),"")</f>
        <v/>
      </c>
      <c r="L1506" s="5" t="str">
        <f>IFERROR(__xludf.DUMMYFUNCTION("IF(C1506&lt;&gt;"""",""https://api.qrserver.com/v1/create-qr-code/?size=200x200&amp;data=""&amp;ENCODEURL(""https://wa.me/507""&amp;REGEXREPLACE(C1506,""[^0-9]"","""")&amp;""?text=""&amp;ENCODEURL(""Ya llegue. Codigo: ""&amp;A1506&amp;"". Ubicacion: ""&amp;""https://www.google.com/maps/search"&amp;"/?api=1&amp;query=""&amp;SUBSTITUTE(F1506,"" "",""""))),"""")"),"")</f>
        <v/>
      </c>
      <c r="M1506" s="5" t="str">
        <f t="shared" si="6"/>
        <v/>
      </c>
      <c r="N1506" s="5" t="str">
        <f>IFERROR(__xludf.DUMMYFUNCTION("IF(AND(F1506&lt;&gt;"""",REGEXMATCH(SUBSTITUTE(F1506,"" "",""""),""^-?\d+(\.\d+)?,-?\d+(\.\d+)?$""),VALUE(REGEXEXTRACT(SUBSTITUTE(F1506,"" "",""""),""^-?\d+(\.\d+)?""))&gt;=-90,VALUE(REGEXEXTRACT(SUBSTITUTE(F1506,"" "",""""),""^-?\d+(\.\d+)?""))&lt;=90,VALUE(REGEXEXT"&amp;"RACT(SUBSTITUTE(F1506,"" "",""""),""-?\d+(\.\d+)?$""))&gt;=-180,VALUE(REGEXEXTRACT(SUBSTITUTE(F1506,"" "",""""),""-?\d+(\.\d+)?$""))&lt;=180),""OK"",""REVISAR"")"),"#N/A")</f>
        <v>#N/A</v>
      </c>
    </row>
    <row r="1507" ht="15.75" customHeight="1">
      <c r="A1507" s="5" t="str">
        <f t="shared" si="1"/>
        <v>AD507-1505</v>
      </c>
      <c r="C1507" s="5"/>
      <c r="F1507" s="5"/>
      <c r="G1507" s="5" t="str">
        <f t="shared" si="2"/>
        <v/>
      </c>
      <c r="H1507" s="5" t="str">
        <f t="shared" si="3"/>
        <v/>
      </c>
      <c r="I1507" s="5" t="str">
        <f t="shared" si="4"/>
        <v/>
      </c>
      <c r="J1507" s="5" t="str">
        <f t="shared" si="5"/>
        <v/>
      </c>
      <c r="K1507" s="5" t="str">
        <f>IFERROR(__xludf.DUMMYFUNCTION("IF(C1507&lt;&gt;"""",HYPERLINK(""https://wa.me/507""&amp;REGEXREPLACE(C1507,""[^0-9]"","""")&amp;""?text=""&amp;ENCODEURL(""Ya llegue. Codigo: ""&amp;A1507&amp;"". Ubicacion: ""&amp;""https://www.google.com/maps/search/?api=1&amp;query=""&amp;SUBSTITUTE(F1507,"" "","""")),""📲 Avisar al clien"&amp;"te""),"""")"),"")</f>
        <v/>
      </c>
      <c r="L1507" s="5" t="str">
        <f>IFERROR(__xludf.DUMMYFUNCTION("IF(C1507&lt;&gt;"""",""https://api.qrserver.com/v1/create-qr-code/?size=200x200&amp;data=""&amp;ENCODEURL(""https://wa.me/507""&amp;REGEXREPLACE(C1507,""[^0-9]"","""")&amp;""?text=""&amp;ENCODEURL(""Ya llegue. Codigo: ""&amp;A1507&amp;"". Ubicacion: ""&amp;""https://www.google.com/maps/search"&amp;"/?api=1&amp;query=""&amp;SUBSTITUTE(F1507,"" "",""""))),"""")"),"")</f>
        <v/>
      </c>
      <c r="M1507" s="5" t="str">
        <f t="shared" si="6"/>
        <v/>
      </c>
      <c r="N1507" s="5" t="str">
        <f>IFERROR(__xludf.DUMMYFUNCTION("IF(AND(F1507&lt;&gt;"""",REGEXMATCH(SUBSTITUTE(F1507,"" "",""""),""^-?\d+(\.\d+)?,-?\d+(\.\d+)?$""),VALUE(REGEXEXTRACT(SUBSTITUTE(F1507,"" "",""""),""^-?\d+(\.\d+)?""))&gt;=-90,VALUE(REGEXEXTRACT(SUBSTITUTE(F1507,"" "",""""),""^-?\d+(\.\d+)?""))&lt;=90,VALUE(REGEXEXT"&amp;"RACT(SUBSTITUTE(F1507,"" "",""""),""-?\d+(\.\d+)?$""))&gt;=-180,VALUE(REGEXEXTRACT(SUBSTITUTE(F1507,"" "",""""),""-?\d+(\.\d+)?$""))&lt;=180),""OK"",""REVISAR"")"),"#N/A")</f>
        <v>#N/A</v>
      </c>
    </row>
    <row r="1508" ht="15.75" customHeight="1">
      <c r="A1508" s="5" t="str">
        <f t="shared" si="1"/>
        <v>AD507-1506</v>
      </c>
      <c r="C1508" s="5"/>
      <c r="F1508" s="5"/>
      <c r="G1508" s="5" t="str">
        <f t="shared" si="2"/>
        <v/>
      </c>
      <c r="H1508" s="5" t="str">
        <f t="shared" si="3"/>
        <v/>
      </c>
      <c r="I1508" s="5" t="str">
        <f t="shared" si="4"/>
        <v/>
      </c>
      <c r="J1508" s="5" t="str">
        <f t="shared" si="5"/>
        <v/>
      </c>
      <c r="K1508" s="5" t="str">
        <f>IFERROR(__xludf.DUMMYFUNCTION("IF(C1508&lt;&gt;"""",HYPERLINK(""https://wa.me/507""&amp;REGEXREPLACE(C1508,""[^0-9]"","""")&amp;""?text=""&amp;ENCODEURL(""Ya llegue. Codigo: ""&amp;A1508&amp;"". Ubicacion: ""&amp;""https://www.google.com/maps/search/?api=1&amp;query=""&amp;SUBSTITUTE(F1508,"" "","""")),""📲 Avisar al clien"&amp;"te""),"""")"),"")</f>
        <v/>
      </c>
      <c r="L1508" s="5" t="str">
        <f>IFERROR(__xludf.DUMMYFUNCTION("IF(C1508&lt;&gt;"""",""https://api.qrserver.com/v1/create-qr-code/?size=200x200&amp;data=""&amp;ENCODEURL(""https://wa.me/507""&amp;REGEXREPLACE(C1508,""[^0-9]"","""")&amp;""?text=""&amp;ENCODEURL(""Ya llegue. Codigo: ""&amp;A1508&amp;"". Ubicacion: ""&amp;""https://www.google.com/maps/search"&amp;"/?api=1&amp;query=""&amp;SUBSTITUTE(F1508,"" "",""""))),"""")"),"")</f>
        <v/>
      </c>
      <c r="M1508" s="5" t="str">
        <f t="shared" si="6"/>
        <v/>
      </c>
      <c r="N1508" s="5" t="str">
        <f>IFERROR(__xludf.DUMMYFUNCTION("IF(AND(F1508&lt;&gt;"""",REGEXMATCH(SUBSTITUTE(F1508,"" "",""""),""^-?\d+(\.\d+)?,-?\d+(\.\d+)?$""),VALUE(REGEXEXTRACT(SUBSTITUTE(F1508,"" "",""""),""^-?\d+(\.\d+)?""))&gt;=-90,VALUE(REGEXEXTRACT(SUBSTITUTE(F1508,"" "",""""),""^-?\d+(\.\d+)?""))&lt;=90,VALUE(REGEXEXT"&amp;"RACT(SUBSTITUTE(F1508,"" "",""""),""-?\d+(\.\d+)?$""))&gt;=-180,VALUE(REGEXEXTRACT(SUBSTITUTE(F1508,"" "",""""),""-?\d+(\.\d+)?$""))&lt;=180),""OK"",""REVISAR"")"),"#N/A")</f>
        <v>#N/A</v>
      </c>
    </row>
    <row r="1509" ht="15.75" customHeight="1">
      <c r="A1509" s="5" t="str">
        <f t="shared" si="1"/>
        <v>AD507-1507</v>
      </c>
      <c r="C1509" s="5"/>
      <c r="F1509" s="5"/>
      <c r="G1509" s="5" t="str">
        <f t="shared" si="2"/>
        <v/>
      </c>
      <c r="H1509" s="5" t="str">
        <f t="shared" si="3"/>
        <v/>
      </c>
      <c r="I1509" s="5" t="str">
        <f t="shared" si="4"/>
        <v/>
      </c>
      <c r="J1509" s="5" t="str">
        <f t="shared" si="5"/>
        <v/>
      </c>
      <c r="K1509" s="5" t="str">
        <f>IFERROR(__xludf.DUMMYFUNCTION("IF(C1509&lt;&gt;"""",HYPERLINK(""https://wa.me/507""&amp;REGEXREPLACE(C1509,""[^0-9]"","""")&amp;""?text=""&amp;ENCODEURL(""Ya llegue. Codigo: ""&amp;A1509&amp;"". Ubicacion: ""&amp;""https://www.google.com/maps/search/?api=1&amp;query=""&amp;SUBSTITUTE(F1509,"" "","""")),""📲 Avisar al clien"&amp;"te""),"""")"),"")</f>
        <v/>
      </c>
      <c r="L1509" s="5" t="str">
        <f>IFERROR(__xludf.DUMMYFUNCTION("IF(C1509&lt;&gt;"""",""https://api.qrserver.com/v1/create-qr-code/?size=200x200&amp;data=""&amp;ENCODEURL(""https://wa.me/507""&amp;REGEXREPLACE(C1509,""[^0-9]"","""")&amp;""?text=""&amp;ENCODEURL(""Ya llegue. Codigo: ""&amp;A1509&amp;"". Ubicacion: ""&amp;""https://www.google.com/maps/search"&amp;"/?api=1&amp;query=""&amp;SUBSTITUTE(F1509,"" "",""""))),"""")"),"")</f>
        <v/>
      </c>
      <c r="M1509" s="5" t="str">
        <f t="shared" si="6"/>
        <v/>
      </c>
      <c r="N1509" s="5" t="str">
        <f>IFERROR(__xludf.DUMMYFUNCTION("IF(AND(F1509&lt;&gt;"""",REGEXMATCH(SUBSTITUTE(F1509,"" "",""""),""^-?\d+(\.\d+)?,-?\d+(\.\d+)?$""),VALUE(REGEXEXTRACT(SUBSTITUTE(F1509,"" "",""""),""^-?\d+(\.\d+)?""))&gt;=-90,VALUE(REGEXEXTRACT(SUBSTITUTE(F1509,"" "",""""),""^-?\d+(\.\d+)?""))&lt;=90,VALUE(REGEXEXT"&amp;"RACT(SUBSTITUTE(F1509,"" "",""""),""-?\d+(\.\d+)?$""))&gt;=-180,VALUE(REGEXEXTRACT(SUBSTITUTE(F1509,"" "",""""),""-?\d+(\.\d+)?$""))&lt;=180),""OK"",""REVISAR"")"),"#N/A")</f>
        <v>#N/A</v>
      </c>
    </row>
    <row r="1510" ht="15.75" customHeight="1">
      <c r="A1510" s="5" t="str">
        <f t="shared" si="1"/>
        <v>AD507-1508</v>
      </c>
      <c r="C1510" s="5"/>
      <c r="F1510" s="5"/>
      <c r="G1510" s="5" t="str">
        <f t="shared" si="2"/>
        <v/>
      </c>
      <c r="H1510" s="5" t="str">
        <f t="shared" si="3"/>
        <v/>
      </c>
      <c r="I1510" s="5" t="str">
        <f t="shared" si="4"/>
        <v/>
      </c>
      <c r="J1510" s="5" t="str">
        <f t="shared" si="5"/>
        <v/>
      </c>
      <c r="K1510" s="5" t="str">
        <f>IFERROR(__xludf.DUMMYFUNCTION("IF(C1510&lt;&gt;"""",HYPERLINK(""https://wa.me/507""&amp;REGEXREPLACE(C1510,""[^0-9]"","""")&amp;""?text=""&amp;ENCODEURL(""Ya llegue. Codigo: ""&amp;A1510&amp;"". Ubicacion: ""&amp;""https://www.google.com/maps/search/?api=1&amp;query=""&amp;SUBSTITUTE(F1510,"" "","""")),""📲 Avisar al clien"&amp;"te""),"""")"),"")</f>
        <v/>
      </c>
      <c r="L1510" s="5" t="str">
        <f>IFERROR(__xludf.DUMMYFUNCTION("IF(C1510&lt;&gt;"""",""https://api.qrserver.com/v1/create-qr-code/?size=200x200&amp;data=""&amp;ENCODEURL(""https://wa.me/507""&amp;REGEXREPLACE(C1510,""[^0-9]"","""")&amp;""?text=""&amp;ENCODEURL(""Ya llegue. Codigo: ""&amp;A1510&amp;"". Ubicacion: ""&amp;""https://www.google.com/maps/search"&amp;"/?api=1&amp;query=""&amp;SUBSTITUTE(F1510,"" "",""""))),"""")"),"")</f>
        <v/>
      </c>
      <c r="M1510" s="5" t="str">
        <f t="shared" si="6"/>
        <v/>
      </c>
      <c r="N1510" s="5" t="str">
        <f>IFERROR(__xludf.DUMMYFUNCTION("IF(AND(F1510&lt;&gt;"""",REGEXMATCH(SUBSTITUTE(F1510,"" "",""""),""^-?\d+(\.\d+)?,-?\d+(\.\d+)?$""),VALUE(REGEXEXTRACT(SUBSTITUTE(F1510,"" "",""""),""^-?\d+(\.\d+)?""))&gt;=-90,VALUE(REGEXEXTRACT(SUBSTITUTE(F1510,"" "",""""),""^-?\d+(\.\d+)?""))&lt;=90,VALUE(REGEXEXT"&amp;"RACT(SUBSTITUTE(F1510,"" "",""""),""-?\d+(\.\d+)?$""))&gt;=-180,VALUE(REGEXEXTRACT(SUBSTITUTE(F1510,"" "",""""),""-?\d+(\.\d+)?$""))&lt;=180),""OK"",""REVISAR"")"),"#N/A")</f>
        <v>#N/A</v>
      </c>
    </row>
    <row r="1511" ht="15.75" customHeight="1">
      <c r="A1511" s="5" t="str">
        <f t="shared" si="1"/>
        <v>AD507-1509</v>
      </c>
      <c r="C1511" s="5"/>
      <c r="F1511" s="5"/>
      <c r="G1511" s="5" t="str">
        <f t="shared" si="2"/>
        <v/>
      </c>
      <c r="H1511" s="5" t="str">
        <f t="shared" si="3"/>
        <v/>
      </c>
      <c r="I1511" s="5" t="str">
        <f t="shared" si="4"/>
        <v/>
      </c>
      <c r="J1511" s="5" t="str">
        <f t="shared" si="5"/>
        <v/>
      </c>
      <c r="K1511" s="5" t="str">
        <f>IFERROR(__xludf.DUMMYFUNCTION("IF(C1511&lt;&gt;"""",HYPERLINK(""https://wa.me/507""&amp;REGEXREPLACE(C1511,""[^0-9]"","""")&amp;""?text=""&amp;ENCODEURL(""Ya llegue. Codigo: ""&amp;A1511&amp;"". Ubicacion: ""&amp;""https://www.google.com/maps/search/?api=1&amp;query=""&amp;SUBSTITUTE(F1511,"" "","""")),""📲 Avisar al clien"&amp;"te""),"""")"),"")</f>
        <v/>
      </c>
      <c r="L1511" s="5" t="str">
        <f>IFERROR(__xludf.DUMMYFUNCTION("IF(C1511&lt;&gt;"""",""https://api.qrserver.com/v1/create-qr-code/?size=200x200&amp;data=""&amp;ENCODEURL(""https://wa.me/507""&amp;REGEXREPLACE(C1511,""[^0-9]"","""")&amp;""?text=""&amp;ENCODEURL(""Ya llegue. Codigo: ""&amp;A1511&amp;"". Ubicacion: ""&amp;""https://www.google.com/maps/search"&amp;"/?api=1&amp;query=""&amp;SUBSTITUTE(F1511,"" "",""""))),"""")"),"")</f>
        <v/>
      </c>
      <c r="M1511" s="5" t="str">
        <f t="shared" si="6"/>
        <v/>
      </c>
      <c r="N1511" s="5" t="str">
        <f>IFERROR(__xludf.DUMMYFUNCTION("IF(AND(F1511&lt;&gt;"""",REGEXMATCH(SUBSTITUTE(F1511,"" "",""""),""^-?\d+(\.\d+)?,-?\d+(\.\d+)?$""),VALUE(REGEXEXTRACT(SUBSTITUTE(F1511,"" "",""""),""^-?\d+(\.\d+)?""))&gt;=-90,VALUE(REGEXEXTRACT(SUBSTITUTE(F1511,"" "",""""),""^-?\d+(\.\d+)?""))&lt;=90,VALUE(REGEXEXT"&amp;"RACT(SUBSTITUTE(F1511,"" "",""""),""-?\d+(\.\d+)?$""))&gt;=-180,VALUE(REGEXEXTRACT(SUBSTITUTE(F1511,"" "",""""),""-?\d+(\.\d+)?$""))&lt;=180),""OK"",""REVISAR"")"),"#N/A")</f>
        <v>#N/A</v>
      </c>
    </row>
    <row r="1512" ht="15.75" customHeight="1">
      <c r="A1512" s="5" t="str">
        <f t="shared" si="1"/>
        <v>AD507-1510</v>
      </c>
      <c r="C1512" s="5"/>
      <c r="F1512" s="5"/>
      <c r="G1512" s="5" t="str">
        <f t="shared" si="2"/>
        <v/>
      </c>
      <c r="H1512" s="5" t="str">
        <f t="shared" si="3"/>
        <v/>
      </c>
      <c r="I1512" s="5" t="str">
        <f t="shared" si="4"/>
        <v/>
      </c>
      <c r="J1512" s="5" t="str">
        <f t="shared" si="5"/>
        <v/>
      </c>
      <c r="K1512" s="5" t="str">
        <f>IFERROR(__xludf.DUMMYFUNCTION("IF(C1512&lt;&gt;"""",HYPERLINK(""https://wa.me/507""&amp;REGEXREPLACE(C1512,""[^0-9]"","""")&amp;""?text=""&amp;ENCODEURL(""Ya llegue. Codigo: ""&amp;A1512&amp;"". Ubicacion: ""&amp;""https://www.google.com/maps/search/?api=1&amp;query=""&amp;SUBSTITUTE(F1512,"" "","""")),""📲 Avisar al clien"&amp;"te""),"""")"),"")</f>
        <v/>
      </c>
      <c r="L1512" s="5" t="str">
        <f>IFERROR(__xludf.DUMMYFUNCTION("IF(C1512&lt;&gt;"""",""https://api.qrserver.com/v1/create-qr-code/?size=200x200&amp;data=""&amp;ENCODEURL(""https://wa.me/507""&amp;REGEXREPLACE(C1512,""[^0-9]"","""")&amp;""?text=""&amp;ENCODEURL(""Ya llegue. Codigo: ""&amp;A1512&amp;"". Ubicacion: ""&amp;""https://www.google.com/maps/search"&amp;"/?api=1&amp;query=""&amp;SUBSTITUTE(F1512,"" "",""""))),"""")"),"")</f>
        <v/>
      </c>
      <c r="M1512" s="5" t="str">
        <f t="shared" si="6"/>
        <v/>
      </c>
      <c r="N1512" s="5" t="str">
        <f>IFERROR(__xludf.DUMMYFUNCTION("IF(AND(F1512&lt;&gt;"""",REGEXMATCH(SUBSTITUTE(F1512,"" "",""""),""^-?\d+(\.\d+)?,-?\d+(\.\d+)?$""),VALUE(REGEXEXTRACT(SUBSTITUTE(F1512,"" "",""""),""^-?\d+(\.\d+)?""))&gt;=-90,VALUE(REGEXEXTRACT(SUBSTITUTE(F1512,"" "",""""),""^-?\d+(\.\d+)?""))&lt;=90,VALUE(REGEXEXT"&amp;"RACT(SUBSTITUTE(F1512,"" "",""""),""-?\d+(\.\d+)?$""))&gt;=-180,VALUE(REGEXEXTRACT(SUBSTITUTE(F1512,"" "",""""),""-?\d+(\.\d+)?$""))&lt;=180),""OK"",""REVISAR"")"),"#N/A")</f>
        <v>#N/A</v>
      </c>
    </row>
    <row r="1513" ht="15.75" customHeight="1">
      <c r="A1513" s="5" t="str">
        <f t="shared" si="1"/>
        <v>AD507-1511</v>
      </c>
      <c r="C1513" s="5"/>
      <c r="F1513" s="5"/>
      <c r="G1513" s="5" t="str">
        <f t="shared" si="2"/>
        <v/>
      </c>
      <c r="H1513" s="5" t="str">
        <f t="shared" si="3"/>
        <v/>
      </c>
      <c r="I1513" s="5" t="str">
        <f t="shared" si="4"/>
        <v/>
      </c>
      <c r="J1513" s="5" t="str">
        <f t="shared" si="5"/>
        <v/>
      </c>
      <c r="K1513" s="5" t="str">
        <f>IFERROR(__xludf.DUMMYFUNCTION("IF(C1513&lt;&gt;"""",HYPERLINK(""https://wa.me/507""&amp;REGEXREPLACE(C1513,""[^0-9]"","""")&amp;""?text=""&amp;ENCODEURL(""Ya llegue. Codigo: ""&amp;A1513&amp;"". Ubicacion: ""&amp;""https://www.google.com/maps/search/?api=1&amp;query=""&amp;SUBSTITUTE(F1513,"" "","""")),""📲 Avisar al clien"&amp;"te""),"""")"),"")</f>
        <v/>
      </c>
      <c r="L1513" s="5" t="str">
        <f>IFERROR(__xludf.DUMMYFUNCTION("IF(C1513&lt;&gt;"""",""https://api.qrserver.com/v1/create-qr-code/?size=200x200&amp;data=""&amp;ENCODEURL(""https://wa.me/507""&amp;REGEXREPLACE(C1513,""[^0-9]"","""")&amp;""?text=""&amp;ENCODEURL(""Ya llegue. Codigo: ""&amp;A1513&amp;"". Ubicacion: ""&amp;""https://www.google.com/maps/search"&amp;"/?api=1&amp;query=""&amp;SUBSTITUTE(F1513,"" "",""""))),"""")"),"")</f>
        <v/>
      </c>
      <c r="M1513" s="5" t="str">
        <f t="shared" si="6"/>
        <v/>
      </c>
      <c r="N1513" s="5" t="str">
        <f>IFERROR(__xludf.DUMMYFUNCTION("IF(AND(F1513&lt;&gt;"""",REGEXMATCH(SUBSTITUTE(F1513,"" "",""""),""^-?\d+(\.\d+)?,-?\d+(\.\d+)?$""),VALUE(REGEXEXTRACT(SUBSTITUTE(F1513,"" "",""""),""^-?\d+(\.\d+)?""))&gt;=-90,VALUE(REGEXEXTRACT(SUBSTITUTE(F1513,"" "",""""),""^-?\d+(\.\d+)?""))&lt;=90,VALUE(REGEXEXT"&amp;"RACT(SUBSTITUTE(F1513,"" "",""""),""-?\d+(\.\d+)?$""))&gt;=-180,VALUE(REGEXEXTRACT(SUBSTITUTE(F1513,"" "",""""),""-?\d+(\.\d+)?$""))&lt;=180),""OK"",""REVISAR"")"),"#N/A")</f>
        <v>#N/A</v>
      </c>
    </row>
    <row r="1514" ht="15.75" customHeight="1">
      <c r="A1514" s="5" t="str">
        <f t="shared" si="1"/>
        <v>AD507-1512</v>
      </c>
      <c r="C1514" s="5"/>
      <c r="F1514" s="5"/>
      <c r="G1514" s="5" t="str">
        <f t="shared" si="2"/>
        <v/>
      </c>
      <c r="H1514" s="5" t="str">
        <f t="shared" si="3"/>
        <v/>
      </c>
      <c r="I1514" s="5" t="str">
        <f t="shared" si="4"/>
        <v/>
      </c>
      <c r="J1514" s="5" t="str">
        <f t="shared" si="5"/>
        <v/>
      </c>
      <c r="K1514" s="5" t="str">
        <f>IFERROR(__xludf.DUMMYFUNCTION("IF(C1514&lt;&gt;"""",HYPERLINK(""https://wa.me/507""&amp;REGEXREPLACE(C1514,""[^0-9]"","""")&amp;""?text=""&amp;ENCODEURL(""Ya llegue. Codigo: ""&amp;A1514&amp;"". Ubicacion: ""&amp;""https://www.google.com/maps/search/?api=1&amp;query=""&amp;SUBSTITUTE(F1514,"" "","""")),""📲 Avisar al clien"&amp;"te""),"""")"),"")</f>
        <v/>
      </c>
      <c r="L1514" s="5" t="str">
        <f>IFERROR(__xludf.DUMMYFUNCTION("IF(C1514&lt;&gt;"""",""https://api.qrserver.com/v1/create-qr-code/?size=200x200&amp;data=""&amp;ENCODEURL(""https://wa.me/507""&amp;REGEXREPLACE(C1514,""[^0-9]"","""")&amp;""?text=""&amp;ENCODEURL(""Ya llegue. Codigo: ""&amp;A1514&amp;"". Ubicacion: ""&amp;""https://www.google.com/maps/search"&amp;"/?api=1&amp;query=""&amp;SUBSTITUTE(F1514,"" "",""""))),"""")"),"")</f>
        <v/>
      </c>
      <c r="M1514" s="5" t="str">
        <f t="shared" si="6"/>
        <v/>
      </c>
      <c r="N1514" s="5" t="str">
        <f>IFERROR(__xludf.DUMMYFUNCTION("IF(AND(F1514&lt;&gt;"""",REGEXMATCH(SUBSTITUTE(F1514,"" "",""""),""^-?\d+(\.\d+)?,-?\d+(\.\d+)?$""),VALUE(REGEXEXTRACT(SUBSTITUTE(F1514,"" "",""""),""^-?\d+(\.\d+)?""))&gt;=-90,VALUE(REGEXEXTRACT(SUBSTITUTE(F1514,"" "",""""),""^-?\d+(\.\d+)?""))&lt;=90,VALUE(REGEXEXT"&amp;"RACT(SUBSTITUTE(F1514,"" "",""""),""-?\d+(\.\d+)?$""))&gt;=-180,VALUE(REGEXEXTRACT(SUBSTITUTE(F1514,"" "",""""),""-?\d+(\.\d+)?$""))&lt;=180),""OK"",""REVISAR"")"),"#N/A")</f>
        <v>#N/A</v>
      </c>
    </row>
    <row r="1515" ht="15.75" customHeight="1">
      <c r="A1515" s="5" t="str">
        <f t="shared" si="1"/>
        <v>AD507-1513</v>
      </c>
      <c r="C1515" s="5"/>
      <c r="F1515" s="5"/>
      <c r="G1515" s="5" t="str">
        <f t="shared" si="2"/>
        <v/>
      </c>
      <c r="H1515" s="5" t="str">
        <f t="shared" si="3"/>
        <v/>
      </c>
      <c r="I1515" s="5" t="str">
        <f t="shared" si="4"/>
        <v/>
      </c>
      <c r="J1515" s="5" t="str">
        <f t="shared" si="5"/>
        <v/>
      </c>
      <c r="K1515" s="5" t="str">
        <f>IFERROR(__xludf.DUMMYFUNCTION("IF(C1515&lt;&gt;"""",HYPERLINK(""https://wa.me/507""&amp;REGEXREPLACE(C1515,""[^0-9]"","""")&amp;""?text=""&amp;ENCODEURL(""Ya llegue. Codigo: ""&amp;A1515&amp;"". Ubicacion: ""&amp;""https://www.google.com/maps/search/?api=1&amp;query=""&amp;SUBSTITUTE(F1515,"" "","""")),""📲 Avisar al clien"&amp;"te""),"""")"),"")</f>
        <v/>
      </c>
      <c r="L1515" s="5" t="str">
        <f>IFERROR(__xludf.DUMMYFUNCTION("IF(C1515&lt;&gt;"""",""https://api.qrserver.com/v1/create-qr-code/?size=200x200&amp;data=""&amp;ENCODEURL(""https://wa.me/507""&amp;REGEXREPLACE(C1515,""[^0-9]"","""")&amp;""?text=""&amp;ENCODEURL(""Ya llegue. Codigo: ""&amp;A1515&amp;"". Ubicacion: ""&amp;""https://www.google.com/maps/search"&amp;"/?api=1&amp;query=""&amp;SUBSTITUTE(F1515,"" "",""""))),"""")"),"")</f>
        <v/>
      </c>
      <c r="M1515" s="5" t="str">
        <f t="shared" si="6"/>
        <v/>
      </c>
      <c r="N1515" s="5" t="str">
        <f>IFERROR(__xludf.DUMMYFUNCTION("IF(AND(F1515&lt;&gt;"""",REGEXMATCH(SUBSTITUTE(F1515,"" "",""""),""^-?\d+(\.\d+)?,-?\d+(\.\d+)?$""),VALUE(REGEXEXTRACT(SUBSTITUTE(F1515,"" "",""""),""^-?\d+(\.\d+)?""))&gt;=-90,VALUE(REGEXEXTRACT(SUBSTITUTE(F1515,"" "",""""),""^-?\d+(\.\d+)?""))&lt;=90,VALUE(REGEXEXT"&amp;"RACT(SUBSTITUTE(F1515,"" "",""""),""-?\d+(\.\d+)?$""))&gt;=-180,VALUE(REGEXEXTRACT(SUBSTITUTE(F1515,"" "",""""),""-?\d+(\.\d+)?$""))&lt;=180),""OK"",""REVISAR"")"),"#N/A")</f>
        <v>#N/A</v>
      </c>
    </row>
    <row r="1516" ht="15.75" customHeight="1">
      <c r="A1516" s="5" t="str">
        <f t="shared" si="1"/>
        <v>AD507-1514</v>
      </c>
      <c r="C1516" s="5"/>
      <c r="F1516" s="5"/>
      <c r="G1516" s="5" t="str">
        <f t="shared" si="2"/>
        <v/>
      </c>
      <c r="H1516" s="5" t="str">
        <f t="shared" si="3"/>
        <v/>
      </c>
      <c r="I1516" s="5" t="str">
        <f t="shared" si="4"/>
        <v/>
      </c>
      <c r="J1516" s="5" t="str">
        <f t="shared" si="5"/>
        <v/>
      </c>
      <c r="K1516" s="5" t="str">
        <f>IFERROR(__xludf.DUMMYFUNCTION("IF(C1516&lt;&gt;"""",HYPERLINK(""https://wa.me/507""&amp;REGEXREPLACE(C1516,""[^0-9]"","""")&amp;""?text=""&amp;ENCODEURL(""Ya llegue. Codigo: ""&amp;A1516&amp;"". Ubicacion: ""&amp;""https://www.google.com/maps/search/?api=1&amp;query=""&amp;SUBSTITUTE(F1516,"" "","""")),""📲 Avisar al clien"&amp;"te""),"""")"),"")</f>
        <v/>
      </c>
      <c r="L1516" s="5" t="str">
        <f>IFERROR(__xludf.DUMMYFUNCTION("IF(C1516&lt;&gt;"""",""https://api.qrserver.com/v1/create-qr-code/?size=200x200&amp;data=""&amp;ENCODEURL(""https://wa.me/507""&amp;REGEXREPLACE(C1516,""[^0-9]"","""")&amp;""?text=""&amp;ENCODEURL(""Ya llegue. Codigo: ""&amp;A1516&amp;"". Ubicacion: ""&amp;""https://www.google.com/maps/search"&amp;"/?api=1&amp;query=""&amp;SUBSTITUTE(F1516,"" "",""""))),"""")"),"")</f>
        <v/>
      </c>
      <c r="M1516" s="5" t="str">
        <f t="shared" si="6"/>
        <v/>
      </c>
      <c r="N1516" s="5" t="str">
        <f>IFERROR(__xludf.DUMMYFUNCTION("IF(AND(F1516&lt;&gt;"""",REGEXMATCH(SUBSTITUTE(F1516,"" "",""""),""^-?\d+(\.\d+)?,-?\d+(\.\d+)?$""),VALUE(REGEXEXTRACT(SUBSTITUTE(F1516,"" "",""""),""^-?\d+(\.\d+)?""))&gt;=-90,VALUE(REGEXEXTRACT(SUBSTITUTE(F1516,"" "",""""),""^-?\d+(\.\d+)?""))&lt;=90,VALUE(REGEXEXT"&amp;"RACT(SUBSTITUTE(F1516,"" "",""""),""-?\d+(\.\d+)?$""))&gt;=-180,VALUE(REGEXEXTRACT(SUBSTITUTE(F1516,"" "",""""),""-?\d+(\.\d+)?$""))&lt;=180),""OK"",""REVISAR"")"),"#N/A")</f>
        <v>#N/A</v>
      </c>
    </row>
    <row r="1517" ht="15.75" customHeight="1">
      <c r="A1517" s="5" t="str">
        <f t="shared" si="1"/>
        <v>AD507-1515</v>
      </c>
      <c r="C1517" s="5"/>
      <c r="F1517" s="5"/>
      <c r="G1517" s="5" t="str">
        <f t="shared" si="2"/>
        <v/>
      </c>
      <c r="H1517" s="5" t="str">
        <f t="shared" si="3"/>
        <v/>
      </c>
      <c r="I1517" s="5" t="str">
        <f t="shared" si="4"/>
        <v/>
      </c>
      <c r="J1517" s="5" t="str">
        <f t="shared" si="5"/>
        <v/>
      </c>
      <c r="K1517" s="5" t="str">
        <f>IFERROR(__xludf.DUMMYFUNCTION("IF(C1517&lt;&gt;"""",HYPERLINK(""https://wa.me/507""&amp;REGEXREPLACE(C1517,""[^0-9]"","""")&amp;""?text=""&amp;ENCODEURL(""Ya llegue. Codigo: ""&amp;A1517&amp;"". Ubicacion: ""&amp;""https://www.google.com/maps/search/?api=1&amp;query=""&amp;SUBSTITUTE(F1517,"" "","""")),""📲 Avisar al clien"&amp;"te""),"""")"),"")</f>
        <v/>
      </c>
      <c r="L1517" s="5" t="str">
        <f>IFERROR(__xludf.DUMMYFUNCTION("IF(C1517&lt;&gt;"""",""https://api.qrserver.com/v1/create-qr-code/?size=200x200&amp;data=""&amp;ENCODEURL(""https://wa.me/507""&amp;REGEXREPLACE(C1517,""[^0-9]"","""")&amp;""?text=""&amp;ENCODEURL(""Ya llegue. Codigo: ""&amp;A1517&amp;"". Ubicacion: ""&amp;""https://www.google.com/maps/search"&amp;"/?api=1&amp;query=""&amp;SUBSTITUTE(F1517,"" "",""""))),"""")"),"")</f>
        <v/>
      </c>
      <c r="M1517" s="5" t="str">
        <f t="shared" si="6"/>
        <v/>
      </c>
      <c r="N1517" s="5" t="str">
        <f>IFERROR(__xludf.DUMMYFUNCTION("IF(AND(F1517&lt;&gt;"""",REGEXMATCH(SUBSTITUTE(F1517,"" "",""""),""^-?\d+(\.\d+)?,-?\d+(\.\d+)?$""),VALUE(REGEXEXTRACT(SUBSTITUTE(F1517,"" "",""""),""^-?\d+(\.\d+)?""))&gt;=-90,VALUE(REGEXEXTRACT(SUBSTITUTE(F1517,"" "",""""),""^-?\d+(\.\d+)?""))&lt;=90,VALUE(REGEXEXT"&amp;"RACT(SUBSTITUTE(F1517,"" "",""""),""-?\d+(\.\d+)?$""))&gt;=-180,VALUE(REGEXEXTRACT(SUBSTITUTE(F1517,"" "",""""),""-?\d+(\.\d+)?$""))&lt;=180),""OK"",""REVISAR"")"),"#N/A")</f>
        <v>#N/A</v>
      </c>
    </row>
    <row r="1518" ht="15.75" customHeight="1">
      <c r="A1518" s="5" t="str">
        <f t="shared" si="1"/>
        <v>AD507-1516</v>
      </c>
      <c r="C1518" s="5"/>
      <c r="F1518" s="5"/>
      <c r="G1518" s="5" t="str">
        <f t="shared" si="2"/>
        <v/>
      </c>
      <c r="H1518" s="5" t="str">
        <f t="shared" si="3"/>
        <v/>
      </c>
      <c r="I1518" s="5" t="str">
        <f t="shared" si="4"/>
        <v/>
      </c>
      <c r="J1518" s="5" t="str">
        <f t="shared" si="5"/>
        <v/>
      </c>
      <c r="K1518" s="5" t="str">
        <f>IFERROR(__xludf.DUMMYFUNCTION("IF(C1518&lt;&gt;"""",HYPERLINK(""https://wa.me/507""&amp;REGEXREPLACE(C1518,""[^0-9]"","""")&amp;""?text=""&amp;ENCODEURL(""Ya llegue. Codigo: ""&amp;A1518&amp;"". Ubicacion: ""&amp;""https://www.google.com/maps/search/?api=1&amp;query=""&amp;SUBSTITUTE(F1518,"" "","""")),""📲 Avisar al clien"&amp;"te""),"""")"),"")</f>
        <v/>
      </c>
      <c r="L1518" s="5" t="str">
        <f>IFERROR(__xludf.DUMMYFUNCTION("IF(C1518&lt;&gt;"""",""https://api.qrserver.com/v1/create-qr-code/?size=200x200&amp;data=""&amp;ENCODEURL(""https://wa.me/507""&amp;REGEXREPLACE(C1518,""[^0-9]"","""")&amp;""?text=""&amp;ENCODEURL(""Ya llegue. Codigo: ""&amp;A1518&amp;"". Ubicacion: ""&amp;""https://www.google.com/maps/search"&amp;"/?api=1&amp;query=""&amp;SUBSTITUTE(F1518,"" "",""""))),"""")"),"")</f>
        <v/>
      </c>
      <c r="M1518" s="5" t="str">
        <f t="shared" si="6"/>
        <v/>
      </c>
      <c r="N1518" s="5" t="str">
        <f>IFERROR(__xludf.DUMMYFUNCTION("IF(AND(F1518&lt;&gt;"""",REGEXMATCH(SUBSTITUTE(F1518,"" "",""""),""^-?\d+(\.\d+)?,-?\d+(\.\d+)?$""),VALUE(REGEXEXTRACT(SUBSTITUTE(F1518,"" "",""""),""^-?\d+(\.\d+)?""))&gt;=-90,VALUE(REGEXEXTRACT(SUBSTITUTE(F1518,"" "",""""),""^-?\d+(\.\d+)?""))&lt;=90,VALUE(REGEXEXT"&amp;"RACT(SUBSTITUTE(F1518,"" "",""""),""-?\d+(\.\d+)?$""))&gt;=-180,VALUE(REGEXEXTRACT(SUBSTITUTE(F1518,"" "",""""),""-?\d+(\.\d+)?$""))&lt;=180),""OK"",""REVISAR"")"),"#N/A")</f>
        <v>#N/A</v>
      </c>
    </row>
    <row r="1519" ht="15.75" customHeight="1">
      <c r="A1519" s="5" t="str">
        <f t="shared" si="1"/>
        <v>AD507-1517</v>
      </c>
      <c r="C1519" s="5"/>
      <c r="F1519" s="5"/>
      <c r="G1519" s="5" t="str">
        <f t="shared" si="2"/>
        <v/>
      </c>
      <c r="H1519" s="5" t="str">
        <f t="shared" si="3"/>
        <v/>
      </c>
      <c r="I1519" s="5" t="str">
        <f t="shared" si="4"/>
        <v/>
      </c>
      <c r="J1519" s="5" t="str">
        <f t="shared" si="5"/>
        <v/>
      </c>
      <c r="K1519" s="5" t="str">
        <f>IFERROR(__xludf.DUMMYFUNCTION("IF(C1519&lt;&gt;"""",HYPERLINK(""https://wa.me/507""&amp;REGEXREPLACE(C1519,""[^0-9]"","""")&amp;""?text=""&amp;ENCODEURL(""Ya llegue. Codigo: ""&amp;A1519&amp;"". Ubicacion: ""&amp;""https://www.google.com/maps/search/?api=1&amp;query=""&amp;SUBSTITUTE(F1519,"" "","""")),""📲 Avisar al clien"&amp;"te""),"""")"),"")</f>
        <v/>
      </c>
      <c r="L1519" s="5" t="str">
        <f>IFERROR(__xludf.DUMMYFUNCTION("IF(C1519&lt;&gt;"""",""https://api.qrserver.com/v1/create-qr-code/?size=200x200&amp;data=""&amp;ENCODEURL(""https://wa.me/507""&amp;REGEXREPLACE(C1519,""[^0-9]"","""")&amp;""?text=""&amp;ENCODEURL(""Ya llegue. Codigo: ""&amp;A1519&amp;"". Ubicacion: ""&amp;""https://www.google.com/maps/search"&amp;"/?api=1&amp;query=""&amp;SUBSTITUTE(F1519,"" "",""""))),"""")"),"")</f>
        <v/>
      </c>
      <c r="M1519" s="5" t="str">
        <f t="shared" si="6"/>
        <v/>
      </c>
      <c r="N1519" s="5" t="str">
        <f>IFERROR(__xludf.DUMMYFUNCTION("IF(AND(F1519&lt;&gt;"""",REGEXMATCH(SUBSTITUTE(F1519,"" "",""""),""^-?\d+(\.\d+)?,-?\d+(\.\d+)?$""),VALUE(REGEXEXTRACT(SUBSTITUTE(F1519,"" "",""""),""^-?\d+(\.\d+)?""))&gt;=-90,VALUE(REGEXEXTRACT(SUBSTITUTE(F1519,"" "",""""),""^-?\d+(\.\d+)?""))&lt;=90,VALUE(REGEXEXT"&amp;"RACT(SUBSTITUTE(F1519,"" "",""""),""-?\d+(\.\d+)?$""))&gt;=-180,VALUE(REGEXEXTRACT(SUBSTITUTE(F1519,"" "",""""),""-?\d+(\.\d+)?$""))&lt;=180),""OK"",""REVISAR"")"),"#N/A")</f>
        <v>#N/A</v>
      </c>
    </row>
    <row r="1520" ht="15.75" customHeight="1">
      <c r="A1520" s="5" t="str">
        <f t="shared" si="1"/>
        <v>AD507-1518</v>
      </c>
      <c r="C1520" s="5"/>
      <c r="F1520" s="5"/>
      <c r="G1520" s="5" t="str">
        <f t="shared" si="2"/>
        <v/>
      </c>
      <c r="H1520" s="5" t="str">
        <f t="shared" si="3"/>
        <v/>
      </c>
      <c r="I1520" s="5" t="str">
        <f t="shared" si="4"/>
        <v/>
      </c>
      <c r="J1520" s="5" t="str">
        <f t="shared" si="5"/>
        <v/>
      </c>
      <c r="K1520" s="5" t="str">
        <f>IFERROR(__xludf.DUMMYFUNCTION("IF(C1520&lt;&gt;"""",HYPERLINK(""https://wa.me/507""&amp;REGEXREPLACE(C1520,""[^0-9]"","""")&amp;""?text=""&amp;ENCODEURL(""Ya llegue. Codigo: ""&amp;A1520&amp;"". Ubicacion: ""&amp;""https://www.google.com/maps/search/?api=1&amp;query=""&amp;SUBSTITUTE(F1520,"" "","""")),""📲 Avisar al clien"&amp;"te""),"""")"),"")</f>
        <v/>
      </c>
      <c r="L1520" s="5" t="str">
        <f>IFERROR(__xludf.DUMMYFUNCTION("IF(C1520&lt;&gt;"""",""https://api.qrserver.com/v1/create-qr-code/?size=200x200&amp;data=""&amp;ENCODEURL(""https://wa.me/507""&amp;REGEXREPLACE(C1520,""[^0-9]"","""")&amp;""?text=""&amp;ENCODEURL(""Ya llegue. Codigo: ""&amp;A1520&amp;"". Ubicacion: ""&amp;""https://www.google.com/maps/search"&amp;"/?api=1&amp;query=""&amp;SUBSTITUTE(F1520,"" "",""""))),"""")"),"")</f>
        <v/>
      </c>
      <c r="M1520" s="5" t="str">
        <f t="shared" si="6"/>
        <v/>
      </c>
      <c r="N1520" s="5" t="str">
        <f>IFERROR(__xludf.DUMMYFUNCTION("IF(AND(F1520&lt;&gt;"""",REGEXMATCH(SUBSTITUTE(F1520,"" "",""""),""^-?\d+(\.\d+)?,-?\d+(\.\d+)?$""),VALUE(REGEXEXTRACT(SUBSTITUTE(F1520,"" "",""""),""^-?\d+(\.\d+)?""))&gt;=-90,VALUE(REGEXEXTRACT(SUBSTITUTE(F1520,"" "",""""),""^-?\d+(\.\d+)?""))&lt;=90,VALUE(REGEXEXT"&amp;"RACT(SUBSTITUTE(F1520,"" "",""""),""-?\d+(\.\d+)?$""))&gt;=-180,VALUE(REGEXEXTRACT(SUBSTITUTE(F1520,"" "",""""),""-?\d+(\.\d+)?$""))&lt;=180),""OK"",""REVISAR"")"),"#N/A")</f>
        <v>#N/A</v>
      </c>
    </row>
    <row r="1521" ht="15.75" customHeight="1">
      <c r="A1521" s="5" t="str">
        <f t="shared" si="1"/>
        <v>AD507-1519</v>
      </c>
      <c r="C1521" s="5"/>
      <c r="F1521" s="5"/>
      <c r="G1521" s="5" t="str">
        <f t="shared" si="2"/>
        <v/>
      </c>
      <c r="H1521" s="5" t="str">
        <f t="shared" si="3"/>
        <v/>
      </c>
      <c r="I1521" s="5" t="str">
        <f t="shared" si="4"/>
        <v/>
      </c>
      <c r="J1521" s="5" t="str">
        <f t="shared" si="5"/>
        <v/>
      </c>
      <c r="K1521" s="5" t="str">
        <f>IFERROR(__xludf.DUMMYFUNCTION("IF(C1521&lt;&gt;"""",HYPERLINK(""https://wa.me/507""&amp;REGEXREPLACE(C1521,""[^0-9]"","""")&amp;""?text=""&amp;ENCODEURL(""Ya llegue. Codigo: ""&amp;A1521&amp;"". Ubicacion: ""&amp;""https://www.google.com/maps/search/?api=1&amp;query=""&amp;SUBSTITUTE(F1521,"" "","""")),""📲 Avisar al clien"&amp;"te""),"""")"),"")</f>
        <v/>
      </c>
      <c r="L1521" s="5" t="str">
        <f>IFERROR(__xludf.DUMMYFUNCTION("IF(C1521&lt;&gt;"""",""https://api.qrserver.com/v1/create-qr-code/?size=200x200&amp;data=""&amp;ENCODEURL(""https://wa.me/507""&amp;REGEXREPLACE(C1521,""[^0-9]"","""")&amp;""?text=""&amp;ENCODEURL(""Ya llegue. Codigo: ""&amp;A1521&amp;"". Ubicacion: ""&amp;""https://www.google.com/maps/search"&amp;"/?api=1&amp;query=""&amp;SUBSTITUTE(F1521,"" "",""""))),"""")"),"")</f>
        <v/>
      </c>
      <c r="M1521" s="5" t="str">
        <f t="shared" si="6"/>
        <v/>
      </c>
      <c r="N1521" s="5" t="str">
        <f>IFERROR(__xludf.DUMMYFUNCTION("IF(AND(F1521&lt;&gt;"""",REGEXMATCH(SUBSTITUTE(F1521,"" "",""""),""^-?\d+(\.\d+)?,-?\d+(\.\d+)?$""),VALUE(REGEXEXTRACT(SUBSTITUTE(F1521,"" "",""""),""^-?\d+(\.\d+)?""))&gt;=-90,VALUE(REGEXEXTRACT(SUBSTITUTE(F1521,"" "",""""),""^-?\d+(\.\d+)?""))&lt;=90,VALUE(REGEXEXT"&amp;"RACT(SUBSTITUTE(F1521,"" "",""""),""-?\d+(\.\d+)?$""))&gt;=-180,VALUE(REGEXEXTRACT(SUBSTITUTE(F1521,"" "",""""),""-?\d+(\.\d+)?$""))&lt;=180),""OK"",""REVISAR"")"),"#N/A")</f>
        <v>#N/A</v>
      </c>
    </row>
    <row r="1522" ht="15.75" customHeight="1">
      <c r="A1522" s="5" t="str">
        <f t="shared" si="1"/>
        <v>AD507-1520</v>
      </c>
      <c r="C1522" s="5"/>
      <c r="F1522" s="5"/>
      <c r="G1522" s="5" t="str">
        <f t="shared" si="2"/>
        <v/>
      </c>
      <c r="H1522" s="5" t="str">
        <f t="shared" si="3"/>
        <v/>
      </c>
      <c r="I1522" s="5" t="str">
        <f t="shared" si="4"/>
        <v/>
      </c>
      <c r="J1522" s="5" t="str">
        <f t="shared" si="5"/>
        <v/>
      </c>
      <c r="K1522" s="5" t="str">
        <f>IFERROR(__xludf.DUMMYFUNCTION("IF(C1522&lt;&gt;"""",HYPERLINK(""https://wa.me/507""&amp;REGEXREPLACE(C1522,""[^0-9]"","""")&amp;""?text=""&amp;ENCODEURL(""Ya llegue. Codigo: ""&amp;A1522&amp;"". Ubicacion: ""&amp;""https://www.google.com/maps/search/?api=1&amp;query=""&amp;SUBSTITUTE(F1522,"" "","""")),""📲 Avisar al clien"&amp;"te""),"""")"),"")</f>
        <v/>
      </c>
      <c r="L1522" s="5" t="str">
        <f>IFERROR(__xludf.DUMMYFUNCTION("IF(C1522&lt;&gt;"""",""https://api.qrserver.com/v1/create-qr-code/?size=200x200&amp;data=""&amp;ENCODEURL(""https://wa.me/507""&amp;REGEXREPLACE(C1522,""[^0-9]"","""")&amp;""?text=""&amp;ENCODEURL(""Ya llegue. Codigo: ""&amp;A1522&amp;"". Ubicacion: ""&amp;""https://www.google.com/maps/search"&amp;"/?api=1&amp;query=""&amp;SUBSTITUTE(F1522,"" "",""""))),"""")"),"")</f>
        <v/>
      </c>
      <c r="M1522" s="5" t="str">
        <f t="shared" si="6"/>
        <v/>
      </c>
      <c r="N1522" s="5" t="str">
        <f>IFERROR(__xludf.DUMMYFUNCTION("IF(AND(F1522&lt;&gt;"""",REGEXMATCH(SUBSTITUTE(F1522,"" "",""""),""^-?\d+(\.\d+)?,-?\d+(\.\d+)?$""),VALUE(REGEXEXTRACT(SUBSTITUTE(F1522,"" "",""""),""^-?\d+(\.\d+)?""))&gt;=-90,VALUE(REGEXEXTRACT(SUBSTITUTE(F1522,"" "",""""),""^-?\d+(\.\d+)?""))&lt;=90,VALUE(REGEXEXT"&amp;"RACT(SUBSTITUTE(F1522,"" "",""""),""-?\d+(\.\d+)?$""))&gt;=-180,VALUE(REGEXEXTRACT(SUBSTITUTE(F1522,"" "",""""),""-?\d+(\.\d+)?$""))&lt;=180),""OK"",""REVISAR"")"),"#N/A")</f>
        <v>#N/A</v>
      </c>
    </row>
    <row r="1523" ht="15.75" customHeight="1">
      <c r="A1523" s="5" t="str">
        <f t="shared" si="1"/>
        <v>AD507-1521</v>
      </c>
      <c r="C1523" s="5"/>
      <c r="F1523" s="5"/>
      <c r="G1523" s="5" t="str">
        <f t="shared" si="2"/>
        <v/>
      </c>
      <c r="H1523" s="5" t="str">
        <f t="shared" si="3"/>
        <v/>
      </c>
      <c r="I1523" s="5" t="str">
        <f t="shared" si="4"/>
        <v/>
      </c>
      <c r="J1523" s="5" t="str">
        <f t="shared" si="5"/>
        <v/>
      </c>
      <c r="K1523" s="5" t="str">
        <f>IFERROR(__xludf.DUMMYFUNCTION("IF(C1523&lt;&gt;"""",HYPERLINK(""https://wa.me/507""&amp;REGEXREPLACE(C1523,""[^0-9]"","""")&amp;""?text=""&amp;ENCODEURL(""Ya llegue. Codigo: ""&amp;A1523&amp;"". Ubicacion: ""&amp;""https://www.google.com/maps/search/?api=1&amp;query=""&amp;SUBSTITUTE(F1523,"" "","""")),""📲 Avisar al clien"&amp;"te""),"""")"),"")</f>
        <v/>
      </c>
      <c r="L1523" s="5" t="str">
        <f>IFERROR(__xludf.DUMMYFUNCTION("IF(C1523&lt;&gt;"""",""https://api.qrserver.com/v1/create-qr-code/?size=200x200&amp;data=""&amp;ENCODEURL(""https://wa.me/507""&amp;REGEXREPLACE(C1523,""[^0-9]"","""")&amp;""?text=""&amp;ENCODEURL(""Ya llegue. Codigo: ""&amp;A1523&amp;"". Ubicacion: ""&amp;""https://www.google.com/maps/search"&amp;"/?api=1&amp;query=""&amp;SUBSTITUTE(F1523,"" "",""""))),"""")"),"")</f>
        <v/>
      </c>
      <c r="M1523" s="5" t="str">
        <f t="shared" si="6"/>
        <v/>
      </c>
      <c r="N1523" s="5" t="str">
        <f>IFERROR(__xludf.DUMMYFUNCTION("IF(AND(F1523&lt;&gt;"""",REGEXMATCH(SUBSTITUTE(F1523,"" "",""""),""^-?\d+(\.\d+)?,-?\d+(\.\d+)?$""),VALUE(REGEXEXTRACT(SUBSTITUTE(F1523,"" "",""""),""^-?\d+(\.\d+)?""))&gt;=-90,VALUE(REGEXEXTRACT(SUBSTITUTE(F1523,"" "",""""),""^-?\d+(\.\d+)?""))&lt;=90,VALUE(REGEXEXT"&amp;"RACT(SUBSTITUTE(F1523,"" "",""""),""-?\d+(\.\d+)?$""))&gt;=-180,VALUE(REGEXEXTRACT(SUBSTITUTE(F1523,"" "",""""),""-?\d+(\.\d+)?$""))&lt;=180),""OK"",""REVISAR"")"),"#N/A")</f>
        <v>#N/A</v>
      </c>
    </row>
    <row r="1524" ht="15.75" customHeight="1">
      <c r="A1524" s="5" t="str">
        <f t="shared" si="1"/>
        <v>AD507-1522</v>
      </c>
      <c r="C1524" s="5"/>
      <c r="F1524" s="5"/>
      <c r="G1524" s="5" t="str">
        <f t="shared" si="2"/>
        <v/>
      </c>
      <c r="H1524" s="5" t="str">
        <f t="shared" si="3"/>
        <v/>
      </c>
      <c r="I1524" s="5" t="str">
        <f t="shared" si="4"/>
        <v/>
      </c>
      <c r="J1524" s="5" t="str">
        <f t="shared" si="5"/>
        <v/>
      </c>
      <c r="K1524" s="5" t="str">
        <f>IFERROR(__xludf.DUMMYFUNCTION("IF(C1524&lt;&gt;"""",HYPERLINK(""https://wa.me/507""&amp;REGEXREPLACE(C1524,""[^0-9]"","""")&amp;""?text=""&amp;ENCODEURL(""Ya llegue. Codigo: ""&amp;A1524&amp;"". Ubicacion: ""&amp;""https://www.google.com/maps/search/?api=1&amp;query=""&amp;SUBSTITUTE(F1524,"" "","""")),""📲 Avisar al clien"&amp;"te""),"""")"),"")</f>
        <v/>
      </c>
      <c r="L1524" s="5" t="str">
        <f>IFERROR(__xludf.DUMMYFUNCTION("IF(C1524&lt;&gt;"""",""https://api.qrserver.com/v1/create-qr-code/?size=200x200&amp;data=""&amp;ENCODEURL(""https://wa.me/507""&amp;REGEXREPLACE(C1524,""[^0-9]"","""")&amp;""?text=""&amp;ENCODEURL(""Ya llegue. Codigo: ""&amp;A1524&amp;"". Ubicacion: ""&amp;""https://www.google.com/maps/search"&amp;"/?api=1&amp;query=""&amp;SUBSTITUTE(F1524,"" "",""""))),"""")"),"")</f>
        <v/>
      </c>
      <c r="M1524" s="5" t="str">
        <f t="shared" si="6"/>
        <v/>
      </c>
      <c r="N1524" s="5" t="str">
        <f>IFERROR(__xludf.DUMMYFUNCTION("IF(AND(F1524&lt;&gt;"""",REGEXMATCH(SUBSTITUTE(F1524,"" "",""""),""^-?\d+(\.\d+)?,-?\d+(\.\d+)?$""),VALUE(REGEXEXTRACT(SUBSTITUTE(F1524,"" "",""""),""^-?\d+(\.\d+)?""))&gt;=-90,VALUE(REGEXEXTRACT(SUBSTITUTE(F1524,"" "",""""),""^-?\d+(\.\d+)?""))&lt;=90,VALUE(REGEXEXT"&amp;"RACT(SUBSTITUTE(F1524,"" "",""""),""-?\d+(\.\d+)?$""))&gt;=-180,VALUE(REGEXEXTRACT(SUBSTITUTE(F1524,"" "",""""),""-?\d+(\.\d+)?$""))&lt;=180),""OK"",""REVISAR"")"),"#N/A")</f>
        <v>#N/A</v>
      </c>
    </row>
    <row r="1525" ht="15.75" customHeight="1">
      <c r="A1525" s="5" t="str">
        <f t="shared" si="1"/>
        <v>AD507-1523</v>
      </c>
      <c r="C1525" s="5"/>
      <c r="F1525" s="5"/>
      <c r="G1525" s="5" t="str">
        <f t="shared" si="2"/>
        <v/>
      </c>
      <c r="H1525" s="5" t="str">
        <f t="shared" si="3"/>
        <v/>
      </c>
      <c r="I1525" s="5" t="str">
        <f t="shared" si="4"/>
        <v/>
      </c>
      <c r="J1525" s="5" t="str">
        <f t="shared" si="5"/>
        <v/>
      </c>
      <c r="K1525" s="5" t="str">
        <f>IFERROR(__xludf.DUMMYFUNCTION("IF(C1525&lt;&gt;"""",HYPERLINK(""https://wa.me/507""&amp;REGEXREPLACE(C1525,""[^0-9]"","""")&amp;""?text=""&amp;ENCODEURL(""Ya llegue. Codigo: ""&amp;A1525&amp;"". Ubicacion: ""&amp;""https://www.google.com/maps/search/?api=1&amp;query=""&amp;SUBSTITUTE(F1525,"" "","""")),""📲 Avisar al clien"&amp;"te""),"""")"),"")</f>
        <v/>
      </c>
      <c r="L1525" s="5" t="str">
        <f>IFERROR(__xludf.DUMMYFUNCTION("IF(C1525&lt;&gt;"""",""https://api.qrserver.com/v1/create-qr-code/?size=200x200&amp;data=""&amp;ENCODEURL(""https://wa.me/507""&amp;REGEXREPLACE(C1525,""[^0-9]"","""")&amp;""?text=""&amp;ENCODEURL(""Ya llegue. Codigo: ""&amp;A1525&amp;"". Ubicacion: ""&amp;""https://www.google.com/maps/search"&amp;"/?api=1&amp;query=""&amp;SUBSTITUTE(F1525,"" "",""""))),"""")"),"")</f>
        <v/>
      </c>
      <c r="M1525" s="5" t="str">
        <f t="shared" si="6"/>
        <v/>
      </c>
      <c r="N1525" s="5" t="str">
        <f>IFERROR(__xludf.DUMMYFUNCTION("IF(AND(F1525&lt;&gt;"""",REGEXMATCH(SUBSTITUTE(F1525,"" "",""""),""^-?\d+(\.\d+)?,-?\d+(\.\d+)?$""),VALUE(REGEXEXTRACT(SUBSTITUTE(F1525,"" "",""""),""^-?\d+(\.\d+)?""))&gt;=-90,VALUE(REGEXEXTRACT(SUBSTITUTE(F1525,"" "",""""),""^-?\d+(\.\d+)?""))&lt;=90,VALUE(REGEXEXT"&amp;"RACT(SUBSTITUTE(F1525,"" "",""""),""-?\d+(\.\d+)?$""))&gt;=-180,VALUE(REGEXEXTRACT(SUBSTITUTE(F1525,"" "",""""),""-?\d+(\.\d+)?$""))&lt;=180),""OK"",""REVISAR"")"),"#N/A")</f>
        <v>#N/A</v>
      </c>
    </row>
    <row r="1526" ht="15.75" customHeight="1">
      <c r="A1526" s="5" t="str">
        <f t="shared" si="1"/>
        <v>AD507-1524</v>
      </c>
      <c r="C1526" s="5"/>
      <c r="F1526" s="5"/>
      <c r="G1526" s="5" t="str">
        <f t="shared" si="2"/>
        <v/>
      </c>
      <c r="H1526" s="5" t="str">
        <f t="shared" si="3"/>
        <v/>
      </c>
      <c r="I1526" s="5" t="str">
        <f t="shared" si="4"/>
        <v/>
      </c>
      <c r="J1526" s="5" t="str">
        <f t="shared" si="5"/>
        <v/>
      </c>
      <c r="K1526" s="5" t="str">
        <f>IFERROR(__xludf.DUMMYFUNCTION("IF(C1526&lt;&gt;"""",HYPERLINK(""https://wa.me/507""&amp;REGEXREPLACE(C1526,""[^0-9]"","""")&amp;""?text=""&amp;ENCODEURL(""Ya llegue. Codigo: ""&amp;A1526&amp;"". Ubicacion: ""&amp;""https://www.google.com/maps/search/?api=1&amp;query=""&amp;SUBSTITUTE(F1526,"" "","""")),""📲 Avisar al clien"&amp;"te""),"""")"),"")</f>
        <v/>
      </c>
      <c r="L1526" s="5" t="str">
        <f>IFERROR(__xludf.DUMMYFUNCTION("IF(C1526&lt;&gt;"""",""https://api.qrserver.com/v1/create-qr-code/?size=200x200&amp;data=""&amp;ENCODEURL(""https://wa.me/507""&amp;REGEXREPLACE(C1526,""[^0-9]"","""")&amp;""?text=""&amp;ENCODEURL(""Ya llegue. Codigo: ""&amp;A1526&amp;"". Ubicacion: ""&amp;""https://www.google.com/maps/search"&amp;"/?api=1&amp;query=""&amp;SUBSTITUTE(F1526,"" "",""""))),"""")"),"")</f>
        <v/>
      </c>
      <c r="M1526" s="5" t="str">
        <f t="shared" si="6"/>
        <v/>
      </c>
      <c r="N1526" s="5" t="str">
        <f>IFERROR(__xludf.DUMMYFUNCTION("IF(AND(F1526&lt;&gt;"""",REGEXMATCH(SUBSTITUTE(F1526,"" "",""""),""^-?\d+(\.\d+)?,-?\d+(\.\d+)?$""),VALUE(REGEXEXTRACT(SUBSTITUTE(F1526,"" "",""""),""^-?\d+(\.\d+)?""))&gt;=-90,VALUE(REGEXEXTRACT(SUBSTITUTE(F1526,"" "",""""),""^-?\d+(\.\d+)?""))&lt;=90,VALUE(REGEXEXT"&amp;"RACT(SUBSTITUTE(F1526,"" "",""""),""-?\d+(\.\d+)?$""))&gt;=-180,VALUE(REGEXEXTRACT(SUBSTITUTE(F1526,"" "",""""),""-?\d+(\.\d+)?$""))&lt;=180),""OK"",""REVISAR"")"),"#N/A")</f>
        <v>#N/A</v>
      </c>
    </row>
    <row r="1527" ht="15.75" customHeight="1">
      <c r="A1527" s="5" t="str">
        <f t="shared" si="1"/>
        <v>AD507-1525</v>
      </c>
      <c r="C1527" s="5"/>
      <c r="F1527" s="5"/>
      <c r="G1527" s="5" t="str">
        <f t="shared" si="2"/>
        <v/>
      </c>
      <c r="H1527" s="5" t="str">
        <f t="shared" si="3"/>
        <v/>
      </c>
      <c r="I1527" s="5" t="str">
        <f t="shared" si="4"/>
        <v/>
      </c>
      <c r="J1527" s="5" t="str">
        <f t="shared" si="5"/>
        <v/>
      </c>
      <c r="K1527" s="5" t="str">
        <f>IFERROR(__xludf.DUMMYFUNCTION("IF(C1527&lt;&gt;"""",HYPERLINK(""https://wa.me/507""&amp;REGEXREPLACE(C1527,""[^0-9]"","""")&amp;""?text=""&amp;ENCODEURL(""Ya llegue. Codigo: ""&amp;A1527&amp;"". Ubicacion: ""&amp;""https://www.google.com/maps/search/?api=1&amp;query=""&amp;SUBSTITUTE(F1527,"" "","""")),""📲 Avisar al clien"&amp;"te""),"""")"),"")</f>
        <v/>
      </c>
      <c r="L1527" s="5" t="str">
        <f>IFERROR(__xludf.DUMMYFUNCTION("IF(C1527&lt;&gt;"""",""https://api.qrserver.com/v1/create-qr-code/?size=200x200&amp;data=""&amp;ENCODEURL(""https://wa.me/507""&amp;REGEXREPLACE(C1527,""[^0-9]"","""")&amp;""?text=""&amp;ENCODEURL(""Ya llegue. Codigo: ""&amp;A1527&amp;"". Ubicacion: ""&amp;""https://www.google.com/maps/search"&amp;"/?api=1&amp;query=""&amp;SUBSTITUTE(F1527,"" "",""""))),"""")"),"")</f>
        <v/>
      </c>
      <c r="M1527" s="5" t="str">
        <f t="shared" si="6"/>
        <v/>
      </c>
      <c r="N1527" s="5" t="str">
        <f>IFERROR(__xludf.DUMMYFUNCTION("IF(AND(F1527&lt;&gt;"""",REGEXMATCH(SUBSTITUTE(F1527,"" "",""""),""^-?\d+(\.\d+)?,-?\d+(\.\d+)?$""),VALUE(REGEXEXTRACT(SUBSTITUTE(F1527,"" "",""""),""^-?\d+(\.\d+)?""))&gt;=-90,VALUE(REGEXEXTRACT(SUBSTITUTE(F1527,"" "",""""),""^-?\d+(\.\d+)?""))&lt;=90,VALUE(REGEXEXT"&amp;"RACT(SUBSTITUTE(F1527,"" "",""""),""-?\d+(\.\d+)?$""))&gt;=-180,VALUE(REGEXEXTRACT(SUBSTITUTE(F1527,"" "",""""),""-?\d+(\.\d+)?$""))&lt;=180),""OK"",""REVISAR"")"),"#N/A")</f>
        <v>#N/A</v>
      </c>
    </row>
    <row r="1528" ht="15.75" customHeight="1">
      <c r="A1528" s="5" t="str">
        <f t="shared" si="1"/>
        <v>AD507-1526</v>
      </c>
      <c r="C1528" s="5"/>
      <c r="F1528" s="5"/>
      <c r="G1528" s="5" t="str">
        <f t="shared" si="2"/>
        <v/>
      </c>
      <c r="H1528" s="5" t="str">
        <f t="shared" si="3"/>
        <v/>
      </c>
      <c r="I1528" s="5" t="str">
        <f t="shared" si="4"/>
        <v/>
      </c>
      <c r="J1528" s="5" t="str">
        <f t="shared" si="5"/>
        <v/>
      </c>
      <c r="K1528" s="5" t="str">
        <f>IFERROR(__xludf.DUMMYFUNCTION("IF(C1528&lt;&gt;"""",HYPERLINK(""https://wa.me/507""&amp;REGEXREPLACE(C1528,""[^0-9]"","""")&amp;""?text=""&amp;ENCODEURL(""Ya llegue. Codigo: ""&amp;A1528&amp;"". Ubicacion: ""&amp;""https://www.google.com/maps/search/?api=1&amp;query=""&amp;SUBSTITUTE(F1528,"" "","""")),""📲 Avisar al clien"&amp;"te""),"""")"),"")</f>
        <v/>
      </c>
      <c r="L1528" s="5" t="str">
        <f>IFERROR(__xludf.DUMMYFUNCTION("IF(C1528&lt;&gt;"""",""https://api.qrserver.com/v1/create-qr-code/?size=200x200&amp;data=""&amp;ENCODEURL(""https://wa.me/507""&amp;REGEXREPLACE(C1528,""[^0-9]"","""")&amp;""?text=""&amp;ENCODEURL(""Ya llegue. Codigo: ""&amp;A1528&amp;"". Ubicacion: ""&amp;""https://www.google.com/maps/search"&amp;"/?api=1&amp;query=""&amp;SUBSTITUTE(F1528,"" "",""""))),"""")"),"")</f>
        <v/>
      </c>
      <c r="M1528" s="5" t="str">
        <f t="shared" si="6"/>
        <v/>
      </c>
      <c r="N1528" s="5" t="str">
        <f>IFERROR(__xludf.DUMMYFUNCTION("IF(AND(F1528&lt;&gt;"""",REGEXMATCH(SUBSTITUTE(F1528,"" "",""""),""^-?\d+(\.\d+)?,-?\d+(\.\d+)?$""),VALUE(REGEXEXTRACT(SUBSTITUTE(F1528,"" "",""""),""^-?\d+(\.\d+)?""))&gt;=-90,VALUE(REGEXEXTRACT(SUBSTITUTE(F1528,"" "",""""),""^-?\d+(\.\d+)?""))&lt;=90,VALUE(REGEXEXT"&amp;"RACT(SUBSTITUTE(F1528,"" "",""""),""-?\d+(\.\d+)?$""))&gt;=-180,VALUE(REGEXEXTRACT(SUBSTITUTE(F1528,"" "",""""),""-?\d+(\.\d+)?$""))&lt;=180),""OK"",""REVISAR"")"),"#N/A")</f>
        <v>#N/A</v>
      </c>
    </row>
    <row r="1529" ht="15.75" customHeight="1">
      <c r="A1529" s="5" t="str">
        <f t="shared" si="1"/>
        <v>AD507-1527</v>
      </c>
      <c r="C1529" s="5"/>
      <c r="F1529" s="5"/>
      <c r="G1529" s="5" t="str">
        <f t="shared" si="2"/>
        <v/>
      </c>
      <c r="H1529" s="5" t="str">
        <f t="shared" si="3"/>
        <v/>
      </c>
      <c r="I1529" s="5" t="str">
        <f t="shared" si="4"/>
        <v/>
      </c>
      <c r="J1529" s="5" t="str">
        <f t="shared" si="5"/>
        <v/>
      </c>
      <c r="K1529" s="5" t="str">
        <f>IFERROR(__xludf.DUMMYFUNCTION("IF(C1529&lt;&gt;"""",HYPERLINK(""https://wa.me/507""&amp;REGEXREPLACE(C1529,""[^0-9]"","""")&amp;""?text=""&amp;ENCODEURL(""Ya llegue. Codigo: ""&amp;A1529&amp;"". Ubicacion: ""&amp;""https://www.google.com/maps/search/?api=1&amp;query=""&amp;SUBSTITUTE(F1529,"" "","""")),""📲 Avisar al clien"&amp;"te""),"""")"),"")</f>
        <v/>
      </c>
      <c r="L1529" s="5" t="str">
        <f>IFERROR(__xludf.DUMMYFUNCTION("IF(C1529&lt;&gt;"""",""https://api.qrserver.com/v1/create-qr-code/?size=200x200&amp;data=""&amp;ENCODEURL(""https://wa.me/507""&amp;REGEXREPLACE(C1529,""[^0-9]"","""")&amp;""?text=""&amp;ENCODEURL(""Ya llegue. Codigo: ""&amp;A1529&amp;"". Ubicacion: ""&amp;""https://www.google.com/maps/search"&amp;"/?api=1&amp;query=""&amp;SUBSTITUTE(F1529,"" "",""""))),"""")"),"")</f>
        <v/>
      </c>
      <c r="M1529" s="5" t="str">
        <f t="shared" si="6"/>
        <v/>
      </c>
      <c r="N1529" s="5" t="str">
        <f>IFERROR(__xludf.DUMMYFUNCTION("IF(AND(F1529&lt;&gt;"""",REGEXMATCH(SUBSTITUTE(F1529,"" "",""""),""^-?\d+(\.\d+)?,-?\d+(\.\d+)?$""),VALUE(REGEXEXTRACT(SUBSTITUTE(F1529,"" "",""""),""^-?\d+(\.\d+)?""))&gt;=-90,VALUE(REGEXEXTRACT(SUBSTITUTE(F1529,"" "",""""),""^-?\d+(\.\d+)?""))&lt;=90,VALUE(REGEXEXT"&amp;"RACT(SUBSTITUTE(F1529,"" "",""""),""-?\d+(\.\d+)?$""))&gt;=-180,VALUE(REGEXEXTRACT(SUBSTITUTE(F1529,"" "",""""),""-?\d+(\.\d+)?$""))&lt;=180),""OK"",""REVISAR"")"),"#N/A")</f>
        <v>#N/A</v>
      </c>
    </row>
    <row r="1530" ht="15.75" customHeight="1">
      <c r="A1530" s="5" t="str">
        <f t="shared" si="1"/>
        <v>AD507-1528</v>
      </c>
      <c r="C1530" s="5"/>
      <c r="F1530" s="5"/>
      <c r="G1530" s="5" t="str">
        <f t="shared" si="2"/>
        <v/>
      </c>
      <c r="H1530" s="5" t="str">
        <f t="shared" si="3"/>
        <v/>
      </c>
      <c r="I1530" s="5" t="str">
        <f t="shared" si="4"/>
        <v/>
      </c>
      <c r="J1530" s="5" t="str">
        <f t="shared" si="5"/>
        <v/>
      </c>
      <c r="K1530" s="5" t="str">
        <f>IFERROR(__xludf.DUMMYFUNCTION("IF(C1530&lt;&gt;"""",HYPERLINK(""https://wa.me/507""&amp;REGEXREPLACE(C1530,""[^0-9]"","""")&amp;""?text=""&amp;ENCODEURL(""Ya llegue. Codigo: ""&amp;A1530&amp;"". Ubicacion: ""&amp;""https://www.google.com/maps/search/?api=1&amp;query=""&amp;SUBSTITUTE(F1530,"" "","""")),""📲 Avisar al clien"&amp;"te""),"""")"),"")</f>
        <v/>
      </c>
      <c r="L1530" s="5" t="str">
        <f>IFERROR(__xludf.DUMMYFUNCTION("IF(C1530&lt;&gt;"""",""https://api.qrserver.com/v1/create-qr-code/?size=200x200&amp;data=""&amp;ENCODEURL(""https://wa.me/507""&amp;REGEXREPLACE(C1530,""[^0-9]"","""")&amp;""?text=""&amp;ENCODEURL(""Ya llegue. Codigo: ""&amp;A1530&amp;"". Ubicacion: ""&amp;""https://www.google.com/maps/search"&amp;"/?api=1&amp;query=""&amp;SUBSTITUTE(F1530,"" "",""""))),"""")"),"")</f>
        <v/>
      </c>
      <c r="M1530" s="5" t="str">
        <f t="shared" si="6"/>
        <v/>
      </c>
      <c r="N1530" s="5" t="str">
        <f>IFERROR(__xludf.DUMMYFUNCTION("IF(AND(F1530&lt;&gt;"""",REGEXMATCH(SUBSTITUTE(F1530,"" "",""""),""^-?\d+(\.\d+)?,-?\d+(\.\d+)?$""),VALUE(REGEXEXTRACT(SUBSTITUTE(F1530,"" "",""""),""^-?\d+(\.\d+)?""))&gt;=-90,VALUE(REGEXEXTRACT(SUBSTITUTE(F1530,"" "",""""),""^-?\d+(\.\d+)?""))&lt;=90,VALUE(REGEXEXT"&amp;"RACT(SUBSTITUTE(F1530,"" "",""""),""-?\d+(\.\d+)?$""))&gt;=-180,VALUE(REGEXEXTRACT(SUBSTITUTE(F1530,"" "",""""),""-?\d+(\.\d+)?$""))&lt;=180),""OK"",""REVISAR"")"),"#N/A")</f>
        <v>#N/A</v>
      </c>
    </row>
    <row r="1531" ht="15.75" customHeight="1">
      <c r="A1531" s="5" t="str">
        <f t="shared" si="1"/>
        <v>AD507-1529</v>
      </c>
      <c r="C1531" s="5"/>
      <c r="F1531" s="5"/>
      <c r="G1531" s="5" t="str">
        <f t="shared" si="2"/>
        <v/>
      </c>
      <c r="H1531" s="5" t="str">
        <f t="shared" si="3"/>
        <v/>
      </c>
      <c r="I1531" s="5" t="str">
        <f t="shared" si="4"/>
        <v/>
      </c>
      <c r="J1531" s="5" t="str">
        <f t="shared" si="5"/>
        <v/>
      </c>
      <c r="K1531" s="5" t="str">
        <f>IFERROR(__xludf.DUMMYFUNCTION("IF(C1531&lt;&gt;"""",HYPERLINK(""https://wa.me/507""&amp;REGEXREPLACE(C1531,""[^0-9]"","""")&amp;""?text=""&amp;ENCODEURL(""Ya llegue. Codigo: ""&amp;A1531&amp;"". Ubicacion: ""&amp;""https://www.google.com/maps/search/?api=1&amp;query=""&amp;SUBSTITUTE(F1531,"" "","""")),""📲 Avisar al clien"&amp;"te""),"""")"),"")</f>
        <v/>
      </c>
      <c r="L1531" s="5" t="str">
        <f>IFERROR(__xludf.DUMMYFUNCTION("IF(C1531&lt;&gt;"""",""https://api.qrserver.com/v1/create-qr-code/?size=200x200&amp;data=""&amp;ENCODEURL(""https://wa.me/507""&amp;REGEXREPLACE(C1531,""[^0-9]"","""")&amp;""?text=""&amp;ENCODEURL(""Ya llegue. Codigo: ""&amp;A1531&amp;"". Ubicacion: ""&amp;""https://www.google.com/maps/search"&amp;"/?api=1&amp;query=""&amp;SUBSTITUTE(F1531,"" "",""""))),"""")"),"")</f>
        <v/>
      </c>
      <c r="M1531" s="5" t="str">
        <f t="shared" si="6"/>
        <v/>
      </c>
      <c r="N1531" s="5" t="str">
        <f>IFERROR(__xludf.DUMMYFUNCTION("IF(AND(F1531&lt;&gt;"""",REGEXMATCH(SUBSTITUTE(F1531,"" "",""""),""^-?\d+(\.\d+)?,-?\d+(\.\d+)?$""),VALUE(REGEXEXTRACT(SUBSTITUTE(F1531,"" "",""""),""^-?\d+(\.\d+)?""))&gt;=-90,VALUE(REGEXEXTRACT(SUBSTITUTE(F1531,"" "",""""),""^-?\d+(\.\d+)?""))&lt;=90,VALUE(REGEXEXT"&amp;"RACT(SUBSTITUTE(F1531,"" "",""""),""-?\d+(\.\d+)?$""))&gt;=-180,VALUE(REGEXEXTRACT(SUBSTITUTE(F1531,"" "",""""),""-?\d+(\.\d+)?$""))&lt;=180),""OK"",""REVISAR"")"),"#N/A")</f>
        <v>#N/A</v>
      </c>
    </row>
    <row r="1532" ht="15.75" customHeight="1">
      <c r="A1532" s="5" t="str">
        <f t="shared" si="1"/>
        <v>AD507-1530</v>
      </c>
      <c r="C1532" s="5"/>
      <c r="F1532" s="5"/>
      <c r="G1532" s="5" t="str">
        <f t="shared" si="2"/>
        <v/>
      </c>
      <c r="H1532" s="5" t="str">
        <f t="shared" si="3"/>
        <v/>
      </c>
      <c r="I1532" s="5" t="str">
        <f t="shared" si="4"/>
        <v/>
      </c>
      <c r="J1532" s="5" t="str">
        <f t="shared" si="5"/>
        <v/>
      </c>
      <c r="K1532" s="5" t="str">
        <f>IFERROR(__xludf.DUMMYFUNCTION("IF(C1532&lt;&gt;"""",HYPERLINK(""https://wa.me/507""&amp;REGEXREPLACE(C1532,""[^0-9]"","""")&amp;""?text=""&amp;ENCODEURL(""Ya llegue. Codigo: ""&amp;A1532&amp;"". Ubicacion: ""&amp;""https://www.google.com/maps/search/?api=1&amp;query=""&amp;SUBSTITUTE(F1532,"" "","""")),""📲 Avisar al clien"&amp;"te""),"""")"),"")</f>
        <v/>
      </c>
      <c r="L1532" s="5" t="str">
        <f>IFERROR(__xludf.DUMMYFUNCTION("IF(C1532&lt;&gt;"""",""https://api.qrserver.com/v1/create-qr-code/?size=200x200&amp;data=""&amp;ENCODEURL(""https://wa.me/507""&amp;REGEXREPLACE(C1532,""[^0-9]"","""")&amp;""?text=""&amp;ENCODEURL(""Ya llegue. Codigo: ""&amp;A1532&amp;"". Ubicacion: ""&amp;""https://www.google.com/maps/search"&amp;"/?api=1&amp;query=""&amp;SUBSTITUTE(F1532,"" "",""""))),"""")"),"")</f>
        <v/>
      </c>
      <c r="M1532" s="5" t="str">
        <f t="shared" si="6"/>
        <v/>
      </c>
      <c r="N1532" s="5" t="str">
        <f>IFERROR(__xludf.DUMMYFUNCTION("IF(AND(F1532&lt;&gt;"""",REGEXMATCH(SUBSTITUTE(F1532,"" "",""""),""^-?\d+(\.\d+)?,-?\d+(\.\d+)?$""),VALUE(REGEXEXTRACT(SUBSTITUTE(F1532,"" "",""""),""^-?\d+(\.\d+)?""))&gt;=-90,VALUE(REGEXEXTRACT(SUBSTITUTE(F1532,"" "",""""),""^-?\d+(\.\d+)?""))&lt;=90,VALUE(REGEXEXT"&amp;"RACT(SUBSTITUTE(F1532,"" "",""""),""-?\d+(\.\d+)?$""))&gt;=-180,VALUE(REGEXEXTRACT(SUBSTITUTE(F1532,"" "",""""),""-?\d+(\.\d+)?$""))&lt;=180),""OK"",""REVISAR"")"),"#N/A")</f>
        <v>#N/A</v>
      </c>
    </row>
    <row r="1533" ht="15.75" customHeight="1">
      <c r="A1533" s="5" t="str">
        <f t="shared" si="1"/>
        <v>AD507-1531</v>
      </c>
      <c r="C1533" s="5"/>
      <c r="F1533" s="5"/>
      <c r="G1533" s="5" t="str">
        <f t="shared" si="2"/>
        <v/>
      </c>
      <c r="H1533" s="5" t="str">
        <f t="shared" si="3"/>
        <v/>
      </c>
      <c r="I1533" s="5" t="str">
        <f t="shared" si="4"/>
        <v/>
      </c>
      <c r="J1533" s="5" t="str">
        <f t="shared" si="5"/>
        <v/>
      </c>
      <c r="K1533" s="5" t="str">
        <f>IFERROR(__xludf.DUMMYFUNCTION("IF(C1533&lt;&gt;"""",HYPERLINK(""https://wa.me/507""&amp;REGEXREPLACE(C1533,""[^0-9]"","""")&amp;""?text=""&amp;ENCODEURL(""Ya llegue. Codigo: ""&amp;A1533&amp;"". Ubicacion: ""&amp;""https://www.google.com/maps/search/?api=1&amp;query=""&amp;SUBSTITUTE(F1533,"" "","""")),""📲 Avisar al clien"&amp;"te""),"""")"),"")</f>
        <v/>
      </c>
      <c r="L1533" s="5" t="str">
        <f>IFERROR(__xludf.DUMMYFUNCTION("IF(C1533&lt;&gt;"""",""https://api.qrserver.com/v1/create-qr-code/?size=200x200&amp;data=""&amp;ENCODEURL(""https://wa.me/507""&amp;REGEXREPLACE(C1533,""[^0-9]"","""")&amp;""?text=""&amp;ENCODEURL(""Ya llegue. Codigo: ""&amp;A1533&amp;"". Ubicacion: ""&amp;""https://www.google.com/maps/search"&amp;"/?api=1&amp;query=""&amp;SUBSTITUTE(F1533,"" "",""""))),"""")"),"")</f>
        <v/>
      </c>
      <c r="M1533" s="5" t="str">
        <f t="shared" si="6"/>
        <v/>
      </c>
      <c r="N1533" s="5" t="str">
        <f>IFERROR(__xludf.DUMMYFUNCTION("IF(AND(F1533&lt;&gt;"""",REGEXMATCH(SUBSTITUTE(F1533,"" "",""""),""^-?\d+(\.\d+)?,-?\d+(\.\d+)?$""),VALUE(REGEXEXTRACT(SUBSTITUTE(F1533,"" "",""""),""^-?\d+(\.\d+)?""))&gt;=-90,VALUE(REGEXEXTRACT(SUBSTITUTE(F1533,"" "",""""),""^-?\d+(\.\d+)?""))&lt;=90,VALUE(REGEXEXT"&amp;"RACT(SUBSTITUTE(F1533,"" "",""""),""-?\d+(\.\d+)?$""))&gt;=-180,VALUE(REGEXEXTRACT(SUBSTITUTE(F1533,"" "",""""),""-?\d+(\.\d+)?$""))&lt;=180),""OK"",""REVISAR"")"),"#N/A")</f>
        <v>#N/A</v>
      </c>
    </row>
    <row r="1534" ht="15.75" customHeight="1">
      <c r="A1534" s="5" t="str">
        <f t="shared" si="1"/>
        <v>AD507-1532</v>
      </c>
      <c r="C1534" s="5"/>
      <c r="F1534" s="5"/>
      <c r="G1534" s="5" t="str">
        <f t="shared" si="2"/>
        <v/>
      </c>
      <c r="H1534" s="5" t="str">
        <f t="shared" si="3"/>
        <v/>
      </c>
      <c r="I1534" s="5" t="str">
        <f t="shared" si="4"/>
        <v/>
      </c>
      <c r="J1534" s="5" t="str">
        <f t="shared" si="5"/>
        <v/>
      </c>
      <c r="K1534" s="5" t="str">
        <f>IFERROR(__xludf.DUMMYFUNCTION("IF(C1534&lt;&gt;"""",HYPERLINK(""https://wa.me/507""&amp;REGEXREPLACE(C1534,""[^0-9]"","""")&amp;""?text=""&amp;ENCODEURL(""Ya llegue. Codigo: ""&amp;A1534&amp;"". Ubicacion: ""&amp;""https://www.google.com/maps/search/?api=1&amp;query=""&amp;SUBSTITUTE(F1534,"" "","""")),""📲 Avisar al clien"&amp;"te""),"""")"),"")</f>
        <v/>
      </c>
      <c r="L1534" s="5" t="str">
        <f>IFERROR(__xludf.DUMMYFUNCTION("IF(C1534&lt;&gt;"""",""https://api.qrserver.com/v1/create-qr-code/?size=200x200&amp;data=""&amp;ENCODEURL(""https://wa.me/507""&amp;REGEXREPLACE(C1534,""[^0-9]"","""")&amp;""?text=""&amp;ENCODEURL(""Ya llegue. Codigo: ""&amp;A1534&amp;"". Ubicacion: ""&amp;""https://www.google.com/maps/search"&amp;"/?api=1&amp;query=""&amp;SUBSTITUTE(F1534,"" "",""""))),"""")"),"")</f>
        <v/>
      </c>
      <c r="M1534" s="5" t="str">
        <f t="shared" si="6"/>
        <v/>
      </c>
      <c r="N1534" s="5" t="str">
        <f>IFERROR(__xludf.DUMMYFUNCTION("IF(AND(F1534&lt;&gt;"""",REGEXMATCH(SUBSTITUTE(F1534,"" "",""""),""^-?\d+(\.\d+)?,-?\d+(\.\d+)?$""),VALUE(REGEXEXTRACT(SUBSTITUTE(F1534,"" "",""""),""^-?\d+(\.\d+)?""))&gt;=-90,VALUE(REGEXEXTRACT(SUBSTITUTE(F1534,"" "",""""),""^-?\d+(\.\d+)?""))&lt;=90,VALUE(REGEXEXT"&amp;"RACT(SUBSTITUTE(F1534,"" "",""""),""-?\d+(\.\d+)?$""))&gt;=-180,VALUE(REGEXEXTRACT(SUBSTITUTE(F1534,"" "",""""),""-?\d+(\.\d+)?$""))&lt;=180),""OK"",""REVISAR"")"),"#N/A")</f>
        <v>#N/A</v>
      </c>
    </row>
    <row r="1535" ht="15.75" customHeight="1">
      <c r="A1535" s="5" t="str">
        <f t="shared" si="1"/>
        <v>AD507-1533</v>
      </c>
      <c r="C1535" s="5"/>
      <c r="F1535" s="5"/>
      <c r="G1535" s="5" t="str">
        <f t="shared" si="2"/>
        <v/>
      </c>
      <c r="H1535" s="5" t="str">
        <f t="shared" si="3"/>
        <v/>
      </c>
      <c r="I1535" s="5" t="str">
        <f t="shared" si="4"/>
        <v/>
      </c>
      <c r="J1535" s="5" t="str">
        <f t="shared" si="5"/>
        <v/>
      </c>
      <c r="K1535" s="5" t="str">
        <f>IFERROR(__xludf.DUMMYFUNCTION("IF(C1535&lt;&gt;"""",HYPERLINK(""https://wa.me/507""&amp;REGEXREPLACE(C1535,""[^0-9]"","""")&amp;""?text=""&amp;ENCODEURL(""Ya llegue. Codigo: ""&amp;A1535&amp;"". Ubicacion: ""&amp;""https://www.google.com/maps/search/?api=1&amp;query=""&amp;SUBSTITUTE(F1535,"" "","""")),""📲 Avisar al clien"&amp;"te""),"""")"),"")</f>
        <v/>
      </c>
      <c r="L1535" s="5" t="str">
        <f>IFERROR(__xludf.DUMMYFUNCTION("IF(C1535&lt;&gt;"""",""https://api.qrserver.com/v1/create-qr-code/?size=200x200&amp;data=""&amp;ENCODEURL(""https://wa.me/507""&amp;REGEXREPLACE(C1535,""[^0-9]"","""")&amp;""?text=""&amp;ENCODEURL(""Ya llegue. Codigo: ""&amp;A1535&amp;"". Ubicacion: ""&amp;""https://www.google.com/maps/search"&amp;"/?api=1&amp;query=""&amp;SUBSTITUTE(F1535,"" "",""""))),"""")"),"")</f>
        <v/>
      </c>
      <c r="M1535" s="5" t="str">
        <f t="shared" si="6"/>
        <v/>
      </c>
      <c r="N1535" s="5" t="str">
        <f>IFERROR(__xludf.DUMMYFUNCTION("IF(AND(F1535&lt;&gt;"""",REGEXMATCH(SUBSTITUTE(F1535,"" "",""""),""^-?\d+(\.\d+)?,-?\d+(\.\d+)?$""),VALUE(REGEXEXTRACT(SUBSTITUTE(F1535,"" "",""""),""^-?\d+(\.\d+)?""))&gt;=-90,VALUE(REGEXEXTRACT(SUBSTITUTE(F1535,"" "",""""),""^-?\d+(\.\d+)?""))&lt;=90,VALUE(REGEXEXT"&amp;"RACT(SUBSTITUTE(F1535,"" "",""""),""-?\d+(\.\d+)?$""))&gt;=-180,VALUE(REGEXEXTRACT(SUBSTITUTE(F1535,"" "",""""),""-?\d+(\.\d+)?$""))&lt;=180),""OK"",""REVISAR"")"),"#N/A")</f>
        <v>#N/A</v>
      </c>
    </row>
    <row r="1536" ht="15.75" customHeight="1">
      <c r="A1536" s="5" t="str">
        <f t="shared" si="1"/>
        <v>AD507-1534</v>
      </c>
      <c r="C1536" s="5"/>
      <c r="F1536" s="5"/>
      <c r="G1536" s="5" t="str">
        <f t="shared" si="2"/>
        <v/>
      </c>
      <c r="H1536" s="5" t="str">
        <f t="shared" si="3"/>
        <v/>
      </c>
      <c r="I1536" s="5" t="str">
        <f t="shared" si="4"/>
        <v/>
      </c>
      <c r="J1536" s="5" t="str">
        <f t="shared" si="5"/>
        <v/>
      </c>
      <c r="K1536" s="5" t="str">
        <f>IFERROR(__xludf.DUMMYFUNCTION("IF(C1536&lt;&gt;"""",HYPERLINK(""https://wa.me/507""&amp;REGEXREPLACE(C1536,""[^0-9]"","""")&amp;""?text=""&amp;ENCODEURL(""Ya llegue. Codigo: ""&amp;A1536&amp;"". Ubicacion: ""&amp;""https://www.google.com/maps/search/?api=1&amp;query=""&amp;SUBSTITUTE(F1536,"" "","""")),""📲 Avisar al clien"&amp;"te""),"""")"),"")</f>
        <v/>
      </c>
      <c r="L1536" s="5" t="str">
        <f>IFERROR(__xludf.DUMMYFUNCTION("IF(C1536&lt;&gt;"""",""https://api.qrserver.com/v1/create-qr-code/?size=200x200&amp;data=""&amp;ENCODEURL(""https://wa.me/507""&amp;REGEXREPLACE(C1536,""[^0-9]"","""")&amp;""?text=""&amp;ENCODEURL(""Ya llegue. Codigo: ""&amp;A1536&amp;"". Ubicacion: ""&amp;""https://www.google.com/maps/search"&amp;"/?api=1&amp;query=""&amp;SUBSTITUTE(F1536,"" "",""""))),"""")"),"")</f>
        <v/>
      </c>
      <c r="M1536" s="5" t="str">
        <f t="shared" si="6"/>
        <v/>
      </c>
      <c r="N1536" s="5" t="str">
        <f>IFERROR(__xludf.DUMMYFUNCTION("IF(AND(F1536&lt;&gt;"""",REGEXMATCH(SUBSTITUTE(F1536,"" "",""""),""^-?\d+(\.\d+)?,-?\d+(\.\d+)?$""),VALUE(REGEXEXTRACT(SUBSTITUTE(F1536,"" "",""""),""^-?\d+(\.\d+)?""))&gt;=-90,VALUE(REGEXEXTRACT(SUBSTITUTE(F1536,"" "",""""),""^-?\d+(\.\d+)?""))&lt;=90,VALUE(REGEXEXT"&amp;"RACT(SUBSTITUTE(F1536,"" "",""""),""-?\d+(\.\d+)?$""))&gt;=-180,VALUE(REGEXEXTRACT(SUBSTITUTE(F1536,"" "",""""),""-?\d+(\.\d+)?$""))&lt;=180),""OK"",""REVISAR"")"),"#N/A")</f>
        <v>#N/A</v>
      </c>
    </row>
    <row r="1537" ht="15.75" customHeight="1">
      <c r="A1537" s="5" t="str">
        <f t="shared" si="1"/>
        <v>AD507-1535</v>
      </c>
      <c r="C1537" s="5"/>
      <c r="F1537" s="5"/>
      <c r="G1537" s="5" t="str">
        <f t="shared" si="2"/>
        <v/>
      </c>
      <c r="H1537" s="5" t="str">
        <f t="shared" si="3"/>
        <v/>
      </c>
      <c r="I1537" s="5" t="str">
        <f t="shared" si="4"/>
        <v/>
      </c>
      <c r="J1537" s="5" t="str">
        <f t="shared" si="5"/>
        <v/>
      </c>
      <c r="K1537" s="5" t="str">
        <f>IFERROR(__xludf.DUMMYFUNCTION("IF(C1537&lt;&gt;"""",HYPERLINK(""https://wa.me/507""&amp;REGEXREPLACE(C1537,""[^0-9]"","""")&amp;""?text=""&amp;ENCODEURL(""Ya llegue. Codigo: ""&amp;A1537&amp;"". Ubicacion: ""&amp;""https://www.google.com/maps/search/?api=1&amp;query=""&amp;SUBSTITUTE(F1537,"" "","""")),""📲 Avisar al clien"&amp;"te""),"""")"),"")</f>
        <v/>
      </c>
      <c r="L1537" s="5" t="str">
        <f>IFERROR(__xludf.DUMMYFUNCTION("IF(C1537&lt;&gt;"""",""https://api.qrserver.com/v1/create-qr-code/?size=200x200&amp;data=""&amp;ENCODEURL(""https://wa.me/507""&amp;REGEXREPLACE(C1537,""[^0-9]"","""")&amp;""?text=""&amp;ENCODEURL(""Ya llegue. Codigo: ""&amp;A1537&amp;"". Ubicacion: ""&amp;""https://www.google.com/maps/search"&amp;"/?api=1&amp;query=""&amp;SUBSTITUTE(F1537,"" "",""""))),"""")"),"")</f>
        <v/>
      </c>
      <c r="M1537" s="5" t="str">
        <f t="shared" si="6"/>
        <v/>
      </c>
      <c r="N1537" s="5" t="str">
        <f>IFERROR(__xludf.DUMMYFUNCTION("IF(AND(F1537&lt;&gt;"""",REGEXMATCH(SUBSTITUTE(F1537,"" "",""""),""^-?\d+(\.\d+)?,-?\d+(\.\d+)?$""),VALUE(REGEXEXTRACT(SUBSTITUTE(F1537,"" "",""""),""^-?\d+(\.\d+)?""))&gt;=-90,VALUE(REGEXEXTRACT(SUBSTITUTE(F1537,"" "",""""),""^-?\d+(\.\d+)?""))&lt;=90,VALUE(REGEXEXT"&amp;"RACT(SUBSTITUTE(F1537,"" "",""""),""-?\d+(\.\d+)?$""))&gt;=-180,VALUE(REGEXEXTRACT(SUBSTITUTE(F1537,"" "",""""),""-?\d+(\.\d+)?$""))&lt;=180),""OK"",""REVISAR"")"),"#N/A")</f>
        <v>#N/A</v>
      </c>
    </row>
    <row r="1538" ht="15.75" customHeight="1">
      <c r="A1538" s="5" t="str">
        <f t="shared" si="1"/>
        <v>AD507-1536</v>
      </c>
      <c r="C1538" s="5"/>
      <c r="F1538" s="5"/>
      <c r="G1538" s="5" t="str">
        <f t="shared" si="2"/>
        <v/>
      </c>
      <c r="H1538" s="5" t="str">
        <f t="shared" si="3"/>
        <v/>
      </c>
      <c r="I1538" s="5" t="str">
        <f t="shared" si="4"/>
        <v/>
      </c>
      <c r="J1538" s="5" t="str">
        <f t="shared" si="5"/>
        <v/>
      </c>
      <c r="K1538" s="5" t="str">
        <f>IFERROR(__xludf.DUMMYFUNCTION("IF(C1538&lt;&gt;"""",HYPERLINK(""https://wa.me/507""&amp;REGEXREPLACE(C1538,""[^0-9]"","""")&amp;""?text=""&amp;ENCODEURL(""Ya llegue. Codigo: ""&amp;A1538&amp;"". Ubicacion: ""&amp;""https://www.google.com/maps/search/?api=1&amp;query=""&amp;SUBSTITUTE(F1538,"" "","""")),""📲 Avisar al clien"&amp;"te""),"""")"),"")</f>
        <v/>
      </c>
      <c r="L1538" s="5" t="str">
        <f>IFERROR(__xludf.DUMMYFUNCTION("IF(C1538&lt;&gt;"""",""https://api.qrserver.com/v1/create-qr-code/?size=200x200&amp;data=""&amp;ENCODEURL(""https://wa.me/507""&amp;REGEXREPLACE(C1538,""[^0-9]"","""")&amp;""?text=""&amp;ENCODEURL(""Ya llegue. Codigo: ""&amp;A1538&amp;"". Ubicacion: ""&amp;""https://www.google.com/maps/search"&amp;"/?api=1&amp;query=""&amp;SUBSTITUTE(F1538,"" "",""""))),"""")"),"")</f>
        <v/>
      </c>
      <c r="M1538" s="5" t="str">
        <f t="shared" si="6"/>
        <v/>
      </c>
      <c r="N1538" s="5" t="str">
        <f>IFERROR(__xludf.DUMMYFUNCTION("IF(AND(F1538&lt;&gt;"""",REGEXMATCH(SUBSTITUTE(F1538,"" "",""""),""^-?\d+(\.\d+)?,-?\d+(\.\d+)?$""),VALUE(REGEXEXTRACT(SUBSTITUTE(F1538,"" "",""""),""^-?\d+(\.\d+)?""))&gt;=-90,VALUE(REGEXEXTRACT(SUBSTITUTE(F1538,"" "",""""),""^-?\d+(\.\d+)?""))&lt;=90,VALUE(REGEXEXT"&amp;"RACT(SUBSTITUTE(F1538,"" "",""""),""-?\d+(\.\d+)?$""))&gt;=-180,VALUE(REGEXEXTRACT(SUBSTITUTE(F1538,"" "",""""),""-?\d+(\.\d+)?$""))&lt;=180),""OK"",""REVISAR"")"),"#N/A")</f>
        <v>#N/A</v>
      </c>
    </row>
    <row r="1539" ht="15.75" customHeight="1">
      <c r="A1539" s="5" t="str">
        <f t="shared" si="1"/>
        <v>AD507-1537</v>
      </c>
      <c r="C1539" s="5"/>
      <c r="F1539" s="5"/>
      <c r="G1539" s="5" t="str">
        <f t="shared" si="2"/>
        <v/>
      </c>
      <c r="H1539" s="5" t="str">
        <f t="shared" si="3"/>
        <v/>
      </c>
      <c r="I1539" s="5" t="str">
        <f t="shared" si="4"/>
        <v/>
      </c>
      <c r="J1539" s="5" t="str">
        <f t="shared" si="5"/>
        <v/>
      </c>
      <c r="K1539" s="5" t="str">
        <f>IFERROR(__xludf.DUMMYFUNCTION("IF(C1539&lt;&gt;"""",HYPERLINK(""https://wa.me/507""&amp;REGEXREPLACE(C1539,""[^0-9]"","""")&amp;""?text=""&amp;ENCODEURL(""Ya llegue. Codigo: ""&amp;A1539&amp;"". Ubicacion: ""&amp;""https://www.google.com/maps/search/?api=1&amp;query=""&amp;SUBSTITUTE(F1539,"" "","""")),""📲 Avisar al clien"&amp;"te""),"""")"),"")</f>
        <v/>
      </c>
      <c r="L1539" s="5" t="str">
        <f>IFERROR(__xludf.DUMMYFUNCTION("IF(C1539&lt;&gt;"""",""https://api.qrserver.com/v1/create-qr-code/?size=200x200&amp;data=""&amp;ENCODEURL(""https://wa.me/507""&amp;REGEXREPLACE(C1539,""[^0-9]"","""")&amp;""?text=""&amp;ENCODEURL(""Ya llegue. Codigo: ""&amp;A1539&amp;"". Ubicacion: ""&amp;""https://www.google.com/maps/search"&amp;"/?api=1&amp;query=""&amp;SUBSTITUTE(F1539,"" "",""""))),"""")"),"")</f>
        <v/>
      </c>
      <c r="M1539" s="5" t="str">
        <f t="shared" si="6"/>
        <v/>
      </c>
      <c r="N1539" s="5" t="str">
        <f>IFERROR(__xludf.DUMMYFUNCTION("IF(AND(F1539&lt;&gt;"""",REGEXMATCH(SUBSTITUTE(F1539,"" "",""""),""^-?\d+(\.\d+)?,-?\d+(\.\d+)?$""),VALUE(REGEXEXTRACT(SUBSTITUTE(F1539,"" "",""""),""^-?\d+(\.\d+)?""))&gt;=-90,VALUE(REGEXEXTRACT(SUBSTITUTE(F1539,"" "",""""),""^-?\d+(\.\d+)?""))&lt;=90,VALUE(REGEXEXT"&amp;"RACT(SUBSTITUTE(F1539,"" "",""""),""-?\d+(\.\d+)?$""))&gt;=-180,VALUE(REGEXEXTRACT(SUBSTITUTE(F1539,"" "",""""),""-?\d+(\.\d+)?$""))&lt;=180),""OK"",""REVISAR"")"),"#N/A")</f>
        <v>#N/A</v>
      </c>
    </row>
    <row r="1540" ht="15.75" customHeight="1">
      <c r="A1540" s="5" t="str">
        <f t="shared" si="1"/>
        <v>AD507-1538</v>
      </c>
      <c r="C1540" s="5"/>
      <c r="F1540" s="5"/>
      <c r="G1540" s="5" t="str">
        <f t="shared" si="2"/>
        <v/>
      </c>
      <c r="H1540" s="5" t="str">
        <f t="shared" si="3"/>
        <v/>
      </c>
      <c r="I1540" s="5" t="str">
        <f t="shared" si="4"/>
        <v/>
      </c>
      <c r="J1540" s="5" t="str">
        <f t="shared" si="5"/>
        <v/>
      </c>
      <c r="K1540" s="5" t="str">
        <f>IFERROR(__xludf.DUMMYFUNCTION("IF(C1540&lt;&gt;"""",HYPERLINK(""https://wa.me/507""&amp;REGEXREPLACE(C1540,""[^0-9]"","""")&amp;""?text=""&amp;ENCODEURL(""Ya llegue. Codigo: ""&amp;A1540&amp;"". Ubicacion: ""&amp;""https://www.google.com/maps/search/?api=1&amp;query=""&amp;SUBSTITUTE(F1540,"" "","""")),""📲 Avisar al clien"&amp;"te""),"""")"),"")</f>
        <v/>
      </c>
      <c r="L1540" s="5" t="str">
        <f>IFERROR(__xludf.DUMMYFUNCTION("IF(C1540&lt;&gt;"""",""https://api.qrserver.com/v1/create-qr-code/?size=200x200&amp;data=""&amp;ENCODEURL(""https://wa.me/507""&amp;REGEXREPLACE(C1540,""[^0-9]"","""")&amp;""?text=""&amp;ENCODEURL(""Ya llegue. Codigo: ""&amp;A1540&amp;"". Ubicacion: ""&amp;""https://www.google.com/maps/search"&amp;"/?api=1&amp;query=""&amp;SUBSTITUTE(F1540,"" "",""""))),"""")"),"")</f>
        <v/>
      </c>
      <c r="M1540" s="5" t="str">
        <f t="shared" si="6"/>
        <v/>
      </c>
      <c r="N1540" s="5" t="str">
        <f>IFERROR(__xludf.DUMMYFUNCTION("IF(AND(F1540&lt;&gt;"""",REGEXMATCH(SUBSTITUTE(F1540,"" "",""""),""^-?\d+(\.\d+)?,-?\d+(\.\d+)?$""),VALUE(REGEXEXTRACT(SUBSTITUTE(F1540,"" "",""""),""^-?\d+(\.\d+)?""))&gt;=-90,VALUE(REGEXEXTRACT(SUBSTITUTE(F1540,"" "",""""),""^-?\d+(\.\d+)?""))&lt;=90,VALUE(REGEXEXT"&amp;"RACT(SUBSTITUTE(F1540,"" "",""""),""-?\d+(\.\d+)?$""))&gt;=-180,VALUE(REGEXEXTRACT(SUBSTITUTE(F1540,"" "",""""),""-?\d+(\.\d+)?$""))&lt;=180),""OK"",""REVISAR"")"),"#N/A")</f>
        <v>#N/A</v>
      </c>
    </row>
    <row r="1541" ht="15.75" customHeight="1">
      <c r="A1541" s="5" t="str">
        <f t="shared" si="1"/>
        <v>AD507-1539</v>
      </c>
      <c r="C1541" s="5"/>
      <c r="F1541" s="5"/>
      <c r="G1541" s="5" t="str">
        <f t="shared" si="2"/>
        <v/>
      </c>
      <c r="H1541" s="5" t="str">
        <f t="shared" si="3"/>
        <v/>
      </c>
      <c r="I1541" s="5" t="str">
        <f t="shared" si="4"/>
        <v/>
      </c>
      <c r="J1541" s="5" t="str">
        <f t="shared" si="5"/>
        <v/>
      </c>
      <c r="K1541" s="5" t="str">
        <f>IFERROR(__xludf.DUMMYFUNCTION("IF(C1541&lt;&gt;"""",HYPERLINK(""https://wa.me/507""&amp;REGEXREPLACE(C1541,""[^0-9]"","""")&amp;""?text=""&amp;ENCODEURL(""Ya llegue. Codigo: ""&amp;A1541&amp;"". Ubicacion: ""&amp;""https://www.google.com/maps/search/?api=1&amp;query=""&amp;SUBSTITUTE(F1541,"" "","""")),""📲 Avisar al clien"&amp;"te""),"""")"),"")</f>
        <v/>
      </c>
      <c r="L1541" s="5" t="str">
        <f>IFERROR(__xludf.DUMMYFUNCTION("IF(C1541&lt;&gt;"""",""https://api.qrserver.com/v1/create-qr-code/?size=200x200&amp;data=""&amp;ENCODEURL(""https://wa.me/507""&amp;REGEXREPLACE(C1541,""[^0-9]"","""")&amp;""?text=""&amp;ENCODEURL(""Ya llegue. Codigo: ""&amp;A1541&amp;"". Ubicacion: ""&amp;""https://www.google.com/maps/search"&amp;"/?api=1&amp;query=""&amp;SUBSTITUTE(F1541,"" "",""""))),"""")"),"")</f>
        <v/>
      </c>
      <c r="M1541" s="5" t="str">
        <f t="shared" si="6"/>
        <v/>
      </c>
      <c r="N1541" s="5" t="str">
        <f>IFERROR(__xludf.DUMMYFUNCTION("IF(AND(F1541&lt;&gt;"""",REGEXMATCH(SUBSTITUTE(F1541,"" "",""""),""^-?\d+(\.\d+)?,-?\d+(\.\d+)?$""),VALUE(REGEXEXTRACT(SUBSTITUTE(F1541,"" "",""""),""^-?\d+(\.\d+)?""))&gt;=-90,VALUE(REGEXEXTRACT(SUBSTITUTE(F1541,"" "",""""),""^-?\d+(\.\d+)?""))&lt;=90,VALUE(REGEXEXT"&amp;"RACT(SUBSTITUTE(F1541,"" "",""""),""-?\d+(\.\d+)?$""))&gt;=-180,VALUE(REGEXEXTRACT(SUBSTITUTE(F1541,"" "",""""),""-?\d+(\.\d+)?$""))&lt;=180),""OK"",""REVISAR"")"),"#N/A")</f>
        <v>#N/A</v>
      </c>
    </row>
    <row r="1542" ht="15.75" customHeight="1">
      <c r="A1542" s="5" t="str">
        <f t="shared" si="1"/>
        <v>AD507-1540</v>
      </c>
      <c r="C1542" s="5"/>
      <c r="F1542" s="5"/>
      <c r="G1542" s="5" t="str">
        <f t="shared" si="2"/>
        <v/>
      </c>
      <c r="H1542" s="5" t="str">
        <f t="shared" si="3"/>
        <v/>
      </c>
      <c r="I1542" s="5" t="str">
        <f t="shared" si="4"/>
        <v/>
      </c>
      <c r="J1542" s="5" t="str">
        <f t="shared" si="5"/>
        <v/>
      </c>
      <c r="K1542" s="5" t="str">
        <f>IFERROR(__xludf.DUMMYFUNCTION("IF(C1542&lt;&gt;"""",HYPERLINK(""https://wa.me/507""&amp;REGEXREPLACE(C1542,""[^0-9]"","""")&amp;""?text=""&amp;ENCODEURL(""Ya llegue. Codigo: ""&amp;A1542&amp;"". Ubicacion: ""&amp;""https://www.google.com/maps/search/?api=1&amp;query=""&amp;SUBSTITUTE(F1542,"" "","""")),""📲 Avisar al clien"&amp;"te""),"""")"),"")</f>
        <v/>
      </c>
      <c r="L1542" s="5" t="str">
        <f>IFERROR(__xludf.DUMMYFUNCTION("IF(C1542&lt;&gt;"""",""https://api.qrserver.com/v1/create-qr-code/?size=200x200&amp;data=""&amp;ENCODEURL(""https://wa.me/507""&amp;REGEXREPLACE(C1542,""[^0-9]"","""")&amp;""?text=""&amp;ENCODEURL(""Ya llegue. Codigo: ""&amp;A1542&amp;"". Ubicacion: ""&amp;""https://www.google.com/maps/search"&amp;"/?api=1&amp;query=""&amp;SUBSTITUTE(F1542,"" "",""""))),"""")"),"")</f>
        <v/>
      </c>
      <c r="M1542" s="5" t="str">
        <f t="shared" si="6"/>
        <v/>
      </c>
      <c r="N1542" s="5" t="str">
        <f>IFERROR(__xludf.DUMMYFUNCTION("IF(AND(F1542&lt;&gt;"""",REGEXMATCH(SUBSTITUTE(F1542,"" "",""""),""^-?\d+(\.\d+)?,-?\d+(\.\d+)?$""),VALUE(REGEXEXTRACT(SUBSTITUTE(F1542,"" "",""""),""^-?\d+(\.\d+)?""))&gt;=-90,VALUE(REGEXEXTRACT(SUBSTITUTE(F1542,"" "",""""),""^-?\d+(\.\d+)?""))&lt;=90,VALUE(REGEXEXT"&amp;"RACT(SUBSTITUTE(F1542,"" "",""""),""-?\d+(\.\d+)?$""))&gt;=-180,VALUE(REGEXEXTRACT(SUBSTITUTE(F1542,"" "",""""),""-?\d+(\.\d+)?$""))&lt;=180),""OK"",""REVISAR"")"),"#N/A")</f>
        <v>#N/A</v>
      </c>
    </row>
    <row r="1543" ht="15.75" customHeight="1">
      <c r="A1543" s="5" t="str">
        <f t="shared" si="1"/>
        <v>AD507-1541</v>
      </c>
      <c r="C1543" s="5"/>
      <c r="F1543" s="5"/>
      <c r="G1543" s="5" t="str">
        <f t="shared" si="2"/>
        <v/>
      </c>
      <c r="H1543" s="5" t="str">
        <f t="shared" si="3"/>
        <v/>
      </c>
      <c r="I1543" s="5" t="str">
        <f t="shared" si="4"/>
        <v/>
      </c>
      <c r="J1543" s="5" t="str">
        <f t="shared" si="5"/>
        <v/>
      </c>
      <c r="K1543" s="5" t="str">
        <f>IFERROR(__xludf.DUMMYFUNCTION("IF(C1543&lt;&gt;"""",HYPERLINK(""https://wa.me/507""&amp;REGEXREPLACE(C1543,""[^0-9]"","""")&amp;""?text=""&amp;ENCODEURL(""Ya llegue. Codigo: ""&amp;A1543&amp;"". Ubicacion: ""&amp;""https://www.google.com/maps/search/?api=1&amp;query=""&amp;SUBSTITUTE(F1543,"" "","""")),""📲 Avisar al clien"&amp;"te""),"""")"),"")</f>
        <v/>
      </c>
      <c r="L1543" s="5" t="str">
        <f>IFERROR(__xludf.DUMMYFUNCTION("IF(C1543&lt;&gt;"""",""https://api.qrserver.com/v1/create-qr-code/?size=200x200&amp;data=""&amp;ENCODEURL(""https://wa.me/507""&amp;REGEXREPLACE(C1543,""[^0-9]"","""")&amp;""?text=""&amp;ENCODEURL(""Ya llegue. Codigo: ""&amp;A1543&amp;"". Ubicacion: ""&amp;""https://www.google.com/maps/search"&amp;"/?api=1&amp;query=""&amp;SUBSTITUTE(F1543,"" "",""""))),"""")"),"")</f>
        <v/>
      </c>
      <c r="M1543" s="5" t="str">
        <f t="shared" si="6"/>
        <v/>
      </c>
      <c r="N1543" s="5" t="str">
        <f>IFERROR(__xludf.DUMMYFUNCTION("IF(AND(F1543&lt;&gt;"""",REGEXMATCH(SUBSTITUTE(F1543,"" "",""""),""^-?\d+(\.\d+)?,-?\d+(\.\d+)?$""),VALUE(REGEXEXTRACT(SUBSTITUTE(F1543,"" "",""""),""^-?\d+(\.\d+)?""))&gt;=-90,VALUE(REGEXEXTRACT(SUBSTITUTE(F1543,"" "",""""),""^-?\d+(\.\d+)?""))&lt;=90,VALUE(REGEXEXT"&amp;"RACT(SUBSTITUTE(F1543,"" "",""""),""-?\d+(\.\d+)?$""))&gt;=-180,VALUE(REGEXEXTRACT(SUBSTITUTE(F1543,"" "",""""),""-?\d+(\.\d+)?$""))&lt;=180),""OK"",""REVISAR"")"),"#N/A")</f>
        <v>#N/A</v>
      </c>
    </row>
    <row r="1544" ht="15.75" customHeight="1">
      <c r="A1544" s="5" t="str">
        <f t="shared" si="1"/>
        <v>AD507-1542</v>
      </c>
      <c r="C1544" s="5"/>
      <c r="F1544" s="5"/>
      <c r="G1544" s="5" t="str">
        <f t="shared" si="2"/>
        <v/>
      </c>
      <c r="H1544" s="5" t="str">
        <f t="shared" si="3"/>
        <v/>
      </c>
      <c r="I1544" s="5" t="str">
        <f t="shared" si="4"/>
        <v/>
      </c>
      <c r="J1544" s="5" t="str">
        <f t="shared" si="5"/>
        <v/>
      </c>
      <c r="K1544" s="5" t="str">
        <f>IFERROR(__xludf.DUMMYFUNCTION("IF(C1544&lt;&gt;"""",HYPERLINK(""https://wa.me/507""&amp;REGEXREPLACE(C1544,""[^0-9]"","""")&amp;""?text=""&amp;ENCODEURL(""Ya llegue. Codigo: ""&amp;A1544&amp;"". Ubicacion: ""&amp;""https://www.google.com/maps/search/?api=1&amp;query=""&amp;SUBSTITUTE(F1544,"" "","""")),""📲 Avisar al clien"&amp;"te""),"""")"),"")</f>
        <v/>
      </c>
      <c r="L1544" s="5" t="str">
        <f>IFERROR(__xludf.DUMMYFUNCTION("IF(C1544&lt;&gt;"""",""https://api.qrserver.com/v1/create-qr-code/?size=200x200&amp;data=""&amp;ENCODEURL(""https://wa.me/507""&amp;REGEXREPLACE(C1544,""[^0-9]"","""")&amp;""?text=""&amp;ENCODEURL(""Ya llegue. Codigo: ""&amp;A1544&amp;"". Ubicacion: ""&amp;""https://www.google.com/maps/search"&amp;"/?api=1&amp;query=""&amp;SUBSTITUTE(F1544,"" "",""""))),"""")"),"")</f>
        <v/>
      </c>
      <c r="M1544" s="5" t="str">
        <f t="shared" si="6"/>
        <v/>
      </c>
      <c r="N1544" s="5" t="str">
        <f>IFERROR(__xludf.DUMMYFUNCTION("IF(AND(F1544&lt;&gt;"""",REGEXMATCH(SUBSTITUTE(F1544,"" "",""""),""^-?\d+(\.\d+)?,-?\d+(\.\d+)?$""),VALUE(REGEXEXTRACT(SUBSTITUTE(F1544,"" "",""""),""^-?\d+(\.\d+)?""))&gt;=-90,VALUE(REGEXEXTRACT(SUBSTITUTE(F1544,"" "",""""),""^-?\d+(\.\d+)?""))&lt;=90,VALUE(REGEXEXT"&amp;"RACT(SUBSTITUTE(F1544,"" "",""""),""-?\d+(\.\d+)?$""))&gt;=-180,VALUE(REGEXEXTRACT(SUBSTITUTE(F1544,"" "",""""),""-?\d+(\.\d+)?$""))&lt;=180),""OK"",""REVISAR"")"),"#N/A")</f>
        <v>#N/A</v>
      </c>
    </row>
    <row r="1545" ht="15.75" customHeight="1">
      <c r="A1545" s="5" t="str">
        <f t="shared" si="1"/>
        <v>AD507-1543</v>
      </c>
      <c r="C1545" s="5"/>
      <c r="F1545" s="5"/>
      <c r="G1545" s="5" t="str">
        <f t="shared" si="2"/>
        <v/>
      </c>
      <c r="H1545" s="5" t="str">
        <f t="shared" si="3"/>
        <v/>
      </c>
      <c r="I1545" s="5" t="str">
        <f t="shared" si="4"/>
        <v/>
      </c>
      <c r="J1545" s="5" t="str">
        <f t="shared" si="5"/>
        <v/>
      </c>
      <c r="K1545" s="5" t="str">
        <f>IFERROR(__xludf.DUMMYFUNCTION("IF(C1545&lt;&gt;"""",HYPERLINK(""https://wa.me/507""&amp;REGEXREPLACE(C1545,""[^0-9]"","""")&amp;""?text=""&amp;ENCODEURL(""Ya llegue. Codigo: ""&amp;A1545&amp;"". Ubicacion: ""&amp;""https://www.google.com/maps/search/?api=1&amp;query=""&amp;SUBSTITUTE(F1545,"" "","""")),""📲 Avisar al clien"&amp;"te""),"""")"),"")</f>
        <v/>
      </c>
      <c r="L1545" s="5" t="str">
        <f>IFERROR(__xludf.DUMMYFUNCTION("IF(C1545&lt;&gt;"""",""https://api.qrserver.com/v1/create-qr-code/?size=200x200&amp;data=""&amp;ENCODEURL(""https://wa.me/507""&amp;REGEXREPLACE(C1545,""[^0-9]"","""")&amp;""?text=""&amp;ENCODEURL(""Ya llegue. Codigo: ""&amp;A1545&amp;"". Ubicacion: ""&amp;""https://www.google.com/maps/search"&amp;"/?api=1&amp;query=""&amp;SUBSTITUTE(F1545,"" "",""""))),"""")"),"")</f>
        <v/>
      </c>
      <c r="M1545" s="5" t="str">
        <f t="shared" si="6"/>
        <v/>
      </c>
      <c r="N1545" s="5" t="str">
        <f>IFERROR(__xludf.DUMMYFUNCTION("IF(AND(F1545&lt;&gt;"""",REGEXMATCH(SUBSTITUTE(F1545,"" "",""""),""^-?\d+(\.\d+)?,-?\d+(\.\d+)?$""),VALUE(REGEXEXTRACT(SUBSTITUTE(F1545,"" "",""""),""^-?\d+(\.\d+)?""))&gt;=-90,VALUE(REGEXEXTRACT(SUBSTITUTE(F1545,"" "",""""),""^-?\d+(\.\d+)?""))&lt;=90,VALUE(REGEXEXT"&amp;"RACT(SUBSTITUTE(F1545,"" "",""""),""-?\d+(\.\d+)?$""))&gt;=-180,VALUE(REGEXEXTRACT(SUBSTITUTE(F1545,"" "",""""),""-?\d+(\.\d+)?$""))&lt;=180),""OK"",""REVISAR"")"),"#N/A")</f>
        <v>#N/A</v>
      </c>
    </row>
    <row r="1546" ht="15.75" customHeight="1">
      <c r="A1546" s="5" t="str">
        <f t="shared" si="1"/>
        <v>AD507-1544</v>
      </c>
      <c r="C1546" s="5"/>
      <c r="F1546" s="5"/>
      <c r="G1546" s="5" t="str">
        <f t="shared" si="2"/>
        <v/>
      </c>
      <c r="H1546" s="5" t="str">
        <f t="shared" si="3"/>
        <v/>
      </c>
      <c r="I1546" s="5" t="str">
        <f t="shared" si="4"/>
        <v/>
      </c>
      <c r="J1546" s="5" t="str">
        <f t="shared" si="5"/>
        <v/>
      </c>
      <c r="K1546" s="5" t="str">
        <f>IFERROR(__xludf.DUMMYFUNCTION("IF(C1546&lt;&gt;"""",HYPERLINK(""https://wa.me/507""&amp;REGEXREPLACE(C1546,""[^0-9]"","""")&amp;""?text=""&amp;ENCODEURL(""Ya llegue. Codigo: ""&amp;A1546&amp;"". Ubicacion: ""&amp;""https://www.google.com/maps/search/?api=1&amp;query=""&amp;SUBSTITUTE(F1546,"" "","""")),""📲 Avisar al clien"&amp;"te""),"""")"),"")</f>
        <v/>
      </c>
      <c r="L1546" s="5" t="str">
        <f>IFERROR(__xludf.DUMMYFUNCTION("IF(C1546&lt;&gt;"""",""https://api.qrserver.com/v1/create-qr-code/?size=200x200&amp;data=""&amp;ENCODEURL(""https://wa.me/507""&amp;REGEXREPLACE(C1546,""[^0-9]"","""")&amp;""?text=""&amp;ENCODEURL(""Ya llegue. Codigo: ""&amp;A1546&amp;"". Ubicacion: ""&amp;""https://www.google.com/maps/search"&amp;"/?api=1&amp;query=""&amp;SUBSTITUTE(F1546,"" "",""""))),"""")"),"")</f>
        <v/>
      </c>
      <c r="M1546" s="5" t="str">
        <f t="shared" si="6"/>
        <v/>
      </c>
      <c r="N1546" s="5" t="str">
        <f>IFERROR(__xludf.DUMMYFUNCTION("IF(AND(F1546&lt;&gt;"""",REGEXMATCH(SUBSTITUTE(F1546,"" "",""""),""^-?\d+(\.\d+)?,-?\d+(\.\d+)?$""),VALUE(REGEXEXTRACT(SUBSTITUTE(F1546,"" "",""""),""^-?\d+(\.\d+)?""))&gt;=-90,VALUE(REGEXEXTRACT(SUBSTITUTE(F1546,"" "",""""),""^-?\d+(\.\d+)?""))&lt;=90,VALUE(REGEXEXT"&amp;"RACT(SUBSTITUTE(F1546,"" "",""""),""-?\d+(\.\d+)?$""))&gt;=-180,VALUE(REGEXEXTRACT(SUBSTITUTE(F1546,"" "",""""),""-?\d+(\.\d+)?$""))&lt;=180),""OK"",""REVISAR"")"),"#N/A")</f>
        <v>#N/A</v>
      </c>
    </row>
    <row r="1547" ht="15.75" customHeight="1">
      <c r="A1547" s="5" t="str">
        <f t="shared" si="1"/>
        <v>AD507-1545</v>
      </c>
      <c r="C1547" s="5"/>
      <c r="F1547" s="5"/>
      <c r="G1547" s="5" t="str">
        <f t="shared" si="2"/>
        <v/>
      </c>
      <c r="H1547" s="5" t="str">
        <f t="shared" si="3"/>
        <v/>
      </c>
      <c r="I1547" s="5" t="str">
        <f t="shared" si="4"/>
        <v/>
      </c>
      <c r="J1547" s="5" t="str">
        <f t="shared" si="5"/>
        <v/>
      </c>
      <c r="K1547" s="5" t="str">
        <f>IFERROR(__xludf.DUMMYFUNCTION("IF(C1547&lt;&gt;"""",HYPERLINK(""https://wa.me/507""&amp;REGEXREPLACE(C1547,""[^0-9]"","""")&amp;""?text=""&amp;ENCODEURL(""Ya llegue. Codigo: ""&amp;A1547&amp;"". Ubicacion: ""&amp;""https://www.google.com/maps/search/?api=1&amp;query=""&amp;SUBSTITUTE(F1547,"" "","""")),""📲 Avisar al clien"&amp;"te""),"""")"),"")</f>
        <v/>
      </c>
      <c r="L1547" s="5" t="str">
        <f>IFERROR(__xludf.DUMMYFUNCTION("IF(C1547&lt;&gt;"""",""https://api.qrserver.com/v1/create-qr-code/?size=200x200&amp;data=""&amp;ENCODEURL(""https://wa.me/507""&amp;REGEXREPLACE(C1547,""[^0-9]"","""")&amp;""?text=""&amp;ENCODEURL(""Ya llegue. Codigo: ""&amp;A1547&amp;"". Ubicacion: ""&amp;""https://www.google.com/maps/search"&amp;"/?api=1&amp;query=""&amp;SUBSTITUTE(F1547,"" "",""""))),"""")"),"")</f>
        <v/>
      </c>
      <c r="M1547" s="5" t="str">
        <f t="shared" si="6"/>
        <v/>
      </c>
      <c r="N1547" s="5" t="str">
        <f>IFERROR(__xludf.DUMMYFUNCTION("IF(AND(F1547&lt;&gt;"""",REGEXMATCH(SUBSTITUTE(F1547,"" "",""""),""^-?\d+(\.\d+)?,-?\d+(\.\d+)?$""),VALUE(REGEXEXTRACT(SUBSTITUTE(F1547,"" "",""""),""^-?\d+(\.\d+)?""))&gt;=-90,VALUE(REGEXEXTRACT(SUBSTITUTE(F1547,"" "",""""),""^-?\d+(\.\d+)?""))&lt;=90,VALUE(REGEXEXT"&amp;"RACT(SUBSTITUTE(F1547,"" "",""""),""-?\d+(\.\d+)?$""))&gt;=-180,VALUE(REGEXEXTRACT(SUBSTITUTE(F1547,"" "",""""),""-?\d+(\.\d+)?$""))&lt;=180),""OK"",""REVISAR"")"),"#N/A")</f>
        <v>#N/A</v>
      </c>
    </row>
    <row r="1548" ht="15.75" customHeight="1">
      <c r="A1548" s="5" t="str">
        <f t="shared" si="1"/>
        <v>AD507-1546</v>
      </c>
      <c r="C1548" s="5"/>
      <c r="F1548" s="5"/>
      <c r="G1548" s="5" t="str">
        <f t="shared" si="2"/>
        <v/>
      </c>
      <c r="H1548" s="5" t="str">
        <f t="shared" si="3"/>
        <v/>
      </c>
      <c r="I1548" s="5" t="str">
        <f t="shared" si="4"/>
        <v/>
      </c>
      <c r="J1548" s="5" t="str">
        <f t="shared" si="5"/>
        <v/>
      </c>
      <c r="K1548" s="5" t="str">
        <f>IFERROR(__xludf.DUMMYFUNCTION("IF(C1548&lt;&gt;"""",HYPERLINK(""https://wa.me/507""&amp;REGEXREPLACE(C1548,""[^0-9]"","""")&amp;""?text=""&amp;ENCODEURL(""Ya llegue. Codigo: ""&amp;A1548&amp;"". Ubicacion: ""&amp;""https://www.google.com/maps/search/?api=1&amp;query=""&amp;SUBSTITUTE(F1548,"" "","""")),""📲 Avisar al clien"&amp;"te""),"""")"),"")</f>
        <v/>
      </c>
      <c r="L1548" s="5" t="str">
        <f>IFERROR(__xludf.DUMMYFUNCTION("IF(C1548&lt;&gt;"""",""https://api.qrserver.com/v1/create-qr-code/?size=200x200&amp;data=""&amp;ENCODEURL(""https://wa.me/507""&amp;REGEXREPLACE(C1548,""[^0-9]"","""")&amp;""?text=""&amp;ENCODEURL(""Ya llegue. Codigo: ""&amp;A1548&amp;"". Ubicacion: ""&amp;""https://www.google.com/maps/search"&amp;"/?api=1&amp;query=""&amp;SUBSTITUTE(F1548,"" "",""""))),"""")"),"")</f>
        <v/>
      </c>
      <c r="M1548" s="5" t="str">
        <f t="shared" si="6"/>
        <v/>
      </c>
      <c r="N1548" s="5" t="str">
        <f>IFERROR(__xludf.DUMMYFUNCTION("IF(AND(F1548&lt;&gt;"""",REGEXMATCH(SUBSTITUTE(F1548,"" "",""""),""^-?\d+(\.\d+)?,-?\d+(\.\d+)?$""),VALUE(REGEXEXTRACT(SUBSTITUTE(F1548,"" "",""""),""^-?\d+(\.\d+)?""))&gt;=-90,VALUE(REGEXEXTRACT(SUBSTITUTE(F1548,"" "",""""),""^-?\d+(\.\d+)?""))&lt;=90,VALUE(REGEXEXT"&amp;"RACT(SUBSTITUTE(F1548,"" "",""""),""-?\d+(\.\d+)?$""))&gt;=-180,VALUE(REGEXEXTRACT(SUBSTITUTE(F1548,"" "",""""),""-?\d+(\.\d+)?$""))&lt;=180),""OK"",""REVISAR"")"),"#N/A")</f>
        <v>#N/A</v>
      </c>
    </row>
    <row r="1549" ht="15.75" customHeight="1">
      <c r="A1549" s="5" t="str">
        <f t="shared" si="1"/>
        <v>AD507-1547</v>
      </c>
      <c r="C1549" s="5"/>
      <c r="F1549" s="5"/>
      <c r="G1549" s="5" t="str">
        <f t="shared" si="2"/>
        <v/>
      </c>
      <c r="H1549" s="5" t="str">
        <f t="shared" si="3"/>
        <v/>
      </c>
      <c r="I1549" s="5" t="str">
        <f t="shared" si="4"/>
        <v/>
      </c>
      <c r="J1549" s="5" t="str">
        <f t="shared" si="5"/>
        <v/>
      </c>
      <c r="K1549" s="5" t="str">
        <f>IFERROR(__xludf.DUMMYFUNCTION("IF(C1549&lt;&gt;"""",HYPERLINK(""https://wa.me/507""&amp;REGEXREPLACE(C1549,""[^0-9]"","""")&amp;""?text=""&amp;ENCODEURL(""Ya llegue. Codigo: ""&amp;A1549&amp;"". Ubicacion: ""&amp;""https://www.google.com/maps/search/?api=1&amp;query=""&amp;SUBSTITUTE(F1549,"" "","""")),""📲 Avisar al clien"&amp;"te""),"""")"),"")</f>
        <v/>
      </c>
      <c r="L1549" s="5" t="str">
        <f>IFERROR(__xludf.DUMMYFUNCTION("IF(C1549&lt;&gt;"""",""https://api.qrserver.com/v1/create-qr-code/?size=200x200&amp;data=""&amp;ENCODEURL(""https://wa.me/507""&amp;REGEXREPLACE(C1549,""[^0-9]"","""")&amp;""?text=""&amp;ENCODEURL(""Ya llegue. Codigo: ""&amp;A1549&amp;"". Ubicacion: ""&amp;""https://www.google.com/maps/search"&amp;"/?api=1&amp;query=""&amp;SUBSTITUTE(F1549,"" "",""""))),"""")"),"")</f>
        <v/>
      </c>
      <c r="M1549" s="5" t="str">
        <f t="shared" si="6"/>
        <v/>
      </c>
      <c r="N1549" s="5" t="str">
        <f>IFERROR(__xludf.DUMMYFUNCTION("IF(AND(F1549&lt;&gt;"""",REGEXMATCH(SUBSTITUTE(F1549,"" "",""""),""^-?\d+(\.\d+)?,-?\d+(\.\d+)?$""),VALUE(REGEXEXTRACT(SUBSTITUTE(F1549,"" "",""""),""^-?\d+(\.\d+)?""))&gt;=-90,VALUE(REGEXEXTRACT(SUBSTITUTE(F1549,"" "",""""),""^-?\d+(\.\d+)?""))&lt;=90,VALUE(REGEXEXT"&amp;"RACT(SUBSTITUTE(F1549,"" "",""""),""-?\d+(\.\d+)?$""))&gt;=-180,VALUE(REGEXEXTRACT(SUBSTITUTE(F1549,"" "",""""),""-?\d+(\.\d+)?$""))&lt;=180),""OK"",""REVISAR"")"),"#N/A")</f>
        <v>#N/A</v>
      </c>
    </row>
    <row r="1550" ht="15.75" customHeight="1">
      <c r="A1550" s="5" t="str">
        <f t="shared" si="1"/>
        <v>AD507-1548</v>
      </c>
      <c r="C1550" s="5"/>
      <c r="F1550" s="5"/>
      <c r="G1550" s="5" t="str">
        <f t="shared" si="2"/>
        <v/>
      </c>
      <c r="H1550" s="5" t="str">
        <f t="shared" si="3"/>
        <v/>
      </c>
      <c r="I1550" s="5" t="str">
        <f t="shared" si="4"/>
        <v/>
      </c>
      <c r="J1550" s="5" t="str">
        <f t="shared" si="5"/>
        <v/>
      </c>
      <c r="K1550" s="5" t="str">
        <f>IFERROR(__xludf.DUMMYFUNCTION("IF(C1550&lt;&gt;"""",HYPERLINK(""https://wa.me/507""&amp;REGEXREPLACE(C1550,""[^0-9]"","""")&amp;""?text=""&amp;ENCODEURL(""Ya llegue. Codigo: ""&amp;A1550&amp;"". Ubicacion: ""&amp;""https://www.google.com/maps/search/?api=1&amp;query=""&amp;SUBSTITUTE(F1550,"" "","""")),""📲 Avisar al clien"&amp;"te""),"""")"),"")</f>
        <v/>
      </c>
      <c r="L1550" s="5" t="str">
        <f>IFERROR(__xludf.DUMMYFUNCTION("IF(C1550&lt;&gt;"""",""https://api.qrserver.com/v1/create-qr-code/?size=200x200&amp;data=""&amp;ENCODEURL(""https://wa.me/507""&amp;REGEXREPLACE(C1550,""[^0-9]"","""")&amp;""?text=""&amp;ENCODEURL(""Ya llegue. Codigo: ""&amp;A1550&amp;"". Ubicacion: ""&amp;""https://www.google.com/maps/search"&amp;"/?api=1&amp;query=""&amp;SUBSTITUTE(F1550,"" "",""""))),"""")"),"")</f>
        <v/>
      </c>
      <c r="M1550" s="5" t="str">
        <f t="shared" si="6"/>
        <v/>
      </c>
      <c r="N1550" s="5" t="str">
        <f>IFERROR(__xludf.DUMMYFUNCTION("IF(AND(F1550&lt;&gt;"""",REGEXMATCH(SUBSTITUTE(F1550,"" "",""""),""^-?\d+(\.\d+)?,-?\d+(\.\d+)?$""),VALUE(REGEXEXTRACT(SUBSTITUTE(F1550,"" "",""""),""^-?\d+(\.\d+)?""))&gt;=-90,VALUE(REGEXEXTRACT(SUBSTITUTE(F1550,"" "",""""),""^-?\d+(\.\d+)?""))&lt;=90,VALUE(REGEXEXT"&amp;"RACT(SUBSTITUTE(F1550,"" "",""""),""-?\d+(\.\d+)?$""))&gt;=-180,VALUE(REGEXEXTRACT(SUBSTITUTE(F1550,"" "",""""),""-?\d+(\.\d+)?$""))&lt;=180),""OK"",""REVISAR"")"),"#N/A")</f>
        <v>#N/A</v>
      </c>
    </row>
    <row r="1551" ht="15.75" customHeight="1">
      <c r="A1551" s="5" t="str">
        <f t="shared" si="1"/>
        <v>AD507-1549</v>
      </c>
      <c r="C1551" s="5"/>
      <c r="F1551" s="5"/>
      <c r="G1551" s="5" t="str">
        <f t="shared" si="2"/>
        <v/>
      </c>
      <c r="H1551" s="5" t="str">
        <f t="shared" si="3"/>
        <v/>
      </c>
      <c r="I1551" s="5" t="str">
        <f t="shared" si="4"/>
        <v/>
      </c>
      <c r="J1551" s="5" t="str">
        <f t="shared" si="5"/>
        <v/>
      </c>
      <c r="K1551" s="5" t="str">
        <f>IFERROR(__xludf.DUMMYFUNCTION("IF(C1551&lt;&gt;"""",HYPERLINK(""https://wa.me/507""&amp;REGEXREPLACE(C1551,""[^0-9]"","""")&amp;""?text=""&amp;ENCODEURL(""Ya llegue. Codigo: ""&amp;A1551&amp;"". Ubicacion: ""&amp;""https://www.google.com/maps/search/?api=1&amp;query=""&amp;SUBSTITUTE(F1551,"" "","""")),""📲 Avisar al clien"&amp;"te""),"""")"),"")</f>
        <v/>
      </c>
      <c r="L1551" s="5" t="str">
        <f>IFERROR(__xludf.DUMMYFUNCTION("IF(C1551&lt;&gt;"""",""https://api.qrserver.com/v1/create-qr-code/?size=200x200&amp;data=""&amp;ENCODEURL(""https://wa.me/507""&amp;REGEXREPLACE(C1551,""[^0-9]"","""")&amp;""?text=""&amp;ENCODEURL(""Ya llegue. Codigo: ""&amp;A1551&amp;"". Ubicacion: ""&amp;""https://www.google.com/maps/search"&amp;"/?api=1&amp;query=""&amp;SUBSTITUTE(F1551,"" "",""""))),"""")"),"")</f>
        <v/>
      </c>
      <c r="M1551" s="5" t="str">
        <f t="shared" si="6"/>
        <v/>
      </c>
      <c r="N1551" s="5" t="str">
        <f>IFERROR(__xludf.DUMMYFUNCTION("IF(AND(F1551&lt;&gt;"""",REGEXMATCH(SUBSTITUTE(F1551,"" "",""""),""^-?\d+(\.\d+)?,-?\d+(\.\d+)?$""),VALUE(REGEXEXTRACT(SUBSTITUTE(F1551,"" "",""""),""^-?\d+(\.\d+)?""))&gt;=-90,VALUE(REGEXEXTRACT(SUBSTITUTE(F1551,"" "",""""),""^-?\d+(\.\d+)?""))&lt;=90,VALUE(REGEXEXT"&amp;"RACT(SUBSTITUTE(F1551,"" "",""""),""-?\d+(\.\d+)?$""))&gt;=-180,VALUE(REGEXEXTRACT(SUBSTITUTE(F1551,"" "",""""),""-?\d+(\.\d+)?$""))&lt;=180),""OK"",""REVISAR"")"),"#N/A")</f>
        <v>#N/A</v>
      </c>
    </row>
    <row r="1552" ht="15.75" customHeight="1">
      <c r="A1552" s="5" t="str">
        <f t="shared" si="1"/>
        <v>AD507-1550</v>
      </c>
      <c r="C1552" s="5"/>
      <c r="F1552" s="5"/>
      <c r="G1552" s="5" t="str">
        <f t="shared" si="2"/>
        <v/>
      </c>
      <c r="H1552" s="5" t="str">
        <f t="shared" si="3"/>
        <v/>
      </c>
      <c r="I1552" s="5" t="str">
        <f t="shared" si="4"/>
        <v/>
      </c>
      <c r="J1552" s="5" t="str">
        <f t="shared" si="5"/>
        <v/>
      </c>
      <c r="K1552" s="5" t="str">
        <f>IFERROR(__xludf.DUMMYFUNCTION("IF(C1552&lt;&gt;"""",HYPERLINK(""https://wa.me/507""&amp;REGEXREPLACE(C1552,""[^0-9]"","""")&amp;""?text=""&amp;ENCODEURL(""Ya llegue. Codigo: ""&amp;A1552&amp;"". Ubicacion: ""&amp;""https://www.google.com/maps/search/?api=1&amp;query=""&amp;SUBSTITUTE(F1552,"" "","""")),""📲 Avisar al clien"&amp;"te""),"""")"),"")</f>
        <v/>
      </c>
      <c r="L1552" s="5" t="str">
        <f>IFERROR(__xludf.DUMMYFUNCTION("IF(C1552&lt;&gt;"""",""https://api.qrserver.com/v1/create-qr-code/?size=200x200&amp;data=""&amp;ENCODEURL(""https://wa.me/507""&amp;REGEXREPLACE(C1552,""[^0-9]"","""")&amp;""?text=""&amp;ENCODEURL(""Ya llegue. Codigo: ""&amp;A1552&amp;"". Ubicacion: ""&amp;""https://www.google.com/maps/search"&amp;"/?api=1&amp;query=""&amp;SUBSTITUTE(F1552,"" "",""""))),"""")"),"")</f>
        <v/>
      </c>
      <c r="M1552" s="5" t="str">
        <f t="shared" si="6"/>
        <v/>
      </c>
      <c r="N1552" s="5" t="str">
        <f>IFERROR(__xludf.DUMMYFUNCTION("IF(AND(F1552&lt;&gt;"""",REGEXMATCH(SUBSTITUTE(F1552,"" "",""""),""^-?\d+(\.\d+)?,-?\d+(\.\d+)?$""),VALUE(REGEXEXTRACT(SUBSTITUTE(F1552,"" "",""""),""^-?\d+(\.\d+)?""))&gt;=-90,VALUE(REGEXEXTRACT(SUBSTITUTE(F1552,"" "",""""),""^-?\d+(\.\d+)?""))&lt;=90,VALUE(REGEXEXT"&amp;"RACT(SUBSTITUTE(F1552,"" "",""""),""-?\d+(\.\d+)?$""))&gt;=-180,VALUE(REGEXEXTRACT(SUBSTITUTE(F1552,"" "",""""),""-?\d+(\.\d+)?$""))&lt;=180),""OK"",""REVISAR"")"),"#N/A")</f>
        <v>#N/A</v>
      </c>
    </row>
    <row r="1553" ht="15.75" customHeight="1">
      <c r="A1553" s="5" t="str">
        <f t="shared" si="1"/>
        <v>AD507-1551</v>
      </c>
      <c r="C1553" s="5"/>
      <c r="F1553" s="5"/>
      <c r="G1553" s="5" t="str">
        <f t="shared" si="2"/>
        <v/>
      </c>
      <c r="H1553" s="5" t="str">
        <f t="shared" si="3"/>
        <v/>
      </c>
      <c r="I1553" s="5" t="str">
        <f t="shared" si="4"/>
        <v/>
      </c>
      <c r="J1553" s="5" t="str">
        <f t="shared" si="5"/>
        <v/>
      </c>
      <c r="K1553" s="5" t="str">
        <f>IFERROR(__xludf.DUMMYFUNCTION("IF(C1553&lt;&gt;"""",HYPERLINK(""https://wa.me/507""&amp;REGEXREPLACE(C1553,""[^0-9]"","""")&amp;""?text=""&amp;ENCODEURL(""Ya llegue. Codigo: ""&amp;A1553&amp;"". Ubicacion: ""&amp;""https://www.google.com/maps/search/?api=1&amp;query=""&amp;SUBSTITUTE(F1553,"" "","""")),""📲 Avisar al clien"&amp;"te""),"""")"),"")</f>
        <v/>
      </c>
      <c r="L1553" s="5" t="str">
        <f>IFERROR(__xludf.DUMMYFUNCTION("IF(C1553&lt;&gt;"""",""https://api.qrserver.com/v1/create-qr-code/?size=200x200&amp;data=""&amp;ENCODEURL(""https://wa.me/507""&amp;REGEXREPLACE(C1553,""[^0-9]"","""")&amp;""?text=""&amp;ENCODEURL(""Ya llegue. Codigo: ""&amp;A1553&amp;"". Ubicacion: ""&amp;""https://www.google.com/maps/search"&amp;"/?api=1&amp;query=""&amp;SUBSTITUTE(F1553,"" "",""""))),"""")"),"")</f>
        <v/>
      </c>
      <c r="M1553" s="5" t="str">
        <f t="shared" si="6"/>
        <v/>
      </c>
      <c r="N1553" s="5" t="str">
        <f>IFERROR(__xludf.DUMMYFUNCTION("IF(AND(F1553&lt;&gt;"""",REGEXMATCH(SUBSTITUTE(F1553,"" "",""""),""^-?\d+(\.\d+)?,-?\d+(\.\d+)?$""),VALUE(REGEXEXTRACT(SUBSTITUTE(F1553,"" "",""""),""^-?\d+(\.\d+)?""))&gt;=-90,VALUE(REGEXEXTRACT(SUBSTITUTE(F1553,"" "",""""),""^-?\d+(\.\d+)?""))&lt;=90,VALUE(REGEXEXT"&amp;"RACT(SUBSTITUTE(F1553,"" "",""""),""-?\d+(\.\d+)?$""))&gt;=-180,VALUE(REGEXEXTRACT(SUBSTITUTE(F1553,"" "",""""),""-?\d+(\.\d+)?$""))&lt;=180),""OK"",""REVISAR"")"),"#N/A")</f>
        <v>#N/A</v>
      </c>
    </row>
    <row r="1554" ht="15.75" customHeight="1">
      <c r="A1554" s="5" t="str">
        <f t="shared" si="1"/>
        <v>AD507-1552</v>
      </c>
      <c r="C1554" s="5"/>
      <c r="F1554" s="5"/>
      <c r="G1554" s="5" t="str">
        <f t="shared" si="2"/>
        <v/>
      </c>
      <c r="H1554" s="5" t="str">
        <f t="shared" si="3"/>
        <v/>
      </c>
      <c r="I1554" s="5" t="str">
        <f t="shared" si="4"/>
        <v/>
      </c>
      <c r="J1554" s="5" t="str">
        <f t="shared" si="5"/>
        <v/>
      </c>
      <c r="K1554" s="5" t="str">
        <f>IFERROR(__xludf.DUMMYFUNCTION("IF(C1554&lt;&gt;"""",HYPERLINK(""https://wa.me/507""&amp;REGEXREPLACE(C1554,""[^0-9]"","""")&amp;""?text=""&amp;ENCODEURL(""Ya llegue. Codigo: ""&amp;A1554&amp;"". Ubicacion: ""&amp;""https://www.google.com/maps/search/?api=1&amp;query=""&amp;SUBSTITUTE(F1554,"" "","""")),""📲 Avisar al clien"&amp;"te""),"""")"),"")</f>
        <v/>
      </c>
      <c r="L1554" s="5" t="str">
        <f>IFERROR(__xludf.DUMMYFUNCTION("IF(C1554&lt;&gt;"""",""https://api.qrserver.com/v1/create-qr-code/?size=200x200&amp;data=""&amp;ENCODEURL(""https://wa.me/507""&amp;REGEXREPLACE(C1554,""[^0-9]"","""")&amp;""?text=""&amp;ENCODEURL(""Ya llegue. Codigo: ""&amp;A1554&amp;"". Ubicacion: ""&amp;""https://www.google.com/maps/search"&amp;"/?api=1&amp;query=""&amp;SUBSTITUTE(F1554,"" "",""""))),"""")"),"")</f>
        <v/>
      </c>
      <c r="M1554" s="5" t="str">
        <f t="shared" si="6"/>
        <v/>
      </c>
      <c r="N1554" s="5" t="str">
        <f>IFERROR(__xludf.DUMMYFUNCTION("IF(AND(F1554&lt;&gt;"""",REGEXMATCH(SUBSTITUTE(F1554,"" "",""""),""^-?\d+(\.\d+)?,-?\d+(\.\d+)?$""),VALUE(REGEXEXTRACT(SUBSTITUTE(F1554,"" "",""""),""^-?\d+(\.\d+)?""))&gt;=-90,VALUE(REGEXEXTRACT(SUBSTITUTE(F1554,"" "",""""),""^-?\d+(\.\d+)?""))&lt;=90,VALUE(REGEXEXT"&amp;"RACT(SUBSTITUTE(F1554,"" "",""""),""-?\d+(\.\d+)?$""))&gt;=-180,VALUE(REGEXEXTRACT(SUBSTITUTE(F1554,"" "",""""),""-?\d+(\.\d+)?$""))&lt;=180),""OK"",""REVISAR"")"),"#N/A")</f>
        <v>#N/A</v>
      </c>
    </row>
    <row r="1555" ht="15.75" customHeight="1">
      <c r="A1555" s="5" t="str">
        <f t="shared" si="1"/>
        <v>AD507-1553</v>
      </c>
      <c r="C1555" s="5"/>
      <c r="F1555" s="5"/>
      <c r="G1555" s="5" t="str">
        <f t="shared" si="2"/>
        <v/>
      </c>
      <c r="H1555" s="5" t="str">
        <f t="shared" si="3"/>
        <v/>
      </c>
      <c r="I1555" s="5" t="str">
        <f t="shared" si="4"/>
        <v/>
      </c>
      <c r="J1555" s="5" t="str">
        <f t="shared" si="5"/>
        <v/>
      </c>
      <c r="K1555" s="5" t="str">
        <f>IFERROR(__xludf.DUMMYFUNCTION("IF(C1555&lt;&gt;"""",HYPERLINK(""https://wa.me/507""&amp;REGEXREPLACE(C1555,""[^0-9]"","""")&amp;""?text=""&amp;ENCODEURL(""Ya llegue. Codigo: ""&amp;A1555&amp;"". Ubicacion: ""&amp;""https://www.google.com/maps/search/?api=1&amp;query=""&amp;SUBSTITUTE(F1555,"" "","""")),""📲 Avisar al clien"&amp;"te""),"""")"),"")</f>
        <v/>
      </c>
      <c r="L1555" s="5" t="str">
        <f>IFERROR(__xludf.DUMMYFUNCTION("IF(C1555&lt;&gt;"""",""https://api.qrserver.com/v1/create-qr-code/?size=200x200&amp;data=""&amp;ENCODEURL(""https://wa.me/507""&amp;REGEXREPLACE(C1555,""[^0-9]"","""")&amp;""?text=""&amp;ENCODEURL(""Ya llegue. Codigo: ""&amp;A1555&amp;"". Ubicacion: ""&amp;""https://www.google.com/maps/search"&amp;"/?api=1&amp;query=""&amp;SUBSTITUTE(F1555,"" "",""""))),"""")"),"")</f>
        <v/>
      </c>
      <c r="M1555" s="5" t="str">
        <f t="shared" si="6"/>
        <v/>
      </c>
      <c r="N1555" s="5" t="str">
        <f>IFERROR(__xludf.DUMMYFUNCTION("IF(AND(F1555&lt;&gt;"""",REGEXMATCH(SUBSTITUTE(F1555,"" "",""""),""^-?\d+(\.\d+)?,-?\d+(\.\d+)?$""),VALUE(REGEXEXTRACT(SUBSTITUTE(F1555,"" "",""""),""^-?\d+(\.\d+)?""))&gt;=-90,VALUE(REGEXEXTRACT(SUBSTITUTE(F1555,"" "",""""),""^-?\d+(\.\d+)?""))&lt;=90,VALUE(REGEXEXT"&amp;"RACT(SUBSTITUTE(F1555,"" "",""""),""-?\d+(\.\d+)?$""))&gt;=-180,VALUE(REGEXEXTRACT(SUBSTITUTE(F1555,"" "",""""),""-?\d+(\.\d+)?$""))&lt;=180),""OK"",""REVISAR"")"),"#N/A")</f>
        <v>#N/A</v>
      </c>
    </row>
    <row r="1556" ht="15.75" customHeight="1">
      <c r="A1556" s="5" t="str">
        <f t="shared" si="1"/>
        <v>AD507-1554</v>
      </c>
      <c r="C1556" s="5"/>
      <c r="F1556" s="5"/>
      <c r="G1556" s="5" t="str">
        <f t="shared" si="2"/>
        <v/>
      </c>
      <c r="H1556" s="5" t="str">
        <f t="shared" si="3"/>
        <v/>
      </c>
      <c r="I1556" s="5" t="str">
        <f t="shared" si="4"/>
        <v/>
      </c>
      <c r="J1556" s="5" t="str">
        <f t="shared" si="5"/>
        <v/>
      </c>
      <c r="K1556" s="5" t="str">
        <f>IFERROR(__xludf.DUMMYFUNCTION("IF(C1556&lt;&gt;"""",HYPERLINK(""https://wa.me/507""&amp;REGEXREPLACE(C1556,""[^0-9]"","""")&amp;""?text=""&amp;ENCODEURL(""Ya llegue. Codigo: ""&amp;A1556&amp;"". Ubicacion: ""&amp;""https://www.google.com/maps/search/?api=1&amp;query=""&amp;SUBSTITUTE(F1556,"" "","""")),""📲 Avisar al clien"&amp;"te""),"""")"),"")</f>
        <v/>
      </c>
      <c r="L1556" s="5" t="str">
        <f>IFERROR(__xludf.DUMMYFUNCTION("IF(C1556&lt;&gt;"""",""https://api.qrserver.com/v1/create-qr-code/?size=200x200&amp;data=""&amp;ENCODEURL(""https://wa.me/507""&amp;REGEXREPLACE(C1556,""[^0-9]"","""")&amp;""?text=""&amp;ENCODEURL(""Ya llegue. Codigo: ""&amp;A1556&amp;"". Ubicacion: ""&amp;""https://www.google.com/maps/search"&amp;"/?api=1&amp;query=""&amp;SUBSTITUTE(F1556,"" "",""""))),"""")"),"")</f>
        <v/>
      </c>
      <c r="M1556" s="5" t="str">
        <f t="shared" si="6"/>
        <v/>
      </c>
      <c r="N1556" s="5" t="str">
        <f>IFERROR(__xludf.DUMMYFUNCTION("IF(AND(F1556&lt;&gt;"""",REGEXMATCH(SUBSTITUTE(F1556,"" "",""""),""^-?\d+(\.\d+)?,-?\d+(\.\d+)?$""),VALUE(REGEXEXTRACT(SUBSTITUTE(F1556,"" "",""""),""^-?\d+(\.\d+)?""))&gt;=-90,VALUE(REGEXEXTRACT(SUBSTITUTE(F1556,"" "",""""),""^-?\d+(\.\d+)?""))&lt;=90,VALUE(REGEXEXT"&amp;"RACT(SUBSTITUTE(F1556,"" "",""""),""-?\d+(\.\d+)?$""))&gt;=-180,VALUE(REGEXEXTRACT(SUBSTITUTE(F1556,"" "",""""),""-?\d+(\.\d+)?$""))&lt;=180),""OK"",""REVISAR"")"),"#N/A")</f>
        <v>#N/A</v>
      </c>
    </row>
    <row r="1557" ht="15.75" customHeight="1">
      <c r="A1557" s="5" t="str">
        <f t="shared" si="1"/>
        <v>AD507-1555</v>
      </c>
      <c r="C1557" s="5"/>
      <c r="F1557" s="5"/>
      <c r="G1557" s="5" t="str">
        <f t="shared" si="2"/>
        <v/>
      </c>
      <c r="H1557" s="5" t="str">
        <f t="shared" si="3"/>
        <v/>
      </c>
      <c r="I1557" s="5" t="str">
        <f t="shared" si="4"/>
        <v/>
      </c>
      <c r="J1557" s="5" t="str">
        <f t="shared" si="5"/>
        <v/>
      </c>
      <c r="K1557" s="5" t="str">
        <f>IFERROR(__xludf.DUMMYFUNCTION("IF(C1557&lt;&gt;"""",HYPERLINK(""https://wa.me/507""&amp;REGEXREPLACE(C1557,""[^0-9]"","""")&amp;""?text=""&amp;ENCODEURL(""Ya llegue. Codigo: ""&amp;A1557&amp;"". Ubicacion: ""&amp;""https://www.google.com/maps/search/?api=1&amp;query=""&amp;SUBSTITUTE(F1557,"" "","""")),""📲 Avisar al clien"&amp;"te""),"""")"),"")</f>
        <v/>
      </c>
      <c r="L1557" s="5" t="str">
        <f>IFERROR(__xludf.DUMMYFUNCTION("IF(C1557&lt;&gt;"""",""https://api.qrserver.com/v1/create-qr-code/?size=200x200&amp;data=""&amp;ENCODEURL(""https://wa.me/507""&amp;REGEXREPLACE(C1557,""[^0-9]"","""")&amp;""?text=""&amp;ENCODEURL(""Ya llegue. Codigo: ""&amp;A1557&amp;"". Ubicacion: ""&amp;""https://www.google.com/maps/search"&amp;"/?api=1&amp;query=""&amp;SUBSTITUTE(F1557,"" "",""""))),"""")"),"")</f>
        <v/>
      </c>
      <c r="M1557" s="5" t="str">
        <f t="shared" si="6"/>
        <v/>
      </c>
      <c r="N1557" s="5" t="str">
        <f>IFERROR(__xludf.DUMMYFUNCTION("IF(AND(F1557&lt;&gt;"""",REGEXMATCH(SUBSTITUTE(F1557,"" "",""""),""^-?\d+(\.\d+)?,-?\d+(\.\d+)?$""),VALUE(REGEXEXTRACT(SUBSTITUTE(F1557,"" "",""""),""^-?\d+(\.\d+)?""))&gt;=-90,VALUE(REGEXEXTRACT(SUBSTITUTE(F1557,"" "",""""),""^-?\d+(\.\d+)?""))&lt;=90,VALUE(REGEXEXT"&amp;"RACT(SUBSTITUTE(F1557,"" "",""""),""-?\d+(\.\d+)?$""))&gt;=-180,VALUE(REGEXEXTRACT(SUBSTITUTE(F1557,"" "",""""),""-?\d+(\.\d+)?$""))&lt;=180),""OK"",""REVISAR"")"),"#N/A")</f>
        <v>#N/A</v>
      </c>
    </row>
    <row r="1558" ht="15.75" customHeight="1">
      <c r="A1558" s="5" t="str">
        <f t="shared" si="1"/>
        <v>AD507-1556</v>
      </c>
      <c r="C1558" s="5"/>
      <c r="F1558" s="5"/>
      <c r="G1558" s="5" t="str">
        <f t="shared" si="2"/>
        <v/>
      </c>
      <c r="H1558" s="5" t="str">
        <f t="shared" si="3"/>
        <v/>
      </c>
      <c r="I1558" s="5" t="str">
        <f t="shared" si="4"/>
        <v/>
      </c>
      <c r="J1558" s="5" t="str">
        <f t="shared" si="5"/>
        <v/>
      </c>
      <c r="K1558" s="5" t="str">
        <f>IFERROR(__xludf.DUMMYFUNCTION("IF(C1558&lt;&gt;"""",HYPERLINK(""https://wa.me/507""&amp;REGEXREPLACE(C1558,""[^0-9]"","""")&amp;""?text=""&amp;ENCODEURL(""Ya llegue. Codigo: ""&amp;A1558&amp;"". Ubicacion: ""&amp;""https://www.google.com/maps/search/?api=1&amp;query=""&amp;SUBSTITUTE(F1558,"" "","""")),""📲 Avisar al clien"&amp;"te""),"""")"),"")</f>
        <v/>
      </c>
      <c r="L1558" s="5" t="str">
        <f>IFERROR(__xludf.DUMMYFUNCTION("IF(C1558&lt;&gt;"""",""https://api.qrserver.com/v1/create-qr-code/?size=200x200&amp;data=""&amp;ENCODEURL(""https://wa.me/507""&amp;REGEXREPLACE(C1558,""[^0-9]"","""")&amp;""?text=""&amp;ENCODEURL(""Ya llegue. Codigo: ""&amp;A1558&amp;"". Ubicacion: ""&amp;""https://www.google.com/maps/search"&amp;"/?api=1&amp;query=""&amp;SUBSTITUTE(F1558,"" "",""""))),"""")"),"")</f>
        <v/>
      </c>
      <c r="M1558" s="5" t="str">
        <f t="shared" si="6"/>
        <v/>
      </c>
      <c r="N1558" s="5" t="str">
        <f>IFERROR(__xludf.DUMMYFUNCTION("IF(AND(F1558&lt;&gt;"""",REGEXMATCH(SUBSTITUTE(F1558,"" "",""""),""^-?\d+(\.\d+)?,-?\d+(\.\d+)?$""),VALUE(REGEXEXTRACT(SUBSTITUTE(F1558,"" "",""""),""^-?\d+(\.\d+)?""))&gt;=-90,VALUE(REGEXEXTRACT(SUBSTITUTE(F1558,"" "",""""),""^-?\d+(\.\d+)?""))&lt;=90,VALUE(REGEXEXT"&amp;"RACT(SUBSTITUTE(F1558,"" "",""""),""-?\d+(\.\d+)?$""))&gt;=-180,VALUE(REGEXEXTRACT(SUBSTITUTE(F1558,"" "",""""),""-?\d+(\.\d+)?$""))&lt;=180),""OK"",""REVISAR"")"),"#N/A")</f>
        <v>#N/A</v>
      </c>
    </row>
    <row r="1559" ht="15.75" customHeight="1">
      <c r="A1559" s="5" t="str">
        <f t="shared" si="1"/>
        <v>AD507-1557</v>
      </c>
      <c r="C1559" s="5"/>
      <c r="F1559" s="5"/>
      <c r="G1559" s="5" t="str">
        <f t="shared" si="2"/>
        <v/>
      </c>
      <c r="H1559" s="5" t="str">
        <f t="shared" si="3"/>
        <v/>
      </c>
      <c r="I1559" s="5" t="str">
        <f t="shared" si="4"/>
        <v/>
      </c>
      <c r="J1559" s="5" t="str">
        <f t="shared" si="5"/>
        <v/>
      </c>
      <c r="K1559" s="5" t="str">
        <f>IFERROR(__xludf.DUMMYFUNCTION("IF(C1559&lt;&gt;"""",HYPERLINK(""https://wa.me/507""&amp;REGEXREPLACE(C1559,""[^0-9]"","""")&amp;""?text=""&amp;ENCODEURL(""Ya llegue. Codigo: ""&amp;A1559&amp;"". Ubicacion: ""&amp;""https://www.google.com/maps/search/?api=1&amp;query=""&amp;SUBSTITUTE(F1559,"" "","""")),""📲 Avisar al clien"&amp;"te""),"""")"),"")</f>
        <v/>
      </c>
      <c r="L1559" s="5" t="str">
        <f>IFERROR(__xludf.DUMMYFUNCTION("IF(C1559&lt;&gt;"""",""https://api.qrserver.com/v1/create-qr-code/?size=200x200&amp;data=""&amp;ENCODEURL(""https://wa.me/507""&amp;REGEXREPLACE(C1559,""[^0-9]"","""")&amp;""?text=""&amp;ENCODEURL(""Ya llegue. Codigo: ""&amp;A1559&amp;"". Ubicacion: ""&amp;""https://www.google.com/maps/search"&amp;"/?api=1&amp;query=""&amp;SUBSTITUTE(F1559,"" "",""""))),"""")"),"")</f>
        <v/>
      </c>
      <c r="M1559" s="5" t="str">
        <f t="shared" si="6"/>
        <v/>
      </c>
      <c r="N1559" s="5" t="str">
        <f>IFERROR(__xludf.DUMMYFUNCTION("IF(AND(F1559&lt;&gt;"""",REGEXMATCH(SUBSTITUTE(F1559,"" "",""""),""^-?\d+(\.\d+)?,-?\d+(\.\d+)?$""),VALUE(REGEXEXTRACT(SUBSTITUTE(F1559,"" "",""""),""^-?\d+(\.\d+)?""))&gt;=-90,VALUE(REGEXEXTRACT(SUBSTITUTE(F1559,"" "",""""),""^-?\d+(\.\d+)?""))&lt;=90,VALUE(REGEXEXT"&amp;"RACT(SUBSTITUTE(F1559,"" "",""""),""-?\d+(\.\d+)?$""))&gt;=-180,VALUE(REGEXEXTRACT(SUBSTITUTE(F1559,"" "",""""),""-?\d+(\.\d+)?$""))&lt;=180),""OK"",""REVISAR"")"),"#N/A")</f>
        <v>#N/A</v>
      </c>
    </row>
    <row r="1560" ht="15.75" customHeight="1">
      <c r="A1560" s="5" t="str">
        <f t="shared" si="1"/>
        <v>AD507-1558</v>
      </c>
      <c r="C1560" s="5"/>
      <c r="F1560" s="5"/>
      <c r="G1560" s="5" t="str">
        <f t="shared" si="2"/>
        <v/>
      </c>
      <c r="H1560" s="5" t="str">
        <f t="shared" si="3"/>
        <v/>
      </c>
      <c r="I1560" s="5" t="str">
        <f t="shared" si="4"/>
        <v/>
      </c>
      <c r="J1560" s="5" t="str">
        <f t="shared" si="5"/>
        <v/>
      </c>
      <c r="K1560" s="5" t="str">
        <f>IFERROR(__xludf.DUMMYFUNCTION("IF(C1560&lt;&gt;"""",HYPERLINK(""https://wa.me/507""&amp;REGEXREPLACE(C1560,""[^0-9]"","""")&amp;""?text=""&amp;ENCODEURL(""Ya llegue. Codigo: ""&amp;A1560&amp;"". Ubicacion: ""&amp;""https://www.google.com/maps/search/?api=1&amp;query=""&amp;SUBSTITUTE(F1560,"" "","""")),""📲 Avisar al clien"&amp;"te""),"""")"),"")</f>
        <v/>
      </c>
      <c r="L1560" s="5" t="str">
        <f>IFERROR(__xludf.DUMMYFUNCTION("IF(C1560&lt;&gt;"""",""https://api.qrserver.com/v1/create-qr-code/?size=200x200&amp;data=""&amp;ENCODEURL(""https://wa.me/507""&amp;REGEXREPLACE(C1560,""[^0-9]"","""")&amp;""?text=""&amp;ENCODEURL(""Ya llegue. Codigo: ""&amp;A1560&amp;"". Ubicacion: ""&amp;""https://www.google.com/maps/search"&amp;"/?api=1&amp;query=""&amp;SUBSTITUTE(F1560,"" "",""""))),"""")"),"")</f>
        <v/>
      </c>
      <c r="M1560" s="5" t="str">
        <f t="shared" si="6"/>
        <v/>
      </c>
      <c r="N1560" s="5" t="str">
        <f>IFERROR(__xludf.DUMMYFUNCTION("IF(AND(F1560&lt;&gt;"""",REGEXMATCH(SUBSTITUTE(F1560,"" "",""""),""^-?\d+(\.\d+)?,-?\d+(\.\d+)?$""),VALUE(REGEXEXTRACT(SUBSTITUTE(F1560,"" "",""""),""^-?\d+(\.\d+)?""))&gt;=-90,VALUE(REGEXEXTRACT(SUBSTITUTE(F1560,"" "",""""),""^-?\d+(\.\d+)?""))&lt;=90,VALUE(REGEXEXT"&amp;"RACT(SUBSTITUTE(F1560,"" "",""""),""-?\d+(\.\d+)?$""))&gt;=-180,VALUE(REGEXEXTRACT(SUBSTITUTE(F1560,"" "",""""),""-?\d+(\.\d+)?$""))&lt;=180),""OK"",""REVISAR"")"),"#N/A")</f>
        <v>#N/A</v>
      </c>
    </row>
    <row r="1561" ht="15.75" customHeight="1">
      <c r="A1561" s="5" t="str">
        <f t="shared" si="1"/>
        <v>AD507-1559</v>
      </c>
      <c r="C1561" s="5"/>
      <c r="F1561" s="5"/>
      <c r="G1561" s="5" t="str">
        <f t="shared" si="2"/>
        <v/>
      </c>
      <c r="H1561" s="5" t="str">
        <f t="shared" si="3"/>
        <v/>
      </c>
      <c r="I1561" s="5" t="str">
        <f t="shared" si="4"/>
        <v/>
      </c>
      <c r="J1561" s="5" t="str">
        <f t="shared" si="5"/>
        <v/>
      </c>
      <c r="K1561" s="5" t="str">
        <f>IFERROR(__xludf.DUMMYFUNCTION("IF(C1561&lt;&gt;"""",HYPERLINK(""https://wa.me/507""&amp;REGEXREPLACE(C1561,""[^0-9]"","""")&amp;""?text=""&amp;ENCODEURL(""Ya llegue. Codigo: ""&amp;A1561&amp;"". Ubicacion: ""&amp;""https://www.google.com/maps/search/?api=1&amp;query=""&amp;SUBSTITUTE(F1561,"" "","""")),""📲 Avisar al clien"&amp;"te""),"""")"),"")</f>
        <v/>
      </c>
      <c r="L1561" s="5" t="str">
        <f>IFERROR(__xludf.DUMMYFUNCTION("IF(C1561&lt;&gt;"""",""https://api.qrserver.com/v1/create-qr-code/?size=200x200&amp;data=""&amp;ENCODEURL(""https://wa.me/507""&amp;REGEXREPLACE(C1561,""[^0-9]"","""")&amp;""?text=""&amp;ENCODEURL(""Ya llegue. Codigo: ""&amp;A1561&amp;"". Ubicacion: ""&amp;""https://www.google.com/maps/search"&amp;"/?api=1&amp;query=""&amp;SUBSTITUTE(F1561,"" "",""""))),"""")"),"")</f>
        <v/>
      </c>
      <c r="M1561" s="5" t="str">
        <f t="shared" si="6"/>
        <v/>
      </c>
      <c r="N1561" s="5" t="str">
        <f>IFERROR(__xludf.DUMMYFUNCTION("IF(AND(F1561&lt;&gt;"""",REGEXMATCH(SUBSTITUTE(F1561,"" "",""""),""^-?\d+(\.\d+)?,-?\d+(\.\d+)?$""),VALUE(REGEXEXTRACT(SUBSTITUTE(F1561,"" "",""""),""^-?\d+(\.\d+)?""))&gt;=-90,VALUE(REGEXEXTRACT(SUBSTITUTE(F1561,"" "",""""),""^-?\d+(\.\d+)?""))&lt;=90,VALUE(REGEXEXT"&amp;"RACT(SUBSTITUTE(F1561,"" "",""""),""-?\d+(\.\d+)?$""))&gt;=-180,VALUE(REGEXEXTRACT(SUBSTITUTE(F1561,"" "",""""),""-?\d+(\.\d+)?$""))&lt;=180),""OK"",""REVISAR"")"),"#N/A")</f>
        <v>#N/A</v>
      </c>
    </row>
    <row r="1562" ht="15.75" customHeight="1">
      <c r="A1562" s="5" t="str">
        <f t="shared" si="1"/>
        <v>AD507-1560</v>
      </c>
      <c r="C1562" s="5"/>
      <c r="F1562" s="5"/>
      <c r="G1562" s="5" t="str">
        <f t="shared" si="2"/>
        <v/>
      </c>
      <c r="H1562" s="5" t="str">
        <f t="shared" si="3"/>
        <v/>
      </c>
      <c r="I1562" s="5" t="str">
        <f t="shared" si="4"/>
        <v/>
      </c>
      <c r="J1562" s="5" t="str">
        <f t="shared" si="5"/>
        <v/>
      </c>
      <c r="K1562" s="5" t="str">
        <f>IFERROR(__xludf.DUMMYFUNCTION("IF(C1562&lt;&gt;"""",HYPERLINK(""https://wa.me/507""&amp;REGEXREPLACE(C1562,""[^0-9]"","""")&amp;""?text=""&amp;ENCODEURL(""Ya llegue. Codigo: ""&amp;A1562&amp;"". Ubicacion: ""&amp;""https://www.google.com/maps/search/?api=1&amp;query=""&amp;SUBSTITUTE(F1562,"" "","""")),""📲 Avisar al clien"&amp;"te""),"""")"),"")</f>
        <v/>
      </c>
      <c r="L1562" s="5" t="str">
        <f>IFERROR(__xludf.DUMMYFUNCTION("IF(C1562&lt;&gt;"""",""https://api.qrserver.com/v1/create-qr-code/?size=200x200&amp;data=""&amp;ENCODEURL(""https://wa.me/507""&amp;REGEXREPLACE(C1562,""[^0-9]"","""")&amp;""?text=""&amp;ENCODEURL(""Ya llegue. Codigo: ""&amp;A1562&amp;"". Ubicacion: ""&amp;""https://www.google.com/maps/search"&amp;"/?api=1&amp;query=""&amp;SUBSTITUTE(F1562,"" "",""""))),"""")"),"")</f>
        <v/>
      </c>
      <c r="M1562" s="5" t="str">
        <f t="shared" si="6"/>
        <v/>
      </c>
      <c r="N1562" s="5" t="str">
        <f>IFERROR(__xludf.DUMMYFUNCTION("IF(AND(F1562&lt;&gt;"""",REGEXMATCH(SUBSTITUTE(F1562,"" "",""""),""^-?\d+(\.\d+)?,-?\d+(\.\d+)?$""),VALUE(REGEXEXTRACT(SUBSTITUTE(F1562,"" "",""""),""^-?\d+(\.\d+)?""))&gt;=-90,VALUE(REGEXEXTRACT(SUBSTITUTE(F1562,"" "",""""),""^-?\d+(\.\d+)?""))&lt;=90,VALUE(REGEXEXT"&amp;"RACT(SUBSTITUTE(F1562,"" "",""""),""-?\d+(\.\d+)?$""))&gt;=-180,VALUE(REGEXEXTRACT(SUBSTITUTE(F1562,"" "",""""),""-?\d+(\.\d+)?$""))&lt;=180),""OK"",""REVISAR"")"),"#N/A")</f>
        <v>#N/A</v>
      </c>
    </row>
    <row r="1563" ht="15.75" customHeight="1">
      <c r="A1563" s="5" t="str">
        <f t="shared" si="1"/>
        <v>AD507-1561</v>
      </c>
      <c r="C1563" s="5"/>
      <c r="F1563" s="5"/>
      <c r="G1563" s="5" t="str">
        <f t="shared" si="2"/>
        <v/>
      </c>
      <c r="H1563" s="5" t="str">
        <f t="shared" si="3"/>
        <v/>
      </c>
      <c r="I1563" s="5" t="str">
        <f t="shared" si="4"/>
        <v/>
      </c>
      <c r="J1563" s="5" t="str">
        <f t="shared" si="5"/>
        <v/>
      </c>
      <c r="K1563" s="5" t="str">
        <f>IFERROR(__xludf.DUMMYFUNCTION("IF(C1563&lt;&gt;"""",HYPERLINK(""https://wa.me/507""&amp;REGEXREPLACE(C1563,""[^0-9]"","""")&amp;""?text=""&amp;ENCODEURL(""Ya llegue. Codigo: ""&amp;A1563&amp;"". Ubicacion: ""&amp;""https://www.google.com/maps/search/?api=1&amp;query=""&amp;SUBSTITUTE(F1563,"" "","""")),""📲 Avisar al clien"&amp;"te""),"""")"),"")</f>
        <v/>
      </c>
      <c r="L1563" s="5" t="str">
        <f>IFERROR(__xludf.DUMMYFUNCTION("IF(C1563&lt;&gt;"""",""https://api.qrserver.com/v1/create-qr-code/?size=200x200&amp;data=""&amp;ENCODEURL(""https://wa.me/507""&amp;REGEXREPLACE(C1563,""[^0-9]"","""")&amp;""?text=""&amp;ENCODEURL(""Ya llegue. Codigo: ""&amp;A1563&amp;"". Ubicacion: ""&amp;""https://www.google.com/maps/search"&amp;"/?api=1&amp;query=""&amp;SUBSTITUTE(F1563,"" "",""""))),"""")"),"")</f>
        <v/>
      </c>
      <c r="M1563" s="5" t="str">
        <f t="shared" si="6"/>
        <v/>
      </c>
      <c r="N1563" s="5" t="str">
        <f>IFERROR(__xludf.DUMMYFUNCTION("IF(AND(F1563&lt;&gt;"""",REGEXMATCH(SUBSTITUTE(F1563,"" "",""""),""^-?\d+(\.\d+)?,-?\d+(\.\d+)?$""),VALUE(REGEXEXTRACT(SUBSTITUTE(F1563,"" "",""""),""^-?\d+(\.\d+)?""))&gt;=-90,VALUE(REGEXEXTRACT(SUBSTITUTE(F1563,"" "",""""),""^-?\d+(\.\d+)?""))&lt;=90,VALUE(REGEXEXT"&amp;"RACT(SUBSTITUTE(F1563,"" "",""""),""-?\d+(\.\d+)?$""))&gt;=-180,VALUE(REGEXEXTRACT(SUBSTITUTE(F1563,"" "",""""),""-?\d+(\.\d+)?$""))&lt;=180),""OK"",""REVISAR"")"),"#N/A")</f>
        <v>#N/A</v>
      </c>
    </row>
    <row r="1564" ht="15.75" customHeight="1">
      <c r="A1564" s="5" t="str">
        <f t="shared" si="1"/>
        <v>AD507-1562</v>
      </c>
      <c r="C1564" s="5"/>
      <c r="F1564" s="5"/>
      <c r="G1564" s="5" t="str">
        <f t="shared" si="2"/>
        <v/>
      </c>
      <c r="H1564" s="5" t="str">
        <f t="shared" si="3"/>
        <v/>
      </c>
      <c r="I1564" s="5" t="str">
        <f t="shared" si="4"/>
        <v/>
      </c>
      <c r="J1564" s="5" t="str">
        <f t="shared" si="5"/>
        <v/>
      </c>
      <c r="K1564" s="5" t="str">
        <f>IFERROR(__xludf.DUMMYFUNCTION("IF(C1564&lt;&gt;"""",HYPERLINK(""https://wa.me/507""&amp;REGEXREPLACE(C1564,""[^0-9]"","""")&amp;""?text=""&amp;ENCODEURL(""Ya llegue. Codigo: ""&amp;A1564&amp;"". Ubicacion: ""&amp;""https://www.google.com/maps/search/?api=1&amp;query=""&amp;SUBSTITUTE(F1564,"" "","""")),""📲 Avisar al clien"&amp;"te""),"""")"),"")</f>
        <v/>
      </c>
      <c r="L1564" s="5" t="str">
        <f>IFERROR(__xludf.DUMMYFUNCTION("IF(C1564&lt;&gt;"""",""https://api.qrserver.com/v1/create-qr-code/?size=200x200&amp;data=""&amp;ENCODEURL(""https://wa.me/507""&amp;REGEXREPLACE(C1564,""[^0-9]"","""")&amp;""?text=""&amp;ENCODEURL(""Ya llegue. Codigo: ""&amp;A1564&amp;"". Ubicacion: ""&amp;""https://www.google.com/maps/search"&amp;"/?api=1&amp;query=""&amp;SUBSTITUTE(F1564,"" "",""""))),"""")"),"")</f>
        <v/>
      </c>
      <c r="M1564" s="5" t="str">
        <f t="shared" si="6"/>
        <v/>
      </c>
      <c r="N1564" s="5" t="str">
        <f>IFERROR(__xludf.DUMMYFUNCTION("IF(AND(F1564&lt;&gt;"""",REGEXMATCH(SUBSTITUTE(F1564,"" "",""""),""^-?\d+(\.\d+)?,-?\d+(\.\d+)?$""),VALUE(REGEXEXTRACT(SUBSTITUTE(F1564,"" "",""""),""^-?\d+(\.\d+)?""))&gt;=-90,VALUE(REGEXEXTRACT(SUBSTITUTE(F1564,"" "",""""),""^-?\d+(\.\d+)?""))&lt;=90,VALUE(REGEXEXT"&amp;"RACT(SUBSTITUTE(F1564,"" "",""""),""-?\d+(\.\d+)?$""))&gt;=-180,VALUE(REGEXEXTRACT(SUBSTITUTE(F1564,"" "",""""),""-?\d+(\.\d+)?$""))&lt;=180),""OK"",""REVISAR"")"),"#N/A")</f>
        <v>#N/A</v>
      </c>
    </row>
    <row r="1565" ht="15.75" customHeight="1">
      <c r="A1565" s="5" t="str">
        <f t="shared" si="1"/>
        <v>AD507-1563</v>
      </c>
      <c r="C1565" s="5"/>
      <c r="F1565" s="5"/>
      <c r="G1565" s="5" t="str">
        <f t="shared" si="2"/>
        <v/>
      </c>
      <c r="H1565" s="5" t="str">
        <f t="shared" si="3"/>
        <v/>
      </c>
      <c r="I1565" s="5" t="str">
        <f t="shared" si="4"/>
        <v/>
      </c>
      <c r="J1565" s="5" t="str">
        <f t="shared" si="5"/>
        <v/>
      </c>
      <c r="K1565" s="5" t="str">
        <f>IFERROR(__xludf.DUMMYFUNCTION("IF(C1565&lt;&gt;"""",HYPERLINK(""https://wa.me/507""&amp;REGEXREPLACE(C1565,""[^0-9]"","""")&amp;""?text=""&amp;ENCODEURL(""Ya llegue. Codigo: ""&amp;A1565&amp;"". Ubicacion: ""&amp;""https://www.google.com/maps/search/?api=1&amp;query=""&amp;SUBSTITUTE(F1565,"" "","""")),""📲 Avisar al clien"&amp;"te""),"""")"),"")</f>
        <v/>
      </c>
      <c r="L1565" s="5" t="str">
        <f>IFERROR(__xludf.DUMMYFUNCTION("IF(C1565&lt;&gt;"""",""https://api.qrserver.com/v1/create-qr-code/?size=200x200&amp;data=""&amp;ENCODEURL(""https://wa.me/507""&amp;REGEXREPLACE(C1565,""[^0-9]"","""")&amp;""?text=""&amp;ENCODEURL(""Ya llegue. Codigo: ""&amp;A1565&amp;"". Ubicacion: ""&amp;""https://www.google.com/maps/search"&amp;"/?api=1&amp;query=""&amp;SUBSTITUTE(F1565,"" "",""""))),"""")"),"")</f>
        <v/>
      </c>
      <c r="M1565" s="5" t="str">
        <f t="shared" si="6"/>
        <v/>
      </c>
      <c r="N1565" s="5" t="str">
        <f>IFERROR(__xludf.DUMMYFUNCTION("IF(AND(F1565&lt;&gt;"""",REGEXMATCH(SUBSTITUTE(F1565,"" "",""""),""^-?\d+(\.\d+)?,-?\d+(\.\d+)?$""),VALUE(REGEXEXTRACT(SUBSTITUTE(F1565,"" "",""""),""^-?\d+(\.\d+)?""))&gt;=-90,VALUE(REGEXEXTRACT(SUBSTITUTE(F1565,"" "",""""),""^-?\d+(\.\d+)?""))&lt;=90,VALUE(REGEXEXT"&amp;"RACT(SUBSTITUTE(F1565,"" "",""""),""-?\d+(\.\d+)?$""))&gt;=-180,VALUE(REGEXEXTRACT(SUBSTITUTE(F1565,"" "",""""),""-?\d+(\.\d+)?$""))&lt;=180),""OK"",""REVISAR"")"),"#N/A")</f>
        <v>#N/A</v>
      </c>
    </row>
    <row r="1566" ht="15.75" customHeight="1">
      <c r="A1566" s="5" t="str">
        <f t="shared" si="1"/>
        <v>AD507-1564</v>
      </c>
      <c r="C1566" s="5"/>
      <c r="F1566" s="5"/>
      <c r="G1566" s="5" t="str">
        <f t="shared" si="2"/>
        <v/>
      </c>
      <c r="H1566" s="5" t="str">
        <f t="shared" si="3"/>
        <v/>
      </c>
      <c r="I1566" s="5" t="str">
        <f t="shared" si="4"/>
        <v/>
      </c>
      <c r="J1566" s="5" t="str">
        <f t="shared" si="5"/>
        <v/>
      </c>
      <c r="K1566" s="5" t="str">
        <f>IFERROR(__xludf.DUMMYFUNCTION("IF(C1566&lt;&gt;"""",HYPERLINK(""https://wa.me/507""&amp;REGEXREPLACE(C1566,""[^0-9]"","""")&amp;""?text=""&amp;ENCODEURL(""Ya llegue. Codigo: ""&amp;A1566&amp;"". Ubicacion: ""&amp;""https://www.google.com/maps/search/?api=1&amp;query=""&amp;SUBSTITUTE(F1566,"" "","""")),""📲 Avisar al clien"&amp;"te""),"""")"),"")</f>
        <v/>
      </c>
      <c r="L1566" s="5" t="str">
        <f>IFERROR(__xludf.DUMMYFUNCTION("IF(C1566&lt;&gt;"""",""https://api.qrserver.com/v1/create-qr-code/?size=200x200&amp;data=""&amp;ENCODEURL(""https://wa.me/507""&amp;REGEXREPLACE(C1566,""[^0-9]"","""")&amp;""?text=""&amp;ENCODEURL(""Ya llegue. Codigo: ""&amp;A1566&amp;"". Ubicacion: ""&amp;""https://www.google.com/maps/search"&amp;"/?api=1&amp;query=""&amp;SUBSTITUTE(F1566,"" "",""""))),"""")"),"")</f>
        <v/>
      </c>
      <c r="M1566" s="5" t="str">
        <f t="shared" si="6"/>
        <v/>
      </c>
      <c r="N1566" s="5" t="str">
        <f>IFERROR(__xludf.DUMMYFUNCTION("IF(AND(F1566&lt;&gt;"""",REGEXMATCH(SUBSTITUTE(F1566,"" "",""""),""^-?\d+(\.\d+)?,-?\d+(\.\d+)?$""),VALUE(REGEXEXTRACT(SUBSTITUTE(F1566,"" "",""""),""^-?\d+(\.\d+)?""))&gt;=-90,VALUE(REGEXEXTRACT(SUBSTITUTE(F1566,"" "",""""),""^-?\d+(\.\d+)?""))&lt;=90,VALUE(REGEXEXT"&amp;"RACT(SUBSTITUTE(F1566,"" "",""""),""-?\d+(\.\d+)?$""))&gt;=-180,VALUE(REGEXEXTRACT(SUBSTITUTE(F1566,"" "",""""),""-?\d+(\.\d+)?$""))&lt;=180),""OK"",""REVISAR"")"),"#N/A")</f>
        <v>#N/A</v>
      </c>
    </row>
    <row r="1567" ht="15.75" customHeight="1">
      <c r="A1567" s="5" t="str">
        <f t="shared" si="1"/>
        <v>AD507-1565</v>
      </c>
      <c r="C1567" s="5"/>
      <c r="F1567" s="5"/>
      <c r="G1567" s="5" t="str">
        <f t="shared" si="2"/>
        <v/>
      </c>
      <c r="H1567" s="5" t="str">
        <f t="shared" si="3"/>
        <v/>
      </c>
      <c r="I1567" s="5" t="str">
        <f t="shared" si="4"/>
        <v/>
      </c>
      <c r="J1567" s="5" t="str">
        <f t="shared" si="5"/>
        <v/>
      </c>
      <c r="K1567" s="5" t="str">
        <f>IFERROR(__xludf.DUMMYFUNCTION("IF(C1567&lt;&gt;"""",HYPERLINK(""https://wa.me/507""&amp;REGEXREPLACE(C1567,""[^0-9]"","""")&amp;""?text=""&amp;ENCODEURL(""Ya llegue. Codigo: ""&amp;A1567&amp;"". Ubicacion: ""&amp;""https://www.google.com/maps/search/?api=1&amp;query=""&amp;SUBSTITUTE(F1567,"" "","""")),""📲 Avisar al clien"&amp;"te""),"""")"),"")</f>
        <v/>
      </c>
      <c r="L1567" s="5" t="str">
        <f>IFERROR(__xludf.DUMMYFUNCTION("IF(C1567&lt;&gt;"""",""https://api.qrserver.com/v1/create-qr-code/?size=200x200&amp;data=""&amp;ENCODEURL(""https://wa.me/507""&amp;REGEXREPLACE(C1567,""[^0-9]"","""")&amp;""?text=""&amp;ENCODEURL(""Ya llegue. Codigo: ""&amp;A1567&amp;"". Ubicacion: ""&amp;""https://www.google.com/maps/search"&amp;"/?api=1&amp;query=""&amp;SUBSTITUTE(F1567,"" "",""""))),"""")"),"")</f>
        <v/>
      </c>
      <c r="M1567" s="5" t="str">
        <f t="shared" si="6"/>
        <v/>
      </c>
      <c r="N1567" s="5" t="str">
        <f>IFERROR(__xludf.DUMMYFUNCTION("IF(AND(F1567&lt;&gt;"""",REGEXMATCH(SUBSTITUTE(F1567,"" "",""""),""^-?\d+(\.\d+)?,-?\d+(\.\d+)?$""),VALUE(REGEXEXTRACT(SUBSTITUTE(F1567,"" "",""""),""^-?\d+(\.\d+)?""))&gt;=-90,VALUE(REGEXEXTRACT(SUBSTITUTE(F1567,"" "",""""),""^-?\d+(\.\d+)?""))&lt;=90,VALUE(REGEXEXT"&amp;"RACT(SUBSTITUTE(F1567,"" "",""""),""-?\d+(\.\d+)?$""))&gt;=-180,VALUE(REGEXEXTRACT(SUBSTITUTE(F1567,"" "",""""),""-?\d+(\.\d+)?$""))&lt;=180),""OK"",""REVISAR"")"),"#N/A")</f>
        <v>#N/A</v>
      </c>
    </row>
    <row r="1568" ht="15.75" customHeight="1">
      <c r="A1568" s="5" t="str">
        <f t="shared" si="1"/>
        <v>AD507-1566</v>
      </c>
      <c r="C1568" s="5"/>
      <c r="F1568" s="5"/>
      <c r="G1568" s="5" t="str">
        <f t="shared" si="2"/>
        <v/>
      </c>
      <c r="H1568" s="5" t="str">
        <f t="shared" si="3"/>
        <v/>
      </c>
      <c r="I1568" s="5" t="str">
        <f t="shared" si="4"/>
        <v/>
      </c>
      <c r="J1568" s="5" t="str">
        <f t="shared" si="5"/>
        <v/>
      </c>
      <c r="K1568" s="5" t="str">
        <f>IFERROR(__xludf.DUMMYFUNCTION("IF(C1568&lt;&gt;"""",HYPERLINK(""https://wa.me/507""&amp;REGEXREPLACE(C1568,""[^0-9]"","""")&amp;""?text=""&amp;ENCODEURL(""Ya llegue. Codigo: ""&amp;A1568&amp;"". Ubicacion: ""&amp;""https://www.google.com/maps/search/?api=1&amp;query=""&amp;SUBSTITUTE(F1568,"" "","""")),""📲 Avisar al clien"&amp;"te""),"""")"),"")</f>
        <v/>
      </c>
      <c r="L1568" s="5" t="str">
        <f>IFERROR(__xludf.DUMMYFUNCTION("IF(C1568&lt;&gt;"""",""https://api.qrserver.com/v1/create-qr-code/?size=200x200&amp;data=""&amp;ENCODEURL(""https://wa.me/507""&amp;REGEXREPLACE(C1568,""[^0-9]"","""")&amp;""?text=""&amp;ENCODEURL(""Ya llegue. Codigo: ""&amp;A1568&amp;"". Ubicacion: ""&amp;""https://www.google.com/maps/search"&amp;"/?api=1&amp;query=""&amp;SUBSTITUTE(F1568,"" "",""""))),"""")"),"")</f>
        <v/>
      </c>
      <c r="M1568" s="5" t="str">
        <f t="shared" si="6"/>
        <v/>
      </c>
      <c r="N1568" s="5" t="str">
        <f>IFERROR(__xludf.DUMMYFUNCTION("IF(AND(F1568&lt;&gt;"""",REGEXMATCH(SUBSTITUTE(F1568,"" "",""""),""^-?\d+(\.\d+)?,-?\d+(\.\d+)?$""),VALUE(REGEXEXTRACT(SUBSTITUTE(F1568,"" "",""""),""^-?\d+(\.\d+)?""))&gt;=-90,VALUE(REGEXEXTRACT(SUBSTITUTE(F1568,"" "",""""),""^-?\d+(\.\d+)?""))&lt;=90,VALUE(REGEXEXT"&amp;"RACT(SUBSTITUTE(F1568,"" "",""""),""-?\d+(\.\d+)?$""))&gt;=-180,VALUE(REGEXEXTRACT(SUBSTITUTE(F1568,"" "",""""),""-?\d+(\.\d+)?$""))&lt;=180),""OK"",""REVISAR"")"),"#N/A")</f>
        <v>#N/A</v>
      </c>
    </row>
    <row r="1569" ht="15.75" customHeight="1">
      <c r="A1569" s="5" t="str">
        <f t="shared" si="1"/>
        <v>AD507-1567</v>
      </c>
      <c r="C1569" s="5"/>
      <c r="F1569" s="5"/>
      <c r="G1569" s="5" t="str">
        <f t="shared" si="2"/>
        <v/>
      </c>
      <c r="H1569" s="5" t="str">
        <f t="shared" si="3"/>
        <v/>
      </c>
      <c r="I1569" s="5" t="str">
        <f t="shared" si="4"/>
        <v/>
      </c>
      <c r="J1569" s="5" t="str">
        <f t="shared" si="5"/>
        <v/>
      </c>
      <c r="K1569" s="5" t="str">
        <f>IFERROR(__xludf.DUMMYFUNCTION("IF(C1569&lt;&gt;"""",HYPERLINK(""https://wa.me/507""&amp;REGEXREPLACE(C1569,""[^0-9]"","""")&amp;""?text=""&amp;ENCODEURL(""Ya llegue. Codigo: ""&amp;A1569&amp;"". Ubicacion: ""&amp;""https://www.google.com/maps/search/?api=1&amp;query=""&amp;SUBSTITUTE(F1569,"" "","""")),""📲 Avisar al clien"&amp;"te""),"""")"),"")</f>
        <v/>
      </c>
      <c r="L1569" s="5" t="str">
        <f>IFERROR(__xludf.DUMMYFUNCTION("IF(C1569&lt;&gt;"""",""https://api.qrserver.com/v1/create-qr-code/?size=200x200&amp;data=""&amp;ENCODEURL(""https://wa.me/507""&amp;REGEXREPLACE(C1569,""[^0-9]"","""")&amp;""?text=""&amp;ENCODEURL(""Ya llegue. Codigo: ""&amp;A1569&amp;"". Ubicacion: ""&amp;""https://www.google.com/maps/search"&amp;"/?api=1&amp;query=""&amp;SUBSTITUTE(F1569,"" "",""""))),"""")"),"")</f>
        <v/>
      </c>
      <c r="M1569" s="5" t="str">
        <f t="shared" si="6"/>
        <v/>
      </c>
      <c r="N1569" s="5" t="str">
        <f>IFERROR(__xludf.DUMMYFUNCTION("IF(AND(F1569&lt;&gt;"""",REGEXMATCH(SUBSTITUTE(F1569,"" "",""""),""^-?\d+(\.\d+)?,-?\d+(\.\d+)?$""),VALUE(REGEXEXTRACT(SUBSTITUTE(F1569,"" "",""""),""^-?\d+(\.\d+)?""))&gt;=-90,VALUE(REGEXEXTRACT(SUBSTITUTE(F1569,"" "",""""),""^-?\d+(\.\d+)?""))&lt;=90,VALUE(REGEXEXT"&amp;"RACT(SUBSTITUTE(F1569,"" "",""""),""-?\d+(\.\d+)?$""))&gt;=-180,VALUE(REGEXEXTRACT(SUBSTITUTE(F1569,"" "",""""),""-?\d+(\.\d+)?$""))&lt;=180),""OK"",""REVISAR"")"),"#N/A")</f>
        <v>#N/A</v>
      </c>
    </row>
    <row r="1570" ht="15.75" customHeight="1">
      <c r="A1570" s="5" t="str">
        <f t="shared" si="1"/>
        <v>AD507-1568</v>
      </c>
      <c r="C1570" s="5"/>
      <c r="F1570" s="5"/>
      <c r="G1570" s="5" t="str">
        <f t="shared" si="2"/>
        <v/>
      </c>
      <c r="H1570" s="5" t="str">
        <f t="shared" si="3"/>
        <v/>
      </c>
      <c r="I1570" s="5" t="str">
        <f t="shared" si="4"/>
        <v/>
      </c>
      <c r="J1570" s="5" t="str">
        <f t="shared" si="5"/>
        <v/>
      </c>
      <c r="K1570" s="5" t="str">
        <f>IFERROR(__xludf.DUMMYFUNCTION("IF(C1570&lt;&gt;"""",HYPERLINK(""https://wa.me/507""&amp;REGEXREPLACE(C1570,""[^0-9]"","""")&amp;""?text=""&amp;ENCODEURL(""Ya llegue. Codigo: ""&amp;A1570&amp;"". Ubicacion: ""&amp;""https://www.google.com/maps/search/?api=1&amp;query=""&amp;SUBSTITUTE(F1570,"" "","""")),""📲 Avisar al clien"&amp;"te""),"""")"),"")</f>
        <v/>
      </c>
      <c r="L1570" s="5" t="str">
        <f>IFERROR(__xludf.DUMMYFUNCTION("IF(C1570&lt;&gt;"""",""https://api.qrserver.com/v1/create-qr-code/?size=200x200&amp;data=""&amp;ENCODEURL(""https://wa.me/507""&amp;REGEXREPLACE(C1570,""[^0-9]"","""")&amp;""?text=""&amp;ENCODEURL(""Ya llegue. Codigo: ""&amp;A1570&amp;"". Ubicacion: ""&amp;""https://www.google.com/maps/search"&amp;"/?api=1&amp;query=""&amp;SUBSTITUTE(F1570,"" "",""""))),"""")"),"")</f>
        <v/>
      </c>
      <c r="M1570" s="5" t="str">
        <f t="shared" si="6"/>
        <v/>
      </c>
      <c r="N1570" s="5" t="str">
        <f>IFERROR(__xludf.DUMMYFUNCTION("IF(AND(F1570&lt;&gt;"""",REGEXMATCH(SUBSTITUTE(F1570,"" "",""""),""^-?\d+(\.\d+)?,-?\d+(\.\d+)?$""),VALUE(REGEXEXTRACT(SUBSTITUTE(F1570,"" "",""""),""^-?\d+(\.\d+)?""))&gt;=-90,VALUE(REGEXEXTRACT(SUBSTITUTE(F1570,"" "",""""),""^-?\d+(\.\d+)?""))&lt;=90,VALUE(REGEXEXT"&amp;"RACT(SUBSTITUTE(F1570,"" "",""""),""-?\d+(\.\d+)?$""))&gt;=-180,VALUE(REGEXEXTRACT(SUBSTITUTE(F1570,"" "",""""),""-?\d+(\.\d+)?$""))&lt;=180),""OK"",""REVISAR"")"),"#N/A")</f>
        <v>#N/A</v>
      </c>
    </row>
    <row r="1571" ht="15.75" customHeight="1">
      <c r="A1571" s="5" t="str">
        <f t="shared" si="1"/>
        <v>AD507-1569</v>
      </c>
      <c r="C1571" s="5"/>
      <c r="F1571" s="5"/>
      <c r="G1571" s="5" t="str">
        <f t="shared" si="2"/>
        <v/>
      </c>
      <c r="H1571" s="5" t="str">
        <f t="shared" si="3"/>
        <v/>
      </c>
      <c r="I1571" s="5" t="str">
        <f t="shared" si="4"/>
        <v/>
      </c>
      <c r="J1571" s="5" t="str">
        <f t="shared" si="5"/>
        <v/>
      </c>
      <c r="K1571" s="5" t="str">
        <f>IFERROR(__xludf.DUMMYFUNCTION("IF(C1571&lt;&gt;"""",HYPERLINK(""https://wa.me/507""&amp;REGEXREPLACE(C1571,""[^0-9]"","""")&amp;""?text=""&amp;ENCODEURL(""Ya llegue. Codigo: ""&amp;A1571&amp;"". Ubicacion: ""&amp;""https://www.google.com/maps/search/?api=1&amp;query=""&amp;SUBSTITUTE(F1571,"" "","""")),""📲 Avisar al clien"&amp;"te""),"""")"),"")</f>
        <v/>
      </c>
      <c r="L1571" s="5" t="str">
        <f>IFERROR(__xludf.DUMMYFUNCTION("IF(C1571&lt;&gt;"""",""https://api.qrserver.com/v1/create-qr-code/?size=200x200&amp;data=""&amp;ENCODEURL(""https://wa.me/507""&amp;REGEXREPLACE(C1571,""[^0-9]"","""")&amp;""?text=""&amp;ENCODEURL(""Ya llegue. Codigo: ""&amp;A1571&amp;"". Ubicacion: ""&amp;""https://www.google.com/maps/search"&amp;"/?api=1&amp;query=""&amp;SUBSTITUTE(F1571,"" "",""""))),"""")"),"")</f>
        <v/>
      </c>
      <c r="M1571" s="5" t="str">
        <f t="shared" si="6"/>
        <v/>
      </c>
      <c r="N1571" s="5" t="str">
        <f>IFERROR(__xludf.DUMMYFUNCTION("IF(AND(F1571&lt;&gt;"""",REGEXMATCH(SUBSTITUTE(F1571,"" "",""""),""^-?\d+(\.\d+)?,-?\d+(\.\d+)?$""),VALUE(REGEXEXTRACT(SUBSTITUTE(F1571,"" "",""""),""^-?\d+(\.\d+)?""))&gt;=-90,VALUE(REGEXEXTRACT(SUBSTITUTE(F1571,"" "",""""),""^-?\d+(\.\d+)?""))&lt;=90,VALUE(REGEXEXT"&amp;"RACT(SUBSTITUTE(F1571,"" "",""""),""-?\d+(\.\d+)?$""))&gt;=-180,VALUE(REGEXEXTRACT(SUBSTITUTE(F1571,"" "",""""),""-?\d+(\.\d+)?$""))&lt;=180),""OK"",""REVISAR"")"),"#N/A")</f>
        <v>#N/A</v>
      </c>
    </row>
    <row r="1572" ht="15.75" customHeight="1">
      <c r="A1572" s="5" t="str">
        <f t="shared" si="1"/>
        <v>AD507-1570</v>
      </c>
      <c r="C1572" s="5"/>
      <c r="F1572" s="5"/>
      <c r="G1572" s="5" t="str">
        <f t="shared" si="2"/>
        <v/>
      </c>
      <c r="H1572" s="5" t="str">
        <f t="shared" si="3"/>
        <v/>
      </c>
      <c r="I1572" s="5" t="str">
        <f t="shared" si="4"/>
        <v/>
      </c>
      <c r="J1572" s="5" t="str">
        <f t="shared" si="5"/>
        <v/>
      </c>
      <c r="K1572" s="5" t="str">
        <f>IFERROR(__xludf.DUMMYFUNCTION("IF(C1572&lt;&gt;"""",HYPERLINK(""https://wa.me/507""&amp;REGEXREPLACE(C1572,""[^0-9]"","""")&amp;""?text=""&amp;ENCODEURL(""Ya llegue. Codigo: ""&amp;A1572&amp;"". Ubicacion: ""&amp;""https://www.google.com/maps/search/?api=1&amp;query=""&amp;SUBSTITUTE(F1572,"" "","""")),""📲 Avisar al clien"&amp;"te""),"""")"),"")</f>
        <v/>
      </c>
      <c r="L1572" s="5" t="str">
        <f>IFERROR(__xludf.DUMMYFUNCTION("IF(C1572&lt;&gt;"""",""https://api.qrserver.com/v1/create-qr-code/?size=200x200&amp;data=""&amp;ENCODEURL(""https://wa.me/507""&amp;REGEXREPLACE(C1572,""[^0-9]"","""")&amp;""?text=""&amp;ENCODEURL(""Ya llegue. Codigo: ""&amp;A1572&amp;"". Ubicacion: ""&amp;""https://www.google.com/maps/search"&amp;"/?api=1&amp;query=""&amp;SUBSTITUTE(F1572,"" "",""""))),"""")"),"")</f>
        <v/>
      </c>
      <c r="M1572" s="5" t="str">
        <f t="shared" si="6"/>
        <v/>
      </c>
      <c r="N1572" s="5" t="str">
        <f>IFERROR(__xludf.DUMMYFUNCTION("IF(AND(F1572&lt;&gt;"""",REGEXMATCH(SUBSTITUTE(F1572,"" "",""""),""^-?\d+(\.\d+)?,-?\d+(\.\d+)?$""),VALUE(REGEXEXTRACT(SUBSTITUTE(F1572,"" "",""""),""^-?\d+(\.\d+)?""))&gt;=-90,VALUE(REGEXEXTRACT(SUBSTITUTE(F1572,"" "",""""),""^-?\d+(\.\d+)?""))&lt;=90,VALUE(REGEXEXT"&amp;"RACT(SUBSTITUTE(F1572,"" "",""""),""-?\d+(\.\d+)?$""))&gt;=-180,VALUE(REGEXEXTRACT(SUBSTITUTE(F1572,"" "",""""),""-?\d+(\.\d+)?$""))&lt;=180),""OK"",""REVISAR"")"),"#N/A")</f>
        <v>#N/A</v>
      </c>
    </row>
    <row r="1573" ht="15.75" customHeight="1">
      <c r="A1573" s="5" t="str">
        <f t="shared" si="1"/>
        <v>AD507-1571</v>
      </c>
      <c r="C1573" s="5"/>
      <c r="F1573" s="5"/>
      <c r="G1573" s="5" t="str">
        <f t="shared" si="2"/>
        <v/>
      </c>
      <c r="H1573" s="5" t="str">
        <f t="shared" si="3"/>
        <v/>
      </c>
      <c r="I1573" s="5" t="str">
        <f t="shared" si="4"/>
        <v/>
      </c>
      <c r="J1573" s="5" t="str">
        <f t="shared" si="5"/>
        <v/>
      </c>
      <c r="K1573" s="5" t="str">
        <f>IFERROR(__xludf.DUMMYFUNCTION("IF(C1573&lt;&gt;"""",HYPERLINK(""https://wa.me/507""&amp;REGEXREPLACE(C1573,""[^0-9]"","""")&amp;""?text=""&amp;ENCODEURL(""Ya llegue. Codigo: ""&amp;A1573&amp;"". Ubicacion: ""&amp;""https://www.google.com/maps/search/?api=1&amp;query=""&amp;SUBSTITUTE(F1573,"" "","""")),""📲 Avisar al clien"&amp;"te""),"""")"),"")</f>
        <v/>
      </c>
      <c r="L1573" s="5" t="str">
        <f>IFERROR(__xludf.DUMMYFUNCTION("IF(C1573&lt;&gt;"""",""https://api.qrserver.com/v1/create-qr-code/?size=200x200&amp;data=""&amp;ENCODEURL(""https://wa.me/507""&amp;REGEXREPLACE(C1573,""[^0-9]"","""")&amp;""?text=""&amp;ENCODEURL(""Ya llegue. Codigo: ""&amp;A1573&amp;"". Ubicacion: ""&amp;""https://www.google.com/maps/search"&amp;"/?api=1&amp;query=""&amp;SUBSTITUTE(F1573,"" "",""""))),"""")"),"")</f>
        <v/>
      </c>
      <c r="M1573" s="5" t="str">
        <f t="shared" si="6"/>
        <v/>
      </c>
      <c r="N1573" s="5" t="str">
        <f>IFERROR(__xludf.DUMMYFUNCTION("IF(AND(F1573&lt;&gt;"""",REGEXMATCH(SUBSTITUTE(F1573,"" "",""""),""^-?\d+(\.\d+)?,-?\d+(\.\d+)?$""),VALUE(REGEXEXTRACT(SUBSTITUTE(F1573,"" "",""""),""^-?\d+(\.\d+)?""))&gt;=-90,VALUE(REGEXEXTRACT(SUBSTITUTE(F1573,"" "",""""),""^-?\d+(\.\d+)?""))&lt;=90,VALUE(REGEXEXT"&amp;"RACT(SUBSTITUTE(F1573,"" "",""""),""-?\d+(\.\d+)?$""))&gt;=-180,VALUE(REGEXEXTRACT(SUBSTITUTE(F1573,"" "",""""),""-?\d+(\.\d+)?$""))&lt;=180),""OK"",""REVISAR"")"),"#N/A")</f>
        <v>#N/A</v>
      </c>
    </row>
    <row r="1574" ht="15.75" customHeight="1">
      <c r="A1574" s="5" t="str">
        <f t="shared" si="1"/>
        <v>AD507-1572</v>
      </c>
      <c r="C1574" s="5"/>
      <c r="F1574" s="5"/>
      <c r="G1574" s="5" t="str">
        <f t="shared" si="2"/>
        <v/>
      </c>
      <c r="H1574" s="5" t="str">
        <f t="shared" si="3"/>
        <v/>
      </c>
      <c r="I1574" s="5" t="str">
        <f t="shared" si="4"/>
        <v/>
      </c>
      <c r="J1574" s="5" t="str">
        <f t="shared" si="5"/>
        <v/>
      </c>
      <c r="K1574" s="5" t="str">
        <f>IFERROR(__xludf.DUMMYFUNCTION("IF(C1574&lt;&gt;"""",HYPERLINK(""https://wa.me/507""&amp;REGEXREPLACE(C1574,""[^0-9]"","""")&amp;""?text=""&amp;ENCODEURL(""Ya llegue. Codigo: ""&amp;A1574&amp;"". Ubicacion: ""&amp;""https://www.google.com/maps/search/?api=1&amp;query=""&amp;SUBSTITUTE(F1574,"" "","""")),""📲 Avisar al clien"&amp;"te""),"""")"),"")</f>
        <v/>
      </c>
      <c r="L1574" s="5" t="str">
        <f>IFERROR(__xludf.DUMMYFUNCTION("IF(C1574&lt;&gt;"""",""https://api.qrserver.com/v1/create-qr-code/?size=200x200&amp;data=""&amp;ENCODEURL(""https://wa.me/507""&amp;REGEXREPLACE(C1574,""[^0-9]"","""")&amp;""?text=""&amp;ENCODEURL(""Ya llegue. Codigo: ""&amp;A1574&amp;"". Ubicacion: ""&amp;""https://www.google.com/maps/search"&amp;"/?api=1&amp;query=""&amp;SUBSTITUTE(F1574,"" "",""""))),"""")"),"")</f>
        <v/>
      </c>
      <c r="M1574" s="5" t="str">
        <f t="shared" si="6"/>
        <v/>
      </c>
      <c r="N1574" s="5" t="str">
        <f>IFERROR(__xludf.DUMMYFUNCTION("IF(AND(F1574&lt;&gt;"""",REGEXMATCH(SUBSTITUTE(F1574,"" "",""""),""^-?\d+(\.\d+)?,-?\d+(\.\d+)?$""),VALUE(REGEXEXTRACT(SUBSTITUTE(F1574,"" "",""""),""^-?\d+(\.\d+)?""))&gt;=-90,VALUE(REGEXEXTRACT(SUBSTITUTE(F1574,"" "",""""),""^-?\d+(\.\d+)?""))&lt;=90,VALUE(REGEXEXT"&amp;"RACT(SUBSTITUTE(F1574,"" "",""""),""-?\d+(\.\d+)?$""))&gt;=-180,VALUE(REGEXEXTRACT(SUBSTITUTE(F1574,"" "",""""),""-?\d+(\.\d+)?$""))&lt;=180),""OK"",""REVISAR"")"),"#N/A")</f>
        <v>#N/A</v>
      </c>
    </row>
    <row r="1575" ht="15.75" customHeight="1">
      <c r="A1575" s="5" t="str">
        <f t="shared" si="1"/>
        <v>AD507-1573</v>
      </c>
      <c r="C1575" s="5"/>
      <c r="F1575" s="5"/>
      <c r="G1575" s="5" t="str">
        <f t="shared" si="2"/>
        <v/>
      </c>
      <c r="H1575" s="5" t="str">
        <f t="shared" si="3"/>
        <v/>
      </c>
      <c r="I1575" s="5" t="str">
        <f t="shared" si="4"/>
        <v/>
      </c>
      <c r="J1575" s="5" t="str">
        <f t="shared" si="5"/>
        <v/>
      </c>
      <c r="K1575" s="5" t="str">
        <f>IFERROR(__xludf.DUMMYFUNCTION("IF(C1575&lt;&gt;"""",HYPERLINK(""https://wa.me/507""&amp;REGEXREPLACE(C1575,""[^0-9]"","""")&amp;""?text=""&amp;ENCODEURL(""Ya llegue. Codigo: ""&amp;A1575&amp;"". Ubicacion: ""&amp;""https://www.google.com/maps/search/?api=1&amp;query=""&amp;SUBSTITUTE(F1575,"" "","""")),""📲 Avisar al clien"&amp;"te""),"""")"),"")</f>
        <v/>
      </c>
      <c r="L1575" s="5" t="str">
        <f>IFERROR(__xludf.DUMMYFUNCTION("IF(C1575&lt;&gt;"""",""https://api.qrserver.com/v1/create-qr-code/?size=200x200&amp;data=""&amp;ENCODEURL(""https://wa.me/507""&amp;REGEXREPLACE(C1575,""[^0-9]"","""")&amp;""?text=""&amp;ENCODEURL(""Ya llegue. Codigo: ""&amp;A1575&amp;"". Ubicacion: ""&amp;""https://www.google.com/maps/search"&amp;"/?api=1&amp;query=""&amp;SUBSTITUTE(F1575,"" "",""""))),"""")"),"")</f>
        <v/>
      </c>
      <c r="M1575" s="5" t="str">
        <f t="shared" si="6"/>
        <v/>
      </c>
      <c r="N1575" s="5" t="str">
        <f>IFERROR(__xludf.DUMMYFUNCTION("IF(AND(F1575&lt;&gt;"""",REGEXMATCH(SUBSTITUTE(F1575,"" "",""""),""^-?\d+(\.\d+)?,-?\d+(\.\d+)?$""),VALUE(REGEXEXTRACT(SUBSTITUTE(F1575,"" "",""""),""^-?\d+(\.\d+)?""))&gt;=-90,VALUE(REGEXEXTRACT(SUBSTITUTE(F1575,"" "",""""),""^-?\d+(\.\d+)?""))&lt;=90,VALUE(REGEXEXT"&amp;"RACT(SUBSTITUTE(F1575,"" "",""""),""-?\d+(\.\d+)?$""))&gt;=-180,VALUE(REGEXEXTRACT(SUBSTITUTE(F1575,"" "",""""),""-?\d+(\.\d+)?$""))&lt;=180),""OK"",""REVISAR"")"),"#N/A")</f>
        <v>#N/A</v>
      </c>
    </row>
    <row r="1576" ht="15.75" customHeight="1">
      <c r="A1576" s="5" t="str">
        <f t="shared" si="1"/>
        <v>AD507-1574</v>
      </c>
      <c r="C1576" s="5"/>
      <c r="F1576" s="5"/>
      <c r="G1576" s="5" t="str">
        <f t="shared" si="2"/>
        <v/>
      </c>
      <c r="H1576" s="5" t="str">
        <f t="shared" si="3"/>
        <v/>
      </c>
      <c r="I1576" s="5" t="str">
        <f t="shared" si="4"/>
        <v/>
      </c>
      <c r="J1576" s="5" t="str">
        <f t="shared" si="5"/>
        <v/>
      </c>
      <c r="K1576" s="5" t="str">
        <f>IFERROR(__xludf.DUMMYFUNCTION("IF(C1576&lt;&gt;"""",HYPERLINK(""https://wa.me/507""&amp;REGEXREPLACE(C1576,""[^0-9]"","""")&amp;""?text=""&amp;ENCODEURL(""Ya llegue. Codigo: ""&amp;A1576&amp;"". Ubicacion: ""&amp;""https://www.google.com/maps/search/?api=1&amp;query=""&amp;SUBSTITUTE(F1576,"" "","""")),""📲 Avisar al clien"&amp;"te""),"""")"),"")</f>
        <v/>
      </c>
      <c r="L1576" s="5" t="str">
        <f>IFERROR(__xludf.DUMMYFUNCTION("IF(C1576&lt;&gt;"""",""https://api.qrserver.com/v1/create-qr-code/?size=200x200&amp;data=""&amp;ENCODEURL(""https://wa.me/507""&amp;REGEXREPLACE(C1576,""[^0-9]"","""")&amp;""?text=""&amp;ENCODEURL(""Ya llegue. Codigo: ""&amp;A1576&amp;"". Ubicacion: ""&amp;""https://www.google.com/maps/search"&amp;"/?api=1&amp;query=""&amp;SUBSTITUTE(F1576,"" "",""""))),"""")"),"")</f>
        <v/>
      </c>
      <c r="M1576" s="5" t="str">
        <f t="shared" si="6"/>
        <v/>
      </c>
      <c r="N1576" s="5" t="str">
        <f>IFERROR(__xludf.DUMMYFUNCTION("IF(AND(F1576&lt;&gt;"""",REGEXMATCH(SUBSTITUTE(F1576,"" "",""""),""^-?\d+(\.\d+)?,-?\d+(\.\d+)?$""),VALUE(REGEXEXTRACT(SUBSTITUTE(F1576,"" "",""""),""^-?\d+(\.\d+)?""))&gt;=-90,VALUE(REGEXEXTRACT(SUBSTITUTE(F1576,"" "",""""),""^-?\d+(\.\d+)?""))&lt;=90,VALUE(REGEXEXT"&amp;"RACT(SUBSTITUTE(F1576,"" "",""""),""-?\d+(\.\d+)?$""))&gt;=-180,VALUE(REGEXEXTRACT(SUBSTITUTE(F1576,"" "",""""),""-?\d+(\.\d+)?$""))&lt;=180),""OK"",""REVISAR"")"),"#N/A")</f>
        <v>#N/A</v>
      </c>
    </row>
    <row r="1577" ht="15.75" customHeight="1">
      <c r="A1577" s="5" t="str">
        <f t="shared" si="1"/>
        <v>AD507-1575</v>
      </c>
      <c r="C1577" s="5"/>
      <c r="F1577" s="5"/>
      <c r="G1577" s="5" t="str">
        <f t="shared" si="2"/>
        <v/>
      </c>
      <c r="H1577" s="5" t="str">
        <f t="shared" si="3"/>
        <v/>
      </c>
      <c r="I1577" s="5" t="str">
        <f t="shared" si="4"/>
        <v/>
      </c>
      <c r="J1577" s="5" t="str">
        <f t="shared" si="5"/>
        <v/>
      </c>
      <c r="K1577" s="5" t="str">
        <f>IFERROR(__xludf.DUMMYFUNCTION("IF(C1577&lt;&gt;"""",HYPERLINK(""https://wa.me/507""&amp;REGEXREPLACE(C1577,""[^0-9]"","""")&amp;""?text=""&amp;ENCODEURL(""Ya llegue. Codigo: ""&amp;A1577&amp;"". Ubicacion: ""&amp;""https://www.google.com/maps/search/?api=1&amp;query=""&amp;SUBSTITUTE(F1577,"" "","""")),""📲 Avisar al clien"&amp;"te""),"""")"),"")</f>
        <v/>
      </c>
      <c r="L1577" s="5" t="str">
        <f>IFERROR(__xludf.DUMMYFUNCTION("IF(C1577&lt;&gt;"""",""https://api.qrserver.com/v1/create-qr-code/?size=200x200&amp;data=""&amp;ENCODEURL(""https://wa.me/507""&amp;REGEXREPLACE(C1577,""[^0-9]"","""")&amp;""?text=""&amp;ENCODEURL(""Ya llegue. Codigo: ""&amp;A1577&amp;"". Ubicacion: ""&amp;""https://www.google.com/maps/search"&amp;"/?api=1&amp;query=""&amp;SUBSTITUTE(F1577,"" "",""""))),"""")"),"")</f>
        <v/>
      </c>
      <c r="M1577" s="5" t="str">
        <f t="shared" si="6"/>
        <v/>
      </c>
      <c r="N1577" s="5" t="str">
        <f>IFERROR(__xludf.DUMMYFUNCTION("IF(AND(F1577&lt;&gt;"""",REGEXMATCH(SUBSTITUTE(F1577,"" "",""""),""^-?\d+(\.\d+)?,-?\d+(\.\d+)?$""),VALUE(REGEXEXTRACT(SUBSTITUTE(F1577,"" "",""""),""^-?\d+(\.\d+)?""))&gt;=-90,VALUE(REGEXEXTRACT(SUBSTITUTE(F1577,"" "",""""),""^-?\d+(\.\d+)?""))&lt;=90,VALUE(REGEXEXT"&amp;"RACT(SUBSTITUTE(F1577,"" "",""""),""-?\d+(\.\d+)?$""))&gt;=-180,VALUE(REGEXEXTRACT(SUBSTITUTE(F1577,"" "",""""),""-?\d+(\.\d+)?$""))&lt;=180),""OK"",""REVISAR"")"),"#N/A")</f>
        <v>#N/A</v>
      </c>
    </row>
    <row r="1578" ht="15.75" customHeight="1">
      <c r="A1578" s="5" t="str">
        <f t="shared" si="1"/>
        <v>AD507-1576</v>
      </c>
      <c r="C1578" s="5"/>
      <c r="F1578" s="5"/>
      <c r="G1578" s="5" t="str">
        <f t="shared" si="2"/>
        <v/>
      </c>
      <c r="H1578" s="5" t="str">
        <f t="shared" si="3"/>
        <v/>
      </c>
      <c r="I1578" s="5" t="str">
        <f t="shared" si="4"/>
        <v/>
      </c>
      <c r="J1578" s="5" t="str">
        <f t="shared" si="5"/>
        <v/>
      </c>
      <c r="K1578" s="5" t="str">
        <f>IFERROR(__xludf.DUMMYFUNCTION("IF(C1578&lt;&gt;"""",HYPERLINK(""https://wa.me/507""&amp;REGEXREPLACE(C1578,""[^0-9]"","""")&amp;""?text=""&amp;ENCODEURL(""Ya llegue. Codigo: ""&amp;A1578&amp;"". Ubicacion: ""&amp;""https://www.google.com/maps/search/?api=1&amp;query=""&amp;SUBSTITUTE(F1578,"" "","""")),""📲 Avisar al clien"&amp;"te""),"""")"),"")</f>
        <v/>
      </c>
      <c r="L1578" s="5" t="str">
        <f>IFERROR(__xludf.DUMMYFUNCTION("IF(C1578&lt;&gt;"""",""https://api.qrserver.com/v1/create-qr-code/?size=200x200&amp;data=""&amp;ENCODEURL(""https://wa.me/507""&amp;REGEXREPLACE(C1578,""[^0-9]"","""")&amp;""?text=""&amp;ENCODEURL(""Ya llegue. Codigo: ""&amp;A1578&amp;"". Ubicacion: ""&amp;""https://www.google.com/maps/search"&amp;"/?api=1&amp;query=""&amp;SUBSTITUTE(F1578,"" "",""""))),"""")"),"")</f>
        <v/>
      </c>
      <c r="M1578" s="5" t="str">
        <f t="shared" si="6"/>
        <v/>
      </c>
      <c r="N1578" s="5" t="str">
        <f>IFERROR(__xludf.DUMMYFUNCTION("IF(AND(F1578&lt;&gt;"""",REGEXMATCH(SUBSTITUTE(F1578,"" "",""""),""^-?\d+(\.\d+)?,-?\d+(\.\d+)?$""),VALUE(REGEXEXTRACT(SUBSTITUTE(F1578,"" "",""""),""^-?\d+(\.\d+)?""))&gt;=-90,VALUE(REGEXEXTRACT(SUBSTITUTE(F1578,"" "",""""),""^-?\d+(\.\d+)?""))&lt;=90,VALUE(REGEXEXT"&amp;"RACT(SUBSTITUTE(F1578,"" "",""""),""-?\d+(\.\d+)?$""))&gt;=-180,VALUE(REGEXEXTRACT(SUBSTITUTE(F1578,"" "",""""),""-?\d+(\.\d+)?$""))&lt;=180),""OK"",""REVISAR"")"),"#N/A")</f>
        <v>#N/A</v>
      </c>
    </row>
    <row r="1579" ht="15.75" customHeight="1">
      <c r="A1579" s="5" t="str">
        <f t="shared" si="1"/>
        <v>AD507-1577</v>
      </c>
      <c r="C1579" s="5"/>
      <c r="F1579" s="5"/>
      <c r="G1579" s="5" t="str">
        <f t="shared" si="2"/>
        <v/>
      </c>
      <c r="H1579" s="5" t="str">
        <f t="shared" si="3"/>
        <v/>
      </c>
      <c r="I1579" s="5" t="str">
        <f t="shared" si="4"/>
        <v/>
      </c>
      <c r="J1579" s="5" t="str">
        <f t="shared" si="5"/>
        <v/>
      </c>
      <c r="K1579" s="5" t="str">
        <f>IFERROR(__xludf.DUMMYFUNCTION("IF(C1579&lt;&gt;"""",HYPERLINK(""https://wa.me/507""&amp;REGEXREPLACE(C1579,""[^0-9]"","""")&amp;""?text=""&amp;ENCODEURL(""Ya llegue. Codigo: ""&amp;A1579&amp;"". Ubicacion: ""&amp;""https://www.google.com/maps/search/?api=1&amp;query=""&amp;SUBSTITUTE(F1579,"" "","""")),""📲 Avisar al clien"&amp;"te""),"""")"),"")</f>
        <v/>
      </c>
      <c r="L1579" s="5" t="str">
        <f>IFERROR(__xludf.DUMMYFUNCTION("IF(C1579&lt;&gt;"""",""https://api.qrserver.com/v1/create-qr-code/?size=200x200&amp;data=""&amp;ENCODEURL(""https://wa.me/507""&amp;REGEXREPLACE(C1579,""[^0-9]"","""")&amp;""?text=""&amp;ENCODEURL(""Ya llegue. Codigo: ""&amp;A1579&amp;"". Ubicacion: ""&amp;""https://www.google.com/maps/search"&amp;"/?api=1&amp;query=""&amp;SUBSTITUTE(F1579,"" "",""""))),"""")"),"")</f>
        <v/>
      </c>
      <c r="M1579" s="5" t="str">
        <f t="shared" si="6"/>
        <v/>
      </c>
      <c r="N1579" s="5" t="str">
        <f>IFERROR(__xludf.DUMMYFUNCTION("IF(AND(F1579&lt;&gt;"""",REGEXMATCH(SUBSTITUTE(F1579,"" "",""""),""^-?\d+(\.\d+)?,-?\d+(\.\d+)?$""),VALUE(REGEXEXTRACT(SUBSTITUTE(F1579,"" "",""""),""^-?\d+(\.\d+)?""))&gt;=-90,VALUE(REGEXEXTRACT(SUBSTITUTE(F1579,"" "",""""),""^-?\d+(\.\d+)?""))&lt;=90,VALUE(REGEXEXT"&amp;"RACT(SUBSTITUTE(F1579,"" "",""""),""-?\d+(\.\d+)?$""))&gt;=-180,VALUE(REGEXEXTRACT(SUBSTITUTE(F1579,"" "",""""),""-?\d+(\.\d+)?$""))&lt;=180),""OK"",""REVISAR"")"),"#N/A")</f>
        <v>#N/A</v>
      </c>
    </row>
    <row r="1580" ht="15.75" customHeight="1">
      <c r="A1580" s="5" t="str">
        <f t="shared" si="1"/>
        <v>AD507-1578</v>
      </c>
      <c r="C1580" s="5"/>
      <c r="F1580" s="5"/>
      <c r="G1580" s="5" t="str">
        <f t="shared" si="2"/>
        <v/>
      </c>
      <c r="H1580" s="5" t="str">
        <f t="shared" si="3"/>
        <v/>
      </c>
      <c r="I1580" s="5" t="str">
        <f t="shared" si="4"/>
        <v/>
      </c>
      <c r="J1580" s="5" t="str">
        <f t="shared" si="5"/>
        <v/>
      </c>
      <c r="K1580" s="5" t="str">
        <f>IFERROR(__xludf.DUMMYFUNCTION("IF(C1580&lt;&gt;"""",HYPERLINK(""https://wa.me/507""&amp;REGEXREPLACE(C1580,""[^0-9]"","""")&amp;""?text=""&amp;ENCODEURL(""Ya llegue. Codigo: ""&amp;A1580&amp;"". Ubicacion: ""&amp;""https://www.google.com/maps/search/?api=1&amp;query=""&amp;SUBSTITUTE(F1580,"" "","""")),""📲 Avisar al clien"&amp;"te""),"""")"),"")</f>
        <v/>
      </c>
      <c r="L1580" s="5" t="str">
        <f>IFERROR(__xludf.DUMMYFUNCTION("IF(C1580&lt;&gt;"""",""https://api.qrserver.com/v1/create-qr-code/?size=200x200&amp;data=""&amp;ENCODEURL(""https://wa.me/507""&amp;REGEXREPLACE(C1580,""[^0-9]"","""")&amp;""?text=""&amp;ENCODEURL(""Ya llegue. Codigo: ""&amp;A1580&amp;"". Ubicacion: ""&amp;""https://www.google.com/maps/search"&amp;"/?api=1&amp;query=""&amp;SUBSTITUTE(F1580,"" "",""""))),"""")"),"")</f>
        <v/>
      </c>
      <c r="M1580" s="5" t="str">
        <f t="shared" si="6"/>
        <v/>
      </c>
      <c r="N1580" s="5" t="str">
        <f>IFERROR(__xludf.DUMMYFUNCTION("IF(AND(F1580&lt;&gt;"""",REGEXMATCH(SUBSTITUTE(F1580,"" "",""""),""^-?\d+(\.\d+)?,-?\d+(\.\d+)?$""),VALUE(REGEXEXTRACT(SUBSTITUTE(F1580,"" "",""""),""^-?\d+(\.\d+)?""))&gt;=-90,VALUE(REGEXEXTRACT(SUBSTITUTE(F1580,"" "",""""),""^-?\d+(\.\d+)?""))&lt;=90,VALUE(REGEXEXT"&amp;"RACT(SUBSTITUTE(F1580,"" "",""""),""-?\d+(\.\d+)?$""))&gt;=-180,VALUE(REGEXEXTRACT(SUBSTITUTE(F1580,"" "",""""),""-?\d+(\.\d+)?$""))&lt;=180),""OK"",""REVISAR"")"),"#N/A")</f>
        <v>#N/A</v>
      </c>
    </row>
    <row r="1581" ht="15.75" customHeight="1">
      <c r="A1581" s="5" t="str">
        <f t="shared" si="1"/>
        <v>AD507-1579</v>
      </c>
      <c r="C1581" s="5"/>
      <c r="F1581" s="5"/>
      <c r="G1581" s="5" t="str">
        <f t="shared" si="2"/>
        <v/>
      </c>
      <c r="H1581" s="5" t="str">
        <f t="shared" si="3"/>
        <v/>
      </c>
      <c r="I1581" s="5" t="str">
        <f t="shared" si="4"/>
        <v/>
      </c>
      <c r="J1581" s="5" t="str">
        <f t="shared" si="5"/>
        <v/>
      </c>
      <c r="K1581" s="5" t="str">
        <f>IFERROR(__xludf.DUMMYFUNCTION("IF(C1581&lt;&gt;"""",HYPERLINK(""https://wa.me/507""&amp;REGEXREPLACE(C1581,""[^0-9]"","""")&amp;""?text=""&amp;ENCODEURL(""Ya llegue. Codigo: ""&amp;A1581&amp;"". Ubicacion: ""&amp;""https://www.google.com/maps/search/?api=1&amp;query=""&amp;SUBSTITUTE(F1581,"" "","""")),""📲 Avisar al clien"&amp;"te""),"""")"),"")</f>
        <v/>
      </c>
      <c r="L1581" s="5" t="str">
        <f>IFERROR(__xludf.DUMMYFUNCTION("IF(C1581&lt;&gt;"""",""https://api.qrserver.com/v1/create-qr-code/?size=200x200&amp;data=""&amp;ENCODEURL(""https://wa.me/507""&amp;REGEXREPLACE(C1581,""[^0-9]"","""")&amp;""?text=""&amp;ENCODEURL(""Ya llegue. Codigo: ""&amp;A1581&amp;"". Ubicacion: ""&amp;""https://www.google.com/maps/search"&amp;"/?api=1&amp;query=""&amp;SUBSTITUTE(F1581,"" "",""""))),"""")"),"")</f>
        <v/>
      </c>
      <c r="M1581" s="5" t="str">
        <f t="shared" si="6"/>
        <v/>
      </c>
      <c r="N1581" s="5" t="str">
        <f>IFERROR(__xludf.DUMMYFUNCTION("IF(AND(F1581&lt;&gt;"""",REGEXMATCH(SUBSTITUTE(F1581,"" "",""""),""^-?\d+(\.\d+)?,-?\d+(\.\d+)?$""),VALUE(REGEXEXTRACT(SUBSTITUTE(F1581,"" "",""""),""^-?\d+(\.\d+)?""))&gt;=-90,VALUE(REGEXEXTRACT(SUBSTITUTE(F1581,"" "",""""),""^-?\d+(\.\d+)?""))&lt;=90,VALUE(REGEXEXT"&amp;"RACT(SUBSTITUTE(F1581,"" "",""""),""-?\d+(\.\d+)?$""))&gt;=-180,VALUE(REGEXEXTRACT(SUBSTITUTE(F1581,"" "",""""),""-?\d+(\.\d+)?$""))&lt;=180),""OK"",""REVISAR"")"),"#N/A")</f>
        <v>#N/A</v>
      </c>
    </row>
    <row r="1582" ht="15.75" customHeight="1">
      <c r="A1582" s="5" t="str">
        <f t="shared" si="1"/>
        <v>AD507-1580</v>
      </c>
      <c r="C1582" s="5"/>
      <c r="F1582" s="5"/>
      <c r="G1582" s="5" t="str">
        <f t="shared" si="2"/>
        <v/>
      </c>
      <c r="H1582" s="5" t="str">
        <f t="shared" si="3"/>
        <v/>
      </c>
      <c r="I1582" s="5" t="str">
        <f t="shared" si="4"/>
        <v/>
      </c>
      <c r="J1582" s="5" t="str">
        <f t="shared" si="5"/>
        <v/>
      </c>
      <c r="K1582" s="5" t="str">
        <f>IFERROR(__xludf.DUMMYFUNCTION("IF(C1582&lt;&gt;"""",HYPERLINK(""https://wa.me/507""&amp;REGEXREPLACE(C1582,""[^0-9]"","""")&amp;""?text=""&amp;ENCODEURL(""Ya llegue. Codigo: ""&amp;A1582&amp;"". Ubicacion: ""&amp;""https://www.google.com/maps/search/?api=1&amp;query=""&amp;SUBSTITUTE(F1582,"" "","""")),""📲 Avisar al clien"&amp;"te""),"""")"),"")</f>
        <v/>
      </c>
      <c r="L1582" s="5" t="str">
        <f>IFERROR(__xludf.DUMMYFUNCTION("IF(C1582&lt;&gt;"""",""https://api.qrserver.com/v1/create-qr-code/?size=200x200&amp;data=""&amp;ENCODEURL(""https://wa.me/507""&amp;REGEXREPLACE(C1582,""[^0-9]"","""")&amp;""?text=""&amp;ENCODEURL(""Ya llegue. Codigo: ""&amp;A1582&amp;"". Ubicacion: ""&amp;""https://www.google.com/maps/search"&amp;"/?api=1&amp;query=""&amp;SUBSTITUTE(F1582,"" "",""""))),"""")"),"")</f>
        <v/>
      </c>
      <c r="M1582" s="5" t="str">
        <f t="shared" si="6"/>
        <v/>
      </c>
      <c r="N1582" s="5" t="str">
        <f>IFERROR(__xludf.DUMMYFUNCTION("IF(AND(F1582&lt;&gt;"""",REGEXMATCH(SUBSTITUTE(F1582,"" "",""""),""^-?\d+(\.\d+)?,-?\d+(\.\d+)?$""),VALUE(REGEXEXTRACT(SUBSTITUTE(F1582,"" "",""""),""^-?\d+(\.\d+)?""))&gt;=-90,VALUE(REGEXEXTRACT(SUBSTITUTE(F1582,"" "",""""),""^-?\d+(\.\d+)?""))&lt;=90,VALUE(REGEXEXT"&amp;"RACT(SUBSTITUTE(F1582,"" "",""""),""-?\d+(\.\d+)?$""))&gt;=-180,VALUE(REGEXEXTRACT(SUBSTITUTE(F1582,"" "",""""),""-?\d+(\.\d+)?$""))&lt;=180),""OK"",""REVISAR"")"),"#N/A")</f>
        <v>#N/A</v>
      </c>
    </row>
    <row r="1583" ht="15.75" customHeight="1">
      <c r="A1583" s="5" t="str">
        <f t="shared" si="1"/>
        <v>AD507-1581</v>
      </c>
      <c r="C1583" s="5"/>
      <c r="F1583" s="5"/>
      <c r="G1583" s="5" t="str">
        <f t="shared" si="2"/>
        <v/>
      </c>
      <c r="H1583" s="5" t="str">
        <f t="shared" si="3"/>
        <v/>
      </c>
      <c r="I1583" s="5" t="str">
        <f t="shared" si="4"/>
        <v/>
      </c>
      <c r="J1583" s="5" t="str">
        <f t="shared" si="5"/>
        <v/>
      </c>
      <c r="K1583" s="5" t="str">
        <f>IFERROR(__xludf.DUMMYFUNCTION("IF(C1583&lt;&gt;"""",HYPERLINK(""https://wa.me/507""&amp;REGEXREPLACE(C1583,""[^0-9]"","""")&amp;""?text=""&amp;ENCODEURL(""Ya llegue. Codigo: ""&amp;A1583&amp;"". Ubicacion: ""&amp;""https://www.google.com/maps/search/?api=1&amp;query=""&amp;SUBSTITUTE(F1583,"" "","""")),""📲 Avisar al clien"&amp;"te""),"""")"),"")</f>
        <v/>
      </c>
      <c r="L1583" s="5" t="str">
        <f>IFERROR(__xludf.DUMMYFUNCTION("IF(C1583&lt;&gt;"""",""https://api.qrserver.com/v1/create-qr-code/?size=200x200&amp;data=""&amp;ENCODEURL(""https://wa.me/507""&amp;REGEXREPLACE(C1583,""[^0-9]"","""")&amp;""?text=""&amp;ENCODEURL(""Ya llegue. Codigo: ""&amp;A1583&amp;"". Ubicacion: ""&amp;""https://www.google.com/maps/search"&amp;"/?api=1&amp;query=""&amp;SUBSTITUTE(F1583,"" "",""""))),"""")"),"")</f>
        <v/>
      </c>
      <c r="M1583" s="5" t="str">
        <f t="shared" si="6"/>
        <v/>
      </c>
      <c r="N1583" s="5" t="str">
        <f>IFERROR(__xludf.DUMMYFUNCTION("IF(AND(F1583&lt;&gt;"""",REGEXMATCH(SUBSTITUTE(F1583,"" "",""""),""^-?\d+(\.\d+)?,-?\d+(\.\d+)?$""),VALUE(REGEXEXTRACT(SUBSTITUTE(F1583,"" "",""""),""^-?\d+(\.\d+)?""))&gt;=-90,VALUE(REGEXEXTRACT(SUBSTITUTE(F1583,"" "",""""),""^-?\d+(\.\d+)?""))&lt;=90,VALUE(REGEXEXT"&amp;"RACT(SUBSTITUTE(F1583,"" "",""""),""-?\d+(\.\d+)?$""))&gt;=-180,VALUE(REGEXEXTRACT(SUBSTITUTE(F1583,"" "",""""),""-?\d+(\.\d+)?$""))&lt;=180),""OK"",""REVISAR"")"),"#N/A")</f>
        <v>#N/A</v>
      </c>
    </row>
    <row r="1584" ht="15.75" customHeight="1">
      <c r="A1584" s="5" t="str">
        <f t="shared" si="1"/>
        <v>AD507-1582</v>
      </c>
      <c r="C1584" s="5"/>
      <c r="F1584" s="5"/>
      <c r="G1584" s="5" t="str">
        <f t="shared" si="2"/>
        <v/>
      </c>
      <c r="H1584" s="5" t="str">
        <f t="shared" si="3"/>
        <v/>
      </c>
      <c r="I1584" s="5" t="str">
        <f t="shared" si="4"/>
        <v/>
      </c>
      <c r="J1584" s="5" t="str">
        <f t="shared" si="5"/>
        <v/>
      </c>
      <c r="K1584" s="5" t="str">
        <f>IFERROR(__xludf.DUMMYFUNCTION("IF(C1584&lt;&gt;"""",HYPERLINK(""https://wa.me/507""&amp;REGEXREPLACE(C1584,""[^0-9]"","""")&amp;""?text=""&amp;ENCODEURL(""Ya llegue. Codigo: ""&amp;A1584&amp;"". Ubicacion: ""&amp;""https://www.google.com/maps/search/?api=1&amp;query=""&amp;SUBSTITUTE(F1584,"" "","""")),""📲 Avisar al clien"&amp;"te""),"""")"),"")</f>
        <v/>
      </c>
      <c r="L1584" s="5" t="str">
        <f>IFERROR(__xludf.DUMMYFUNCTION("IF(C1584&lt;&gt;"""",""https://api.qrserver.com/v1/create-qr-code/?size=200x200&amp;data=""&amp;ENCODEURL(""https://wa.me/507""&amp;REGEXREPLACE(C1584,""[^0-9]"","""")&amp;""?text=""&amp;ENCODEURL(""Ya llegue. Codigo: ""&amp;A1584&amp;"". Ubicacion: ""&amp;""https://www.google.com/maps/search"&amp;"/?api=1&amp;query=""&amp;SUBSTITUTE(F1584,"" "",""""))),"""")"),"")</f>
        <v/>
      </c>
      <c r="M1584" s="5" t="str">
        <f t="shared" si="6"/>
        <v/>
      </c>
      <c r="N1584" s="5" t="str">
        <f>IFERROR(__xludf.DUMMYFUNCTION("IF(AND(F1584&lt;&gt;"""",REGEXMATCH(SUBSTITUTE(F1584,"" "",""""),""^-?\d+(\.\d+)?,-?\d+(\.\d+)?$""),VALUE(REGEXEXTRACT(SUBSTITUTE(F1584,"" "",""""),""^-?\d+(\.\d+)?""))&gt;=-90,VALUE(REGEXEXTRACT(SUBSTITUTE(F1584,"" "",""""),""^-?\d+(\.\d+)?""))&lt;=90,VALUE(REGEXEXT"&amp;"RACT(SUBSTITUTE(F1584,"" "",""""),""-?\d+(\.\d+)?$""))&gt;=-180,VALUE(REGEXEXTRACT(SUBSTITUTE(F1584,"" "",""""),""-?\d+(\.\d+)?$""))&lt;=180),""OK"",""REVISAR"")"),"#N/A")</f>
        <v>#N/A</v>
      </c>
    </row>
    <row r="1585" ht="15.75" customHeight="1">
      <c r="A1585" s="5" t="str">
        <f t="shared" si="1"/>
        <v>AD507-1583</v>
      </c>
      <c r="C1585" s="5"/>
      <c r="F1585" s="5"/>
      <c r="G1585" s="5" t="str">
        <f t="shared" si="2"/>
        <v/>
      </c>
      <c r="H1585" s="5" t="str">
        <f t="shared" si="3"/>
        <v/>
      </c>
      <c r="I1585" s="5" t="str">
        <f t="shared" si="4"/>
        <v/>
      </c>
      <c r="J1585" s="5" t="str">
        <f t="shared" si="5"/>
        <v/>
      </c>
      <c r="K1585" s="5" t="str">
        <f>IFERROR(__xludf.DUMMYFUNCTION("IF(C1585&lt;&gt;"""",HYPERLINK(""https://wa.me/507""&amp;REGEXREPLACE(C1585,""[^0-9]"","""")&amp;""?text=""&amp;ENCODEURL(""Ya llegue. Codigo: ""&amp;A1585&amp;"". Ubicacion: ""&amp;""https://www.google.com/maps/search/?api=1&amp;query=""&amp;SUBSTITUTE(F1585,"" "","""")),""📲 Avisar al clien"&amp;"te""),"""")"),"")</f>
        <v/>
      </c>
      <c r="L1585" s="5" t="str">
        <f>IFERROR(__xludf.DUMMYFUNCTION("IF(C1585&lt;&gt;"""",""https://api.qrserver.com/v1/create-qr-code/?size=200x200&amp;data=""&amp;ENCODEURL(""https://wa.me/507""&amp;REGEXREPLACE(C1585,""[^0-9]"","""")&amp;""?text=""&amp;ENCODEURL(""Ya llegue. Codigo: ""&amp;A1585&amp;"". Ubicacion: ""&amp;""https://www.google.com/maps/search"&amp;"/?api=1&amp;query=""&amp;SUBSTITUTE(F1585,"" "",""""))),"""")"),"")</f>
        <v/>
      </c>
      <c r="M1585" s="5" t="str">
        <f t="shared" si="6"/>
        <v/>
      </c>
      <c r="N1585" s="5" t="str">
        <f>IFERROR(__xludf.DUMMYFUNCTION("IF(AND(F1585&lt;&gt;"""",REGEXMATCH(SUBSTITUTE(F1585,"" "",""""),""^-?\d+(\.\d+)?,-?\d+(\.\d+)?$""),VALUE(REGEXEXTRACT(SUBSTITUTE(F1585,"" "",""""),""^-?\d+(\.\d+)?""))&gt;=-90,VALUE(REGEXEXTRACT(SUBSTITUTE(F1585,"" "",""""),""^-?\d+(\.\d+)?""))&lt;=90,VALUE(REGEXEXT"&amp;"RACT(SUBSTITUTE(F1585,"" "",""""),""-?\d+(\.\d+)?$""))&gt;=-180,VALUE(REGEXEXTRACT(SUBSTITUTE(F1585,"" "",""""),""-?\d+(\.\d+)?$""))&lt;=180),""OK"",""REVISAR"")"),"#N/A")</f>
        <v>#N/A</v>
      </c>
    </row>
    <row r="1586" ht="15.75" customHeight="1">
      <c r="A1586" s="5" t="str">
        <f t="shared" si="1"/>
        <v>AD507-1584</v>
      </c>
      <c r="C1586" s="5"/>
      <c r="F1586" s="5"/>
      <c r="G1586" s="5" t="str">
        <f t="shared" si="2"/>
        <v/>
      </c>
      <c r="H1586" s="5" t="str">
        <f t="shared" si="3"/>
        <v/>
      </c>
      <c r="I1586" s="5" t="str">
        <f t="shared" si="4"/>
        <v/>
      </c>
      <c r="J1586" s="5" t="str">
        <f t="shared" si="5"/>
        <v/>
      </c>
      <c r="K1586" s="5" t="str">
        <f>IFERROR(__xludf.DUMMYFUNCTION("IF(C1586&lt;&gt;"""",HYPERLINK(""https://wa.me/507""&amp;REGEXREPLACE(C1586,""[^0-9]"","""")&amp;""?text=""&amp;ENCODEURL(""Ya llegue. Codigo: ""&amp;A1586&amp;"". Ubicacion: ""&amp;""https://www.google.com/maps/search/?api=1&amp;query=""&amp;SUBSTITUTE(F1586,"" "","""")),""📲 Avisar al clien"&amp;"te""),"""")"),"")</f>
        <v/>
      </c>
      <c r="L1586" s="5" t="str">
        <f>IFERROR(__xludf.DUMMYFUNCTION("IF(C1586&lt;&gt;"""",""https://api.qrserver.com/v1/create-qr-code/?size=200x200&amp;data=""&amp;ENCODEURL(""https://wa.me/507""&amp;REGEXREPLACE(C1586,""[^0-9]"","""")&amp;""?text=""&amp;ENCODEURL(""Ya llegue. Codigo: ""&amp;A1586&amp;"". Ubicacion: ""&amp;""https://www.google.com/maps/search"&amp;"/?api=1&amp;query=""&amp;SUBSTITUTE(F1586,"" "",""""))),"""")"),"")</f>
        <v/>
      </c>
      <c r="M1586" s="5" t="str">
        <f t="shared" si="6"/>
        <v/>
      </c>
      <c r="N1586" s="5" t="str">
        <f>IFERROR(__xludf.DUMMYFUNCTION("IF(AND(F1586&lt;&gt;"""",REGEXMATCH(SUBSTITUTE(F1586,"" "",""""),""^-?\d+(\.\d+)?,-?\d+(\.\d+)?$""),VALUE(REGEXEXTRACT(SUBSTITUTE(F1586,"" "",""""),""^-?\d+(\.\d+)?""))&gt;=-90,VALUE(REGEXEXTRACT(SUBSTITUTE(F1586,"" "",""""),""^-?\d+(\.\d+)?""))&lt;=90,VALUE(REGEXEXT"&amp;"RACT(SUBSTITUTE(F1586,"" "",""""),""-?\d+(\.\d+)?$""))&gt;=-180,VALUE(REGEXEXTRACT(SUBSTITUTE(F1586,"" "",""""),""-?\d+(\.\d+)?$""))&lt;=180),""OK"",""REVISAR"")"),"#N/A")</f>
        <v>#N/A</v>
      </c>
    </row>
    <row r="1587" ht="15.75" customHeight="1">
      <c r="A1587" s="5" t="str">
        <f t="shared" si="1"/>
        <v>AD507-1585</v>
      </c>
      <c r="C1587" s="5"/>
      <c r="F1587" s="5"/>
      <c r="G1587" s="5" t="str">
        <f t="shared" si="2"/>
        <v/>
      </c>
      <c r="H1587" s="5" t="str">
        <f t="shared" si="3"/>
        <v/>
      </c>
      <c r="I1587" s="5" t="str">
        <f t="shared" si="4"/>
        <v/>
      </c>
      <c r="J1587" s="5" t="str">
        <f t="shared" si="5"/>
        <v/>
      </c>
      <c r="K1587" s="5" t="str">
        <f>IFERROR(__xludf.DUMMYFUNCTION("IF(C1587&lt;&gt;"""",HYPERLINK(""https://wa.me/507""&amp;REGEXREPLACE(C1587,""[^0-9]"","""")&amp;""?text=""&amp;ENCODEURL(""Ya llegue. Codigo: ""&amp;A1587&amp;"". Ubicacion: ""&amp;""https://www.google.com/maps/search/?api=1&amp;query=""&amp;SUBSTITUTE(F1587,"" "","""")),""📲 Avisar al clien"&amp;"te""),"""")"),"")</f>
        <v/>
      </c>
      <c r="L1587" s="5" t="str">
        <f>IFERROR(__xludf.DUMMYFUNCTION("IF(C1587&lt;&gt;"""",""https://api.qrserver.com/v1/create-qr-code/?size=200x200&amp;data=""&amp;ENCODEURL(""https://wa.me/507""&amp;REGEXREPLACE(C1587,""[^0-9]"","""")&amp;""?text=""&amp;ENCODEURL(""Ya llegue. Codigo: ""&amp;A1587&amp;"". Ubicacion: ""&amp;""https://www.google.com/maps/search"&amp;"/?api=1&amp;query=""&amp;SUBSTITUTE(F1587,"" "",""""))),"""")"),"")</f>
        <v/>
      </c>
      <c r="M1587" s="5" t="str">
        <f t="shared" si="6"/>
        <v/>
      </c>
      <c r="N1587" s="5" t="str">
        <f>IFERROR(__xludf.DUMMYFUNCTION("IF(AND(F1587&lt;&gt;"""",REGEXMATCH(SUBSTITUTE(F1587,"" "",""""),""^-?\d+(\.\d+)?,-?\d+(\.\d+)?$""),VALUE(REGEXEXTRACT(SUBSTITUTE(F1587,"" "",""""),""^-?\d+(\.\d+)?""))&gt;=-90,VALUE(REGEXEXTRACT(SUBSTITUTE(F1587,"" "",""""),""^-?\d+(\.\d+)?""))&lt;=90,VALUE(REGEXEXT"&amp;"RACT(SUBSTITUTE(F1587,"" "",""""),""-?\d+(\.\d+)?$""))&gt;=-180,VALUE(REGEXEXTRACT(SUBSTITUTE(F1587,"" "",""""),""-?\d+(\.\d+)?$""))&lt;=180),""OK"",""REVISAR"")"),"#N/A")</f>
        <v>#N/A</v>
      </c>
    </row>
    <row r="1588" ht="15.75" customHeight="1">
      <c r="A1588" s="5" t="str">
        <f t="shared" si="1"/>
        <v>AD507-1586</v>
      </c>
      <c r="C1588" s="5"/>
      <c r="F1588" s="5"/>
      <c r="G1588" s="5" t="str">
        <f t="shared" si="2"/>
        <v/>
      </c>
      <c r="H1588" s="5" t="str">
        <f t="shared" si="3"/>
        <v/>
      </c>
      <c r="I1588" s="5" t="str">
        <f t="shared" si="4"/>
        <v/>
      </c>
      <c r="J1588" s="5" t="str">
        <f t="shared" si="5"/>
        <v/>
      </c>
      <c r="K1588" s="5" t="str">
        <f>IFERROR(__xludf.DUMMYFUNCTION("IF(C1588&lt;&gt;"""",HYPERLINK(""https://wa.me/507""&amp;REGEXREPLACE(C1588,""[^0-9]"","""")&amp;""?text=""&amp;ENCODEURL(""Ya llegue. Codigo: ""&amp;A1588&amp;"". Ubicacion: ""&amp;""https://www.google.com/maps/search/?api=1&amp;query=""&amp;SUBSTITUTE(F1588,"" "","""")),""📲 Avisar al clien"&amp;"te""),"""")"),"")</f>
        <v/>
      </c>
      <c r="L1588" s="5" t="str">
        <f>IFERROR(__xludf.DUMMYFUNCTION("IF(C1588&lt;&gt;"""",""https://api.qrserver.com/v1/create-qr-code/?size=200x200&amp;data=""&amp;ENCODEURL(""https://wa.me/507""&amp;REGEXREPLACE(C1588,""[^0-9]"","""")&amp;""?text=""&amp;ENCODEURL(""Ya llegue. Codigo: ""&amp;A1588&amp;"". Ubicacion: ""&amp;""https://www.google.com/maps/search"&amp;"/?api=1&amp;query=""&amp;SUBSTITUTE(F1588,"" "",""""))),"""")"),"")</f>
        <v/>
      </c>
      <c r="M1588" s="5" t="str">
        <f t="shared" si="6"/>
        <v/>
      </c>
      <c r="N1588" s="5" t="str">
        <f>IFERROR(__xludf.DUMMYFUNCTION("IF(AND(F1588&lt;&gt;"""",REGEXMATCH(SUBSTITUTE(F1588,"" "",""""),""^-?\d+(\.\d+)?,-?\d+(\.\d+)?$""),VALUE(REGEXEXTRACT(SUBSTITUTE(F1588,"" "",""""),""^-?\d+(\.\d+)?""))&gt;=-90,VALUE(REGEXEXTRACT(SUBSTITUTE(F1588,"" "",""""),""^-?\d+(\.\d+)?""))&lt;=90,VALUE(REGEXEXT"&amp;"RACT(SUBSTITUTE(F1588,"" "",""""),""-?\d+(\.\d+)?$""))&gt;=-180,VALUE(REGEXEXTRACT(SUBSTITUTE(F1588,"" "",""""),""-?\d+(\.\d+)?$""))&lt;=180),""OK"",""REVISAR"")"),"#N/A")</f>
        <v>#N/A</v>
      </c>
    </row>
    <row r="1589" ht="15.75" customHeight="1">
      <c r="A1589" s="5" t="str">
        <f t="shared" si="1"/>
        <v>AD507-1587</v>
      </c>
      <c r="C1589" s="5"/>
      <c r="F1589" s="5"/>
      <c r="G1589" s="5" t="str">
        <f t="shared" si="2"/>
        <v/>
      </c>
      <c r="H1589" s="5" t="str">
        <f t="shared" si="3"/>
        <v/>
      </c>
      <c r="I1589" s="5" t="str">
        <f t="shared" si="4"/>
        <v/>
      </c>
      <c r="J1589" s="5" t="str">
        <f t="shared" si="5"/>
        <v/>
      </c>
      <c r="K1589" s="5" t="str">
        <f>IFERROR(__xludf.DUMMYFUNCTION("IF(C1589&lt;&gt;"""",HYPERLINK(""https://wa.me/507""&amp;REGEXREPLACE(C1589,""[^0-9]"","""")&amp;""?text=""&amp;ENCODEURL(""Ya llegue. Codigo: ""&amp;A1589&amp;"". Ubicacion: ""&amp;""https://www.google.com/maps/search/?api=1&amp;query=""&amp;SUBSTITUTE(F1589,"" "","""")),""📲 Avisar al clien"&amp;"te""),"""")"),"")</f>
        <v/>
      </c>
      <c r="L1589" s="5" t="str">
        <f>IFERROR(__xludf.DUMMYFUNCTION("IF(C1589&lt;&gt;"""",""https://api.qrserver.com/v1/create-qr-code/?size=200x200&amp;data=""&amp;ENCODEURL(""https://wa.me/507""&amp;REGEXREPLACE(C1589,""[^0-9]"","""")&amp;""?text=""&amp;ENCODEURL(""Ya llegue. Codigo: ""&amp;A1589&amp;"". Ubicacion: ""&amp;""https://www.google.com/maps/search"&amp;"/?api=1&amp;query=""&amp;SUBSTITUTE(F1589,"" "",""""))),"""")"),"")</f>
        <v/>
      </c>
      <c r="M1589" s="5" t="str">
        <f t="shared" si="6"/>
        <v/>
      </c>
      <c r="N1589" s="5" t="str">
        <f>IFERROR(__xludf.DUMMYFUNCTION("IF(AND(F1589&lt;&gt;"""",REGEXMATCH(SUBSTITUTE(F1589,"" "",""""),""^-?\d+(\.\d+)?,-?\d+(\.\d+)?$""),VALUE(REGEXEXTRACT(SUBSTITUTE(F1589,"" "",""""),""^-?\d+(\.\d+)?""))&gt;=-90,VALUE(REGEXEXTRACT(SUBSTITUTE(F1589,"" "",""""),""^-?\d+(\.\d+)?""))&lt;=90,VALUE(REGEXEXT"&amp;"RACT(SUBSTITUTE(F1589,"" "",""""),""-?\d+(\.\d+)?$""))&gt;=-180,VALUE(REGEXEXTRACT(SUBSTITUTE(F1589,"" "",""""),""-?\d+(\.\d+)?$""))&lt;=180),""OK"",""REVISAR"")"),"#N/A")</f>
        <v>#N/A</v>
      </c>
    </row>
    <row r="1590" ht="15.75" customHeight="1">
      <c r="A1590" s="5" t="str">
        <f t="shared" si="1"/>
        <v>AD507-1588</v>
      </c>
      <c r="C1590" s="5"/>
      <c r="F1590" s="5"/>
      <c r="G1590" s="5" t="str">
        <f t="shared" si="2"/>
        <v/>
      </c>
      <c r="H1590" s="5" t="str">
        <f t="shared" si="3"/>
        <v/>
      </c>
      <c r="I1590" s="5" t="str">
        <f t="shared" si="4"/>
        <v/>
      </c>
      <c r="J1590" s="5" t="str">
        <f t="shared" si="5"/>
        <v/>
      </c>
      <c r="K1590" s="5" t="str">
        <f>IFERROR(__xludf.DUMMYFUNCTION("IF(C1590&lt;&gt;"""",HYPERLINK(""https://wa.me/507""&amp;REGEXREPLACE(C1590,""[^0-9]"","""")&amp;""?text=""&amp;ENCODEURL(""Ya llegue. Codigo: ""&amp;A1590&amp;"". Ubicacion: ""&amp;""https://www.google.com/maps/search/?api=1&amp;query=""&amp;SUBSTITUTE(F1590,"" "","""")),""📲 Avisar al clien"&amp;"te""),"""")"),"")</f>
        <v/>
      </c>
      <c r="L1590" s="5" t="str">
        <f>IFERROR(__xludf.DUMMYFUNCTION("IF(C1590&lt;&gt;"""",""https://api.qrserver.com/v1/create-qr-code/?size=200x200&amp;data=""&amp;ENCODEURL(""https://wa.me/507""&amp;REGEXREPLACE(C1590,""[^0-9]"","""")&amp;""?text=""&amp;ENCODEURL(""Ya llegue. Codigo: ""&amp;A1590&amp;"". Ubicacion: ""&amp;""https://www.google.com/maps/search"&amp;"/?api=1&amp;query=""&amp;SUBSTITUTE(F1590,"" "",""""))),"""")"),"")</f>
        <v/>
      </c>
      <c r="M1590" s="5" t="str">
        <f t="shared" si="6"/>
        <v/>
      </c>
      <c r="N1590" s="5" t="str">
        <f>IFERROR(__xludf.DUMMYFUNCTION("IF(AND(F1590&lt;&gt;"""",REGEXMATCH(SUBSTITUTE(F1590,"" "",""""),""^-?\d+(\.\d+)?,-?\d+(\.\d+)?$""),VALUE(REGEXEXTRACT(SUBSTITUTE(F1590,"" "",""""),""^-?\d+(\.\d+)?""))&gt;=-90,VALUE(REGEXEXTRACT(SUBSTITUTE(F1590,"" "",""""),""^-?\d+(\.\d+)?""))&lt;=90,VALUE(REGEXEXT"&amp;"RACT(SUBSTITUTE(F1590,"" "",""""),""-?\d+(\.\d+)?$""))&gt;=-180,VALUE(REGEXEXTRACT(SUBSTITUTE(F1590,"" "",""""),""-?\d+(\.\d+)?$""))&lt;=180),""OK"",""REVISAR"")"),"#N/A")</f>
        <v>#N/A</v>
      </c>
    </row>
    <row r="1591" ht="15.75" customHeight="1">
      <c r="A1591" s="5" t="str">
        <f t="shared" si="1"/>
        <v>AD507-1589</v>
      </c>
      <c r="C1591" s="5"/>
      <c r="F1591" s="5"/>
      <c r="G1591" s="5" t="str">
        <f t="shared" si="2"/>
        <v/>
      </c>
      <c r="H1591" s="5" t="str">
        <f t="shared" si="3"/>
        <v/>
      </c>
      <c r="I1591" s="5" t="str">
        <f t="shared" si="4"/>
        <v/>
      </c>
      <c r="J1591" s="5" t="str">
        <f t="shared" si="5"/>
        <v/>
      </c>
      <c r="K1591" s="5" t="str">
        <f>IFERROR(__xludf.DUMMYFUNCTION("IF(C1591&lt;&gt;"""",HYPERLINK(""https://wa.me/507""&amp;REGEXREPLACE(C1591,""[^0-9]"","""")&amp;""?text=""&amp;ENCODEURL(""Ya llegue. Codigo: ""&amp;A1591&amp;"". Ubicacion: ""&amp;""https://www.google.com/maps/search/?api=1&amp;query=""&amp;SUBSTITUTE(F1591,"" "","""")),""📲 Avisar al clien"&amp;"te""),"""")"),"")</f>
        <v/>
      </c>
      <c r="L1591" s="5" t="str">
        <f>IFERROR(__xludf.DUMMYFUNCTION("IF(C1591&lt;&gt;"""",""https://api.qrserver.com/v1/create-qr-code/?size=200x200&amp;data=""&amp;ENCODEURL(""https://wa.me/507""&amp;REGEXREPLACE(C1591,""[^0-9]"","""")&amp;""?text=""&amp;ENCODEURL(""Ya llegue. Codigo: ""&amp;A1591&amp;"". Ubicacion: ""&amp;""https://www.google.com/maps/search"&amp;"/?api=1&amp;query=""&amp;SUBSTITUTE(F1591,"" "",""""))),"""")"),"")</f>
        <v/>
      </c>
      <c r="M1591" s="5" t="str">
        <f t="shared" si="6"/>
        <v/>
      </c>
      <c r="N1591" s="5" t="str">
        <f>IFERROR(__xludf.DUMMYFUNCTION("IF(AND(F1591&lt;&gt;"""",REGEXMATCH(SUBSTITUTE(F1591,"" "",""""),""^-?\d+(\.\d+)?,-?\d+(\.\d+)?$""),VALUE(REGEXEXTRACT(SUBSTITUTE(F1591,"" "",""""),""^-?\d+(\.\d+)?""))&gt;=-90,VALUE(REGEXEXTRACT(SUBSTITUTE(F1591,"" "",""""),""^-?\d+(\.\d+)?""))&lt;=90,VALUE(REGEXEXT"&amp;"RACT(SUBSTITUTE(F1591,"" "",""""),""-?\d+(\.\d+)?$""))&gt;=-180,VALUE(REGEXEXTRACT(SUBSTITUTE(F1591,"" "",""""),""-?\d+(\.\d+)?$""))&lt;=180),""OK"",""REVISAR"")"),"#N/A")</f>
        <v>#N/A</v>
      </c>
    </row>
    <row r="1592" ht="15.75" customHeight="1">
      <c r="A1592" s="5" t="str">
        <f t="shared" si="1"/>
        <v>AD507-1590</v>
      </c>
      <c r="C1592" s="5"/>
      <c r="F1592" s="5"/>
      <c r="G1592" s="5" t="str">
        <f t="shared" si="2"/>
        <v/>
      </c>
      <c r="H1592" s="5" t="str">
        <f t="shared" si="3"/>
        <v/>
      </c>
      <c r="I1592" s="5" t="str">
        <f t="shared" si="4"/>
        <v/>
      </c>
      <c r="J1592" s="5" t="str">
        <f t="shared" si="5"/>
        <v/>
      </c>
      <c r="K1592" s="5" t="str">
        <f>IFERROR(__xludf.DUMMYFUNCTION("IF(C1592&lt;&gt;"""",HYPERLINK(""https://wa.me/507""&amp;REGEXREPLACE(C1592,""[^0-9]"","""")&amp;""?text=""&amp;ENCODEURL(""Ya llegue. Codigo: ""&amp;A1592&amp;"". Ubicacion: ""&amp;""https://www.google.com/maps/search/?api=1&amp;query=""&amp;SUBSTITUTE(F1592,"" "","""")),""📲 Avisar al clien"&amp;"te""),"""")"),"")</f>
        <v/>
      </c>
      <c r="L1592" s="5" t="str">
        <f>IFERROR(__xludf.DUMMYFUNCTION("IF(C1592&lt;&gt;"""",""https://api.qrserver.com/v1/create-qr-code/?size=200x200&amp;data=""&amp;ENCODEURL(""https://wa.me/507""&amp;REGEXREPLACE(C1592,""[^0-9]"","""")&amp;""?text=""&amp;ENCODEURL(""Ya llegue. Codigo: ""&amp;A1592&amp;"". Ubicacion: ""&amp;""https://www.google.com/maps/search"&amp;"/?api=1&amp;query=""&amp;SUBSTITUTE(F1592,"" "",""""))),"""")"),"")</f>
        <v/>
      </c>
      <c r="M1592" s="5" t="str">
        <f t="shared" si="6"/>
        <v/>
      </c>
      <c r="N1592" s="5" t="str">
        <f>IFERROR(__xludf.DUMMYFUNCTION("IF(AND(F1592&lt;&gt;"""",REGEXMATCH(SUBSTITUTE(F1592,"" "",""""),""^-?\d+(\.\d+)?,-?\d+(\.\d+)?$""),VALUE(REGEXEXTRACT(SUBSTITUTE(F1592,"" "",""""),""^-?\d+(\.\d+)?""))&gt;=-90,VALUE(REGEXEXTRACT(SUBSTITUTE(F1592,"" "",""""),""^-?\d+(\.\d+)?""))&lt;=90,VALUE(REGEXEXT"&amp;"RACT(SUBSTITUTE(F1592,"" "",""""),""-?\d+(\.\d+)?$""))&gt;=-180,VALUE(REGEXEXTRACT(SUBSTITUTE(F1592,"" "",""""),""-?\d+(\.\d+)?$""))&lt;=180),""OK"",""REVISAR"")"),"#N/A")</f>
        <v>#N/A</v>
      </c>
    </row>
    <row r="1593" ht="15.75" customHeight="1">
      <c r="A1593" s="5" t="str">
        <f t="shared" si="1"/>
        <v>AD507-1591</v>
      </c>
      <c r="C1593" s="5"/>
      <c r="F1593" s="5"/>
      <c r="G1593" s="5" t="str">
        <f t="shared" si="2"/>
        <v/>
      </c>
      <c r="H1593" s="5" t="str">
        <f t="shared" si="3"/>
        <v/>
      </c>
      <c r="I1593" s="5" t="str">
        <f t="shared" si="4"/>
        <v/>
      </c>
      <c r="J1593" s="5" t="str">
        <f t="shared" si="5"/>
        <v/>
      </c>
      <c r="K1593" s="5" t="str">
        <f>IFERROR(__xludf.DUMMYFUNCTION("IF(C1593&lt;&gt;"""",HYPERLINK(""https://wa.me/507""&amp;REGEXREPLACE(C1593,""[^0-9]"","""")&amp;""?text=""&amp;ENCODEURL(""Ya llegue. Codigo: ""&amp;A1593&amp;"". Ubicacion: ""&amp;""https://www.google.com/maps/search/?api=1&amp;query=""&amp;SUBSTITUTE(F1593,"" "","""")),""📲 Avisar al clien"&amp;"te""),"""")"),"")</f>
        <v/>
      </c>
      <c r="L1593" s="5" t="str">
        <f>IFERROR(__xludf.DUMMYFUNCTION("IF(C1593&lt;&gt;"""",""https://api.qrserver.com/v1/create-qr-code/?size=200x200&amp;data=""&amp;ENCODEURL(""https://wa.me/507""&amp;REGEXREPLACE(C1593,""[^0-9]"","""")&amp;""?text=""&amp;ENCODEURL(""Ya llegue. Codigo: ""&amp;A1593&amp;"". Ubicacion: ""&amp;""https://www.google.com/maps/search"&amp;"/?api=1&amp;query=""&amp;SUBSTITUTE(F1593,"" "",""""))),"""")"),"")</f>
        <v/>
      </c>
      <c r="M1593" s="5" t="str">
        <f t="shared" si="6"/>
        <v/>
      </c>
      <c r="N1593" s="5" t="str">
        <f>IFERROR(__xludf.DUMMYFUNCTION("IF(AND(F1593&lt;&gt;"""",REGEXMATCH(SUBSTITUTE(F1593,"" "",""""),""^-?\d+(\.\d+)?,-?\d+(\.\d+)?$""),VALUE(REGEXEXTRACT(SUBSTITUTE(F1593,"" "",""""),""^-?\d+(\.\d+)?""))&gt;=-90,VALUE(REGEXEXTRACT(SUBSTITUTE(F1593,"" "",""""),""^-?\d+(\.\d+)?""))&lt;=90,VALUE(REGEXEXT"&amp;"RACT(SUBSTITUTE(F1593,"" "",""""),""-?\d+(\.\d+)?$""))&gt;=-180,VALUE(REGEXEXTRACT(SUBSTITUTE(F1593,"" "",""""),""-?\d+(\.\d+)?$""))&lt;=180),""OK"",""REVISAR"")"),"#N/A")</f>
        <v>#N/A</v>
      </c>
    </row>
    <row r="1594" ht="15.75" customHeight="1">
      <c r="A1594" s="5" t="str">
        <f t="shared" si="1"/>
        <v>AD507-1592</v>
      </c>
      <c r="C1594" s="5"/>
      <c r="F1594" s="5"/>
      <c r="G1594" s="5" t="str">
        <f t="shared" si="2"/>
        <v/>
      </c>
      <c r="H1594" s="5" t="str">
        <f t="shared" si="3"/>
        <v/>
      </c>
      <c r="I1594" s="5" t="str">
        <f t="shared" si="4"/>
        <v/>
      </c>
      <c r="J1594" s="5" t="str">
        <f t="shared" si="5"/>
        <v/>
      </c>
      <c r="K1594" s="5" t="str">
        <f>IFERROR(__xludf.DUMMYFUNCTION("IF(C1594&lt;&gt;"""",HYPERLINK(""https://wa.me/507""&amp;REGEXREPLACE(C1594,""[^0-9]"","""")&amp;""?text=""&amp;ENCODEURL(""Ya llegue. Codigo: ""&amp;A1594&amp;"". Ubicacion: ""&amp;""https://www.google.com/maps/search/?api=1&amp;query=""&amp;SUBSTITUTE(F1594,"" "","""")),""📲 Avisar al clien"&amp;"te""),"""")"),"")</f>
        <v/>
      </c>
      <c r="L1594" s="5" t="str">
        <f>IFERROR(__xludf.DUMMYFUNCTION("IF(C1594&lt;&gt;"""",""https://api.qrserver.com/v1/create-qr-code/?size=200x200&amp;data=""&amp;ENCODEURL(""https://wa.me/507""&amp;REGEXREPLACE(C1594,""[^0-9]"","""")&amp;""?text=""&amp;ENCODEURL(""Ya llegue. Codigo: ""&amp;A1594&amp;"". Ubicacion: ""&amp;""https://www.google.com/maps/search"&amp;"/?api=1&amp;query=""&amp;SUBSTITUTE(F1594,"" "",""""))),"""")"),"")</f>
        <v/>
      </c>
      <c r="M1594" s="5" t="str">
        <f t="shared" si="6"/>
        <v/>
      </c>
      <c r="N1594" s="5" t="str">
        <f>IFERROR(__xludf.DUMMYFUNCTION("IF(AND(F1594&lt;&gt;"""",REGEXMATCH(SUBSTITUTE(F1594,"" "",""""),""^-?\d+(\.\d+)?,-?\d+(\.\d+)?$""),VALUE(REGEXEXTRACT(SUBSTITUTE(F1594,"" "",""""),""^-?\d+(\.\d+)?""))&gt;=-90,VALUE(REGEXEXTRACT(SUBSTITUTE(F1594,"" "",""""),""^-?\d+(\.\d+)?""))&lt;=90,VALUE(REGEXEXT"&amp;"RACT(SUBSTITUTE(F1594,"" "",""""),""-?\d+(\.\d+)?$""))&gt;=-180,VALUE(REGEXEXTRACT(SUBSTITUTE(F1594,"" "",""""),""-?\d+(\.\d+)?$""))&lt;=180),""OK"",""REVISAR"")"),"#N/A")</f>
        <v>#N/A</v>
      </c>
    </row>
    <row r="1595" ht="15.75" customHeight="1">
      <c r="A1595" s="5" t="str">
        <f t="shared" si="1"/>
        <v>AD507-1593</v>
      </c>
      <c r="C1595" s="5"/>
      <c r="F1595" s="5"/>
      <c r="G1595" s="5" t="str">
        <f t="shared" si="2"/>
        <v/>
      </c>
      <c r="H1595" s="5" t="str">
        <f t="shared" si="3"/>
        <v/>
      </c>
      <c r="I1595" s="5" t="str">
        <f t="shared" si="4"/>
        <v/>
      </c>
      <c r="J1595" s="5" t="str">
        <f t="shared" si="5"/>
        <v/>
      </c>
      <c r="K1595" s="5" t="str">
        <f>IFERROR(__xludf.DUMMYFUNCTION("IF(C1595&lt;&gt;"""",HYPERLINK(""https://wa.me/507""&amp;REGEXREPLACE(C1595,""[^0-9]"","""")&amp;""?text=""&amp;ENCODEURL(""Ya llegue. Codigo: ""&amp;A1595&amp;"". Ubicacion: ""&amp;""https://www.google.com/maps/search/?api=1&amp;query=""&amp;SUBSTITUTE(F1595,"" "","""")),""📲 Avisar al clien"&amp;"te""),"""")"),"")</f>
        <v/>
      </c>
      <c r="L1595" s="5" t="str">
        <f>IFERROR(__xludf.DUMMYFUNCTION("IF(C1595&lt;&gt;"""",""https://api.qrserver.com/v1/create-qr-code/?size=200x200&amp;data=""&amp;ENCODEURL(""https://wa.me/507""&amp;REGEXREPLACE(C1595,""[^0-9]"","""")&amp;""?text=""&amp;ENCODEURL(""Ya llegue. Codigo: ""&amp;A1595&amp;"". Ubicacion: ""&amp;""https://www.google.com/maps/search"&amp;"/?api=1&amp;query=""&amp;SUBSTITUTE(F1595,"" "",""""))),"""")"),"")</f>
        <v/>
      </c>
      <c r="M1595" s="5" t="str">
        <f t="shared" si="6"/>
        <v/>
      </c>
      <c r="N1595" s="5" t="str">
        <f>IFERROR(__xludf.DUMMYFUNCTION("IF(AND(F1595&lt;&gt;"""",REGEXMATCH(SUBSTITUTE(F1595,"" "",""""),""^-?\d+(\.\d+)?,-?\d+(\.\d+)?$""),VALUE(REGEXEXTRACT(SUBSTITUTE(F1595,"" "",""""),""^-?\d+(\.\d+)?""))&gt;=-90,VALUE(REGEXEXTRACT(SUBSTITUTE(F1595,"" "",""""),""^-?\d+(\.\d+)?""))&lt;=90,VALUE(REGEXEXT"&amp;"RACT(SUBSTITUTE(F1595,"" "",""""),""-?\d+(\.\d+)?$""))&gt;=-180,VALUE(REGEXEXTRACT(SUBSTITUTE(F1595,"" "",""""),""-?\d+(\.\d+)?$""))&lt;=180),""OK"",""REVISAR"")"),"#N/A")</f>
        <v>#N/A</v>
      </c>
    </row>
    <row r="1596" ht="15.75" customHeight="1">
      <c r="A1596" s="5" t="str">
        <f t="shared" si="1"/>
        <v>AD507-1594</v>
      </c>
      <c r="C1596" s="5"/>
      <c r="F1596" s="5"/>
      <c r="G1596" s="5" t="str">
        <f t="shared" si="2"/>
        <v/>
      </c>
      <c r="H1596" s="5" t="str">
        <f t="shared" si="3"/>
        <v/>
      </c>
      <c r="I1596" s="5" t="str">
        <f t="shared" si="4"/>
        <v/>
      </c>
      <c r="J1596" s="5" t="str">
        <f t="shared" si="5"/>
        <v/>
      </c>
      <c r="K1596" s="5" t="str">
        <f>IFERROR(__xludf.DUMMYFUNCTION("IF(C1596&lt;&gt;"""",HYPERLINK(""https://wa.me/507""&amp;REGEXREPLACE(C1596,""[^0-9]"","""")&amp;""?text=""&amp;ENCODEURL(""Ya llegue. Codigo: ""&amp;A1596&amp;"". Ubicacion: ""&amp;""https://www.google.com/maps/search/?api=1&amp;query=""&amp;SUBSTITUTE(F1596,"" "","""")),""📲 Avisar al clien"&amp;"te""),"""")"),"")</f>
        <v/>
      </c>
      <c r="L1596" s="5" t="str">
        <f>IFERROR(__xludf.DUMMYFUNCTION("IF(C1596&lt;&gt;"""",""https://api.qrserver.com/v1/create-qr-code/?size=200x200&amp;data=""&amp;ENCODEURL(""https://wa.me/507""&amp;REGEXREPLACE(C1596,""[^0-9]"","""")&amp;""?text=""&amp;ENCODEURL(""Ya llegue. Codigo: ""&amp;A1596&amp;"". Ubicacion: ""&amp;""https://www.google.com/maps/search"&amp;"/?api=1&amp;query=""&amp;SUBSTITUTE(F1596,"" "",""""))),"""")"),"")</f>
        <v/>
      </c>
      <c r="M1596" s="5" t="str">
        <f t="shared" si="6"/>
        <v/>
      </c>
      <c r="N1596" s="5" t="str">
        <f>IFERROR(__xludf.DUMMYFUNCTION("IF(AND(F1596&lt;&gt;"""",REGEXMATCH(SUBSTITUTE(F1596,"" "",""""),""^-?\d+(\.\d+)?,-?\d+(\.\d+)?$""),VALUE(REGEXEXTRACT(SUBSTITUTE(F1596,"" "",""""),""^-?\d+(\.\d+)?""))&gt;=-90,VALUE(REGEXEXTRACT(SUBSTITUTE(F1596,"" "",""""),""^-?\d+(\.\d+)?""))&lt;=90,VALUE(REGEXEXT"&amp;"RACT(SUBSTITUTE(F1596,"" "",""""),""-?\d+(\.\d+)?$""))&gt;=-180,VALUE(REGEXEXTRACT(SUBSTITUTE(F1596,"" "",""""),""-?\d+(\.\d+)?$""))&lt;=180),""OK"",""REVISAR"")"),"#N/A")</f>
        <v>#N/A</v>
      </c>
    </row>
    <row r="1597" ht="15.75" customHeight="1">
      <c r="A1597" s="5" t="str">
        <f t="shared" si="1"/>
        <v>AD507-1595</v>
      </c>
      <c r="C1597" s="5"/>
      <c r="F1597" s="5"/>
      <c r="G1597" s="5" t="str">
        <f t="shared" si="2"/>
        <v/>
      </c>
      <c r="H1597" s="5" t="str">
        <f t="shared" si="3"/>
        <v/>
      </c>
      <c r="I1597" s="5" t="str">
        <f t="shared" si="4"/>
        <v/>
      </c>
      <c r="J1597" s="5" t="str">
        <f t="shared" si="5"/>
        <v/>
      </c>
      <c r="K1597" s="5" t="str">
        <f>IFERROR(__xludf.DUMMYFUNCTION("IF(C1597&lt;&gt;"""",HYPERLINK(""https://wa.me/507""&amp;REGEXREPLACE(C1597,""[^0-9]"","""")&amp;""?text=""&amp;ENCODEURL(""Ya llegue. Codigo: ""&amp;A1597&amp;"". Ubicacion: ""&amp;""https://www.google.com/maps/search/?api=1&amp;query=""&amp;SUBSTITUTE(F1597,"" "","""")),""📲 Avisar al clien"&amp;"te""),"""")"),"")</f>
        <v/>
      </c>
      <c r="L1597" s="5" t="str">
        <f>IFERROR(__xludf.DUMMYFUNCTION("IF(C1597&lt;&gt;"""",""https://api.qrserver.com/v1/create-qr-code/?size=200x200&amp;data=""&amp;ENCODEURL(""https://wa.me/507""&amp;REGEXREPLACE(C1597,""[^0-9]"","""")&amp;""?text=""&amp;ENCODEURL(""Ya llegue. Codigo: ""&amp;A1597&amp;"". Ubicacion: ""&amp;""https://www.google.com/maps/search"&amp;"/?api=1&amp;query=""&amp;SUBSTITUTE(F1597,"" "",""""))),"""")"),"")</f>
        <v/>
      </c>
      <c r="M1597" s="5" t="str">
        <f t="shared" si="6"/>
        <v/>
      </c>
      <c r="N1597" s="5" t="str">
        <f>IFERROR(__xludf.DUMMYFUNCTION("IF(AND(F1597&lt;&gt;"""",REGEXMATCH(SUBSTITUTE(F1597,"" "",""""),""^-?\d+(\.\d+)?,-?\d+(\.\d+)?$""),VALUE(REGEXEXTRACT(SUBSTITUTE(F1597,"" "",""""),""^-?\d+(\.\d+)?""))&gt;=-90,VALUE(REGEXEXTRACT(SUBSTITUTE(F1597,"" "",""""),""^-?\d+(\.\d+)?""))&lt;=90,VALUE(REGEXEXT"&amp;"RACT(SUBSTITUTE(F1597,"" "",""""),""-?\d+(\.\d+)?$""))&gt;=-180,VALUE(REGEXEXTRACT(SUBSTITUTE(F1597,"" "",""""),""-?\d+(\.\d+)?$""))&lt;=180),""OK"",""REVISAR"")"),"#N/A")</f>
        <v>#N/A</v>
      </c>
    </row>
    <row r="1598" ht="15.75" customHeight="1">
      <c r="A1598" s="5" t="str">
        <f t="shared" si="1"/>
        <v>AD507-1596</v>
      </c>
      <c r="C1598" s="5"/>
      <c r="F1598" s="5"/>
      <c r="G1598" s="5" t="str">
        <f t="shared" si="2"/>
        <v/>
      </c>
      <c r="H1598" s="5" t="str">
        <f t="shared" si="3"/>
        <v/>
      </c>
      <c r="I1598" s="5" t="str">
        <f t="shared" si="4"/>
        <v/>
      </c>
      <c r="J1598" s="5" t="str">
        <f t="shared" si="5"/>
        <v/>
      </c>
      <c r="K1598" s="5" t="str">
        <f>IFERROR(__xludf.DUMMYFUNCTION("IF(C1598&lt;&gt;"""",HYPERLINK(""https://wa.me/507""&amp;REGEXREPLACE(C1598,""[^0-9]"","""")&amp;""?text=""&amp;ENCODEURL(""Ya llegue. Codigo: ""&amp;A1598&amp;"". Ubicacion: ""&amp;""https://www.google.com/maps/search/?api=1&amp;query=""&amp;SUBSTITUTE(F1598,"" "","""")),""📲 Avisar al clien"&amp;"te""),"""")"),"")</f>
        <v/>
      </c>
      <c r="L1598" s="5" t="str">
        <f>IFERROR(__xludf.DUMMYFUNCTION("IF(C1598&lt;&gt;"""",""https://api.qrserver.com/v1/create-qr-code/?size=200x200&amp;data=""&amp;ENCODEURL(""https://wa.me/507""&amp;REGEXREPLACE(C1598,""[^0-9]"","""")&amp;""?text=""&amp;ENCODEURL(""Ya llegue. Codigo: ""&amp;A1598&amp;"". Ubicacion: ""&amp;""https://www.google.com/maps/search"&amp;"/?api=1&amp;query=""&amp;SUBSTITUTE(F1598,"" "",""""))),"""")"),"")</f>
        <v/>
      </c>
      <c r="M1598" s="5" t="str">
        <f t="shared" si="6"/>
        <v/>
      </c>
      <c r="N1598" s="5" t="str">
        <f>IFERROR(__xludf.DUMMYFUNCTION("IF(AND(F1598&lt;&gt;"""",REGEXMATCH(SUBSTITUTE(F1598,"" "",""""),""^-?\d+(\.\d+)?,-?\d+(\.\d+)?$""),VALUE(REGEXEXTRACT(SUBSTITUTE(F1598,"" "",""""),""^-?\d+(\.\d+)?""))&gt;=-90,VALUE(REGEXEXTRACT(SUBSTITUTE(F1598,"" "",""""),""^-?\d+(\.\d+)?""))&lt;=90,VALUE(REGEXEXT"&amp;"RACT(SUBSTITUTE(F1598,"" "",""""),""-?\d+(\.\d+)?$""))&gt;=-180,VALUE(REGEXEXTRACT(SUBSTITUTE(F1598,"" "",""""),""-?\d+(\.\d+)?$""))&lt;=180),""OK"",""REVISAR"")"),"#N/A")</f>
        <v>#N/A</v>
      </c>
    </row>
    <row r="1599" ht="15.75" customHeight="1">
      <c r="A1599" s="5" t="str">
        <f t="shared" si="1"/>
        <v>AD507-1597</v>
      </c>
      <c r="C1599" s="5"/>
      <c r="F1599" s="5"/>
      <c r="G1599" s="5" t="str">
        <f t="shared" si="2"/>
        <v/>
      </c>
      <c r="H1599" s="5" t="str">
        <f t="shared" si="3"/>
        <v/>
      </c>
      <c r="I1599" s="5" t="str">
        <f t="shared" si="4"/>
        <v/>
      </c>
      <c r="J1599" s="5" t="str">
        <f t="shared" si="5"/>
        <v/>
      </c>
      <c r="K1599" s="5" t="str">
        <f>IFERROR(__xludf.DUMMYFUNCTION("IF(C1599&lt;&gt;"""",HYPERLINK(""https://wa.me/507""&amp;REGEXREPLACE(C1599,""[^0-9]"","""")&amp;""?text=""&amp;ENCODEURL(""Ya llegue. Codigo: ""&amp;A1599&amp;"". Ubicacion: ""&amp;""https://www.google.com/maps/search/?api=1&amp;query=""&amp;SUBSTITUTE(F1599,"" "","""")),""📲 Avisar al clien"&amp;"te""),"""")"),"")</f>
        <v/>
      </c>
      <c r="L1599" s="5" t="str">
        <f>IFERROR(__xludf.DUMMYFUNCTION("IF(C1599&lt;&gt;"""",""https://api.qrserver.com/v1/create-qr-code/?size=200x200&amp;data=""&amp;ENCODEURL(""https://wa.me/507""&amp;REGEXREPLACE(C1599,""[^0-9]"","""")&amp;""?text=""&amp;ENCODEURL(""Ya llegue. Codigo: ""&amp;A1599&amp;"". Ubicacion: ""&amp;""https://www.google.com/maps/search"&amp;"/?api=1&amp;query=""&amp;SUBSTITUTE(F1599,"" "",""""))),"""")"),"")</f>
        <v/>
      </c>
      <c r="M1599" s="5" t="str">
        <f t="shared" si="6"/>
        <v/>
      </c>
      <c r="N1599" s="5" t="str">
        <f>IFERROR(__xludf.DUMMYFUNCTION("IF(AND(F1599&lt;&gt;"""",REGEXMATCH(SUBSTITUTE(F1599,"" "",""""),""^-?\d+(\.\d+)?,-?\d+(\.\d+)?$""),VALUE(REGEXEXTRACT(SUBSTITUTE(F1599,"" "",""""),""^-?\d+(\.\d+)?""))&gt;=-90,VALUE(REGEXEXTRACT(SUBSTITUTE(F1599,"" "",""""),""^-?\d+(\.\d+)?""))&lt;=90,VALUE(REGEXEXT"&amp;"RACT(SUBSTITUTE(F1599,"" "",""""),""-?\d+(\.\d+)?$""))&gt;=-180,VALUE(REGEXEXTRACT(SUBSTITUTE(F1599,"" "",""""),""-?\d+(\.\d+)?$""))&lt;=180),""OK"",""REVISAR"")"),"#N/A")</f>
        <v>#N/A</v>
      </c>
    </row>
    <row r="1600" ht="15.75" customHeight="1">
      <c r="A1600" s="5" t="str">
        <f t="shared" si="1"/>
        <v>AD507-1598</v>
      </c>
      <c r="C1600" s="5"/>
      <c r="F1600" s="5"/>
      <c r="G1600" s="5" t="str">
        <f t="shared" si="2"/>
        <v/>
      </c>
      <c r="H1600" s="5" t="str">
        <f t="shared" si="3"/>
        <v/>
      </c>
      <c r="I1600" s="5" t="str">
        <f t="shared" si="4"/>
        <v/>
      </c>
      <c r="J1600" s="5" t="str">
        <f t="shared" si="5"/>
        <v/>
      </c>
      <c r="K1600" s="5" t="str">
        <f>IFERROR(__xludf.DUMMYFUNCTION("IF(C1600&lt;&gt;"""",HYPERLINK(""https://wa.me/507""&amp;REGEXREPLACE(C1600,""[^0-9]"","""")&amp;""?text=""&amp;ENCODEURL(""Ya llegue. Codigo: ""&amp;A1600&amp;"". Ubicacion: ""&amp;""https://www.google.com/maps/search/?api=1&amp;query=""&amp;SUBSTITUTE(F1600,"" "","""")),""📲 Avisar al clien"&amp;"te""),"""")"),"")</f>
        <v/>
      </c>
      <c r="L1600" s="5" t="str">
        <f>IFERROR(__xludf.DUMMYFUNCTION("IF(C1600&lt;&gt;"""",""https://api.qrserver.com/v1/create-qr-code/?size=200x200&amp;data=""&amp;ENCODEURL(""https://wa.me/507""&amp;REGEXREPLACE(C1600,""[^0-9]"","""")&amp;""?text=""&amp;ENCODEURL(""Ya llegue. Codigo: ""&amp;A1600&amp;"". Ubicacion: ""&amp;""https://www.google.com/maps/search"&amp;"/?api=1&amp;query=""&amp;SUBSTITUTE(F1600,"" "",""""))),"""")"),"")</f>
        <v/>
      </c>
      <c r="M1600" s="5" t="str">
        <f t="shared" si="6"/>
        <v/>
      </c>
      <c r="N1600" s="5" t="str">
        <f>IFERROR(__xludf.DUMMYFUNCTION("IF(AND(F1600&lt;&gt;"""",REGEXMATCH(SUBSTITUTE(F1600,"" "",""""),""^-?\d+(\.\d+)?,-?\d+(\.\d+)?$""),VALUE(REGEXEXTRACT(SUBSTITUTE(F1600,"" "",""""),""^-?\d+(\.\d+)?""))&gt;=-90,VALUE(REGEXEXTRACT(SUBSTITUTE(F1600,"" "",""""),""^-?\d+(\.\d+)?""))&lt;=90,VALUE(REGEXEXT"&amp;"RACT(SUBSTITUTE(F1600,"" "",""""),""-?\d+(\.\d+)?$""))&gt;=-180,VALUE(REGEXEXTRACT(SUBSTITUTE(F1600,"" "",""""),""-?\d+(\.\d+)?$""))&lt;=180),""OK"",""REVISAR"")"),"#N/A")</f>
        <v>#N/A</v>
      </c>
    </row>
    <row r="1601" ht="15.75" customHeight="1">
      <c r="A1601" s="5" t="str">
        <f t="shared" si="1"/>
        <v>AD507-1599</v>
      </c>
      <c r="C1601" s="5"/>
      <c r="F1601" s="5"/>
      <c r="G1601" s="5" t="str">
        <f t="shared" si="2"/>
        <v/>
      </c>
      <c r="H1601" s="5" t="str">
        <f t="shared" si="3"/>
        <v/>
      </c>
      <c r="I1601" s="5" t="str">
        <f t="shared" si="4"/>
        <v/>
      </c>
      <c r="J1601" s="5" t="str">
        <f t="shared" si="5"/>
        <v/>
      </c>
      <c r="K1601" s="5" t="str">
        <f>IFERROR(__xludf.DUMMYFUNCTION("IF(C1601&lt;&gt;"""",HYPERLINK(""https://wa.me/507""&amp;REGEXREPLACE(C1601,""[^0-9]"","""")&amp;""?text=""&amp;ENCODEURL(""Ya llegue. Codigo: ""&amp;A1601&amp;"". Ubicacion: ""&amp;""https://www.google.com/maps/search/?api=1&amp;query=""&amp;SUBSTITUTE(F1601,"" "","""")),""📲 Avisar al clien"&amp;"te""),"""")"),"")</f>
        <v/>
      </c>
      <c r="L1601" s="5" t="str">
        <f>IFERROR(__xludf.DUMMYFUNCTION("IF(C1601&lt;&gt;"""",""https://api.qrserver.com/v1/create-qr-code/?size=200x200&amp;data=""&amp;ENCODEURL(""https://wa.me/507""&amp;REGEXREPLACE(C1601,""[^0-9]"","""")&amp;""?text=""&amp;ENCODEURL(""Ya llegue. Codigo: ""&amp;A1601&amp;"". Ubicacion: ""&amp;""https://www.google.com/maps/search"&amp;"/?api=1&amp;query=""&amp;SUBSTITUTE(F1601,"" "",""""))),"""")"),"")</f>
        <v/>
      </c>
      <c r="M1601" s="5" t="str">
        <f t="shared" si="6"/>
        <v/>
      </c>
      <c r="N1601" s="5" t="str">
        <f>IFERROR(__xludf.DUMMYFUNCTION("IF(AND(F1601&lt;&gt;"""",REGEXMATCH(SUBSTITUTE(F1601,"" "",""""),""^-?\d+(\.\d+)?,-?\d+(\.\d+)?$""),VALUE(REGEXEXTRACT(SUBSTITUTE(F1601,"" "",""""),""^-?\d+(\.\d+)?""))&gt;=-90,VALUE(REGEXEXTRACT(SUBSTITUTE(F1601,"" "",""""),""^-?\d+(\.\d+)?""))&lt;=90,VALUE(REGEXEXT"&amp;"RACT(SUBSTITUTE(F1601,"" "",""""),""-?\d+(\.\d+)?$""))&gt;=-180,VALUE(REGEXEXTRACT(SUBSTITUTE(F1601,"" "",""""),""-?\d+(\.\d+)?$""))&lt;=180),""OK"",""REVISAR"")"),"#N/A")</f>
        <v>#N/A</v>
      </c>
    </row>
    <row r="1602" ht="15.75" customHeight="1">
      <c r="A1602" s="5" t="str">
        <f t="shared" si="1"/>
        <v>AD507-1600</v>
      </c>
      <c r="C1602" s="5"/>
      <c r="F1602" s="5"/>
      <c r="G1602" s="5" t="str">
        <f t="shared" si="2"/>
        <v/>
      </c>
      <c r="H1602" s="5" t="str">
        <f t="shared" si="3"/>
        <v/>
      </c>
      <c r="I1602" s="5" t="str">
        <f t="shared" si="4"/>
        <v/>
      </c>
      <c r="J1602" s="5" t="str">
        <f t="shared" si="5"/>
        <v/>
      </c>
      <c r="K1602" s="5" t="str">
        <f>IFERROR(__xludf.DUMMYFUNCTION("IF(C1602&lt;&gt;"""",HYPERLINK(""https://wa.me/507""&amp;REGEXREPLACE(C1602,""[^0-9]"","""")&amp;""?text=""&amp;ENCODEURL(""Ya llegue. Codigo: ""&amp;A1602&amp;"". Ubicacion: ""&amp;""https://www.google.com/maps/search/?api=1&amp;query=""&amp;SUBSTITUTE(F1602,"" "","""")),""📲 Avisar al clien"&amp;"te""),"""")"),"")</f>
        <v/>
      </c>
      <c r="L1602" s="5" t="str">
        <f>IFERROR(__xludf.DUMMYFUNCTION("IF(C1602&lt;&gt;"""",""https://api.qrserver.com/v1/create-qr-code/?size=200x200&amp;data=""&amp;ENCODEURL(""https://wa.me/507""&amp;REGEXREPLACE(C1602,""[^0-9]"","""")&amp;""?text=""&amp;ENCODEURL(""Ya llegue. Codigo: ""&amp;A1602&amp;"". Ubicacion: ""&amp;""https://www.google.com/maps/search"&amp;"/?api=1&amp;query=""&amp;SUBSTITUTE(F1602,"" "",""""))),"""")"),"")</f>
        <v/>
      </c>
      <c r="M1602" s="5" t="str">
        <f t="shared" si="6"/>
        <v/>
      </c>
      <c r="N1602" s="5" t="str">
        <f>IFERROR(__xludf.DUMMYFUNCTION("IF(AND(F1602&lt;&gt;"""",REGEXMATCH(SUBSTITUTE(F1602,"" "",""""),""^-?\d+(\.\d+)?,-?\d+(\.\d+)?$""),VALUE(REGEXEXTRACT(SUBSTITUTE(F1602,"" "",""""),""^-?\d+(\.\d+)?""))&gt;=-90,VALUE(REGEXEXTRACT(SUBSTITUTE(F1602,"" "",""""),""^-?\d+(\.\d+)?""))&lt;=90,VALUE(REGEXEXT"&amp;"RACT(SUBSTITUTE(F1602,"" "",""""),""-?\d+(\.\d+)?$""))&gt;=-180,VALUE(REGEXEXTRACT(SUBSTITUTE(F1602,"" "",""""),""-?\d+(\.\d+)?$""))&lt;=180),""OK"",""REVISAR"")"),"#N/A")</f>
        <v>#N/A</v>
      </c>
    </row>
    <row r="1603" ht="15.75" customHeight="1">
      <c r="A1603" s="5" t="str">
        <f t="shared" si="1"/>
        <v>AD507-1601</v>
      </c>
      <c r="C1603" s="5"/>
      <c r="F1603" s="5"/>
      <c r="G1603" s="5" t="str">
        <f t="shared" si="2"/>
        <v/>
      </c>
      <c r="H1603" s="5" t="str">
        <f t="shared" si="3"/>
        <v/>
      </c>
      <c r="I1603" s="5" t="str">
        <f t="shared" si="4"/>
        <v/>
      </c>
      <c r="J1603" s="5" t="str">
        <f t="shared" si="5"/>
        <v/>
      </c>
      <c r="K1603" s="5" t="str">
        <f>IFERROR(__xludf.DUMMYFUNCTION("IF(C1603&lt;&gt;"""",HYPERLINK(""https://wa.me/507""&amp;REGEXREPLACE(C1603,""[^0-9]"","""")&amp;""?text=""&amp;ENCODEURL(""Ya llegue. Codigo: ""&amp;A1603&amp;"". Ubicacion: ""&amp;""https://www.google.com/maps/search/?api=1&amp;query=""&amp;SUBSTITUTE(F1603,"" "","""")),""📲 Avisar al clien"&amp;"te""),"""")"),"")</f>
        <v/>
      </c>
      <c r="L1603" s="5" t="str">
        <f>IFERROR(__xludf.DUMMYFUNCTION("IF(C1603&lt;&gt;"""",""https://api.qrserver.com/v1/create-qr-code/?size=200x200&amp;data=""&amp;ENCODEURL(""https://wa.me/507""&amp;REGEXREPLACE(C1603,""[^0-9]"","""")&amp;""?text=""&amp;ENCODEURL(""Ya llegue. Codigo: ""&amp;A1603&amp;"". Ubicacion: ""&amp;""https://www.google.com/maps/search"&amp;"/?api=1&amp;query=""&amp;SUBSTITUTE(F1603,"" "",""""))),"""")"),"")</f>
        <v/>
      </c>
      <c r="M1603" s="5" t="str">
        <f t="shared" si="6"/>
        <v/>
      </c>
      <c r="N1603" s="5" t="str">
        <f>IFERROR(__xludf.DUMMYFUNCTION("IF(AND(F1603&lt;&gt;"""",REGEXMATCH(SUBSTITUTE(F1603,"" "",""""),""^-?\d+(\.\d+)?,-?\d+(\.\d+)?$""),VALUE(REGEXEXTRACT(SUBSTITUTE(F1603,"" "",""""),""^-?\d+(\.\d+)?""))&gt;=-90,VALUE(REGEXEXTRACT(SUBSTITUTE(F1603,"" "",""""),""^-?\d+(\.\d+)?""))&lt;=90,VALUE(REGEXEXT"&amp;"RACT(SUBSTITUTE(F1603,"" "",""""),""-?\d+(\.\d+)?$""))&gt;=-180,VALUE(REGEXEXTRACT(SUBSTITUTE(F1603,"" "",""""),""-?\d+(\.\d+)?$""))&lt;=180),""OK"",""REVISAR"")"),"#N/A")</f>
        <v>#N/A</v>
      </c>
    </row>
    <row r="1604" ht="15.75" customHeight="1">
      <c r="A1604" s="5" t="str">
        <f t="shared" si="1"/>
        <v>AD507-1602</v>
      </c>
      <c r="C1604" s="5"/>
      <c r="F1604" s="5"/>
      <c r="G1604" s="5" t="str">
        <f t="shared" si="2"/>
        <v/>
      </c>
      <c r="H1604" s="5" t="str">
        <f t="shared" si="3"/>
        <v/>
      </c>
      <c r="I1604" s="5" t="str">
        <f t="shared" si="4"/>
        <v/>
      </c>
      <c r="J1604" s="5" t="str">
        <f t="shared" si="5"/>
        <v/>
      </c>
      <c r="K1604" s="5" t="str">
        <f>IFERROR(__xludf.DUMMYFUNCTION("IF(C1604&lt;&gt;"""",HYPERLINK(""https://wa.me/507""&amp;REGEXREPLACE(C1604,""[^0-9]"","""")&amp;""?text=""&amp;ENCODEURL(""Ya llegue. Codigo: ""&amp;A1604&amp;"". Ubicacion: ""&amp;""https://www.google.com/maps/search/?api=1&amp;query=""&amp;SUBSTITUTE(F1604,"" "","""")),""📲 Avisar al clien"&amp;"te""),"""")"),"")</f>
        <v/>
      </c>
      <c r="L1604" s="5" t="str">
        <f>IFERROR(__xludf.DUMMYFUNCTION("IF(C1604&lt;&gt;"""",""https://api.qrserver.com/v1/create-qr-code/?size=200x200&amp;data=""&amp;ENCODEURL(""https://wa.me/507""&amp;REGEXREPLACE(C1604,""[^0-9]"","""")&amp;""?text=""&amp;ENCODEURL(""Ya llegue. Codigo: ""&amp;A1604&amp;"". Ubicacion: ""&amp;""https://www.google.com/maps/search"&amp;"/?api=1&amp;query=""&amp;SUBSTITUTE(F1604,"" "",""""))),"""")"),"")</f>
        <v/>
      </c>
      <c r="M1604" s="5" t="str">
        <f t="shared" si="6"/>
        <v/>
      </c>
      <c r="N1604" s="5" t="str">
        <f>IFERROR(__xludf.DUMMYFUNCTION("IF(AND(F1604&lt;&gt;"""",REGEXMATCH(SUBSTITUTE(F1604,"" "",""""),""^-?\d+(\.\d+)?,-?\d+(\.\d+)?$""),VALUE(REGEXEXTRACT(SUBSTITUTE(F1604,"" "",""""),""^-?\d+(\.\d+)?""))&gt;=-90,VALUE(REGEXEXTRACT(SUBSTITUTE(F1604,"" "",""""),""^-?\d+(\.\d+)?""))&lt;=90,VALUE(REGEXEXT"&amp;"RACT(SUBSTITUTE(F1604,"" "",""""),""-?\d+(\.\d+)?$""))&gt;=-180,VALUE(REGEXEXTRACT(SUBSTITUTE(F1604,"" "",""""),""-?\d+(\.\d+)?$""))&lt;=180),""OK"",""REVISAR"")"),"#N/A")</f>
        <v>#N/A</v>
      </c>
    </row>
    <row r="1605" ht="15.75" customHeight="1">
      <c r="A1605" s="5" t="str">
        <f t="shared" si="1"/>
        <v>AD507-1603</v>
      </c>
      <c r="C1605" s="5"/>
      <c r="F1605" s="5"/>
      <c r="G1605" s="5" t="str">
        <f t="shared" si="2"/>
        <v/>
      </c>
      <c r="H1605" s="5" t="str">
        <f t="shared" si="3"/>
        <v/>
      </c>
      <c r="I1605" s="5" t="str">
        <f t="shared" si="4"/>
        <v/>
      </c>
      <c r="J1605" s="5" t="str">
        <f t="shared" si="5"/>
        <v/>
      </c>
      <c r="K1605" s="5" t="str">
        <f>IFERROR(__xludf.DUMMYFUNCTION("IF(C1605&lt;&gt;"""",HYPERLINK(""https://wa.me/507""&amp;REGEXREPLACE(C1605,""[^0-9]"","""")&amp;""?text=""&amp;ENCODEURL(""Ya llegue. Codigo: ""&amp;A1605&amp;"". Ubicacion: ""&amp;""https://www.google.com/maps/search/?api=1&amp;query=""&amp;SUBSTITUTE(F1605,"" "","""")),""📲 Avisar al clien"&amp;"te""),"""")"),"")</f>
        <v/>
      </c>
      <c r="L1605" s="5" t="str">
        <f>IFERROR(__xludf.DUMMYFUNCTION("IF(C1605&lt;&gt;"""",""https://api.qrserver.com/v1/create-qr-code/?size=200x200&amp;data=""&amp;ENCODEURL(""https://wa.me/507""&amp;REGEXREPLACE(C1605,""[^0-9]"","""")&amp;""?text=""&amp;ENCODEURL(""Ya llegue. Codigo: ""&amp;A1605&amp;"". Ubicacion: ""&amp;""https://www.google.com/maps/search"&amp;"/?api=1&amp;query=""&amp;SUBSTITUTE(F1605,"" "",""""))),"""")"),"")</f>
        <v/>
      </c>
      <c r="M1605" s="5" t="str">
        <f t="shared" si="6"/>
        <v/>
      </c>
      <c r="N1605" s="5" t="str">
        <f>IFERROR(__xludf.DUMMYFUNCTION("IF(AND(F1605&lt;&gt;"""",REGEXMATCH(SUBSTITUTE(F1605,"" "",""""),""^-?\d+(\.\d+)?,-?\d+(\.\d+)?$""),VALUE(REGEXEXTRACT(SUBSTITUTE(F1605,"" "",""""),""^-?\d+(\.\d+)?""))&gt;=-90,VALUE(REGEXEXTRACT(SUBSTITUTE(F1605,"" "",""""),""^-?\d+(\.\d+)?""))&lt;=90,VALUE(REGEXEXT"&amp;"RACT(SUBSTITUTE(F1605,"" "",""""),""-?\d+(\.\d+)?$""))&gt;=-180,VALUE(REGEXEXTRACT(SUBSTITUTE(F1605,"" "",""""),""-?\d+(\.\d+)?$""))&lt;=180),""OK"",""REVISAR"")"),"#N/A")</f>
        <v>#N/A</v>
      </c>
    </row>
    <row r="1606" ht="15.75" customHeight="1">
      <c r="A1606" s="5" t="str">
        <f t="shared" si="1"/>
        <v>AD507-1604</v>
      </c>
      <c r="C1606" s="5"/>
      <c r="F1606" s="5"/>
      <c r="G1606" s="5" t="str">
        <f t="shared" si="2"/>
        <v/>
      </c>
      <c r="H1606" s="5" t="str">
        <f t="shared" si="3"/>
        <v/>
      </c>
      <c r="I1606" s="5" t="str">
        <f t="shared" si="4"/>
        <v/>
      </c>
      <c r="J1606" s="5" t="str">
        <f t="shared" si="5"/>
        <v/>
      </c>
      <c r="K1606" s="5" t="str">
        <f>IFERROR(__xludf.DUMMYFUNCTION("IF(C1606&lt;&gt;"""",HYPERLINK(""https://wa.me/507""&amp;REGEXREPLACE(C1606,""[^0-9]"","""")&amp;""?text=""&amp;ENCODEURL(""Ya llegue. Codigo: ""&amp;A1606&amp;"". Ubicacion: ""&amp;""https://www.google.com/maps/search/?api=1&amp;query=""&amp;SUBSTITUTE(F1606,"" "","""")),""📲 Avisar al clien"&amp;"te""),"""")"),"")</f>
        <v/>
      </c>
      <c r="L1606" s="5" t="str">
        <f>IFERROR(__xludf.DUMMYFUNCTION("IF(C1606&lt;&gt;"""",""https://api.qrserver.com/v1/create-qr-code/?size=200x200&amp;data=""&amp;ENCODEURL(""https://wa.me/507""&amp;REGEXREPLACE(C1606,""[^0-9]"","""")&amp;""?text=""&amp;ENCODEURL(""Ya llegue. Codigo: ""&amp;A1606&amp;"". Ubicacion: ""&amp;""https://www.google.com/maps/search"&amp;"/?api=1&amp;query=""&amp;SUBSTITUTE(F1606,"" "",""""))),"""")"),"")</f>
        <v/>
      </c>
      <c r="M1606" s="5" t="str">
        <f t="shared" si="6"/>
        <v/>
      </c>
      <c r="N1606" s="5" t="str">
        <f>IFERROR(__xludf.DUMMYFUNCTION("IF(AND(F1606&lt;&gt;"""",REGEXMATCH(SUBSTITUTE(F1606,"" "",""""),""^-?\d+(\.\d+)?,-?\d+(\.\d+)?$""),VALUE(REGEXEXTRACT(SUBSTITUTE(F1606,"" "",""""),""^-?\d+(\.\d+)?""))&gt;=-90,VALUE(REGEXEXTRACT(SUBSTITUTE(F1606,"" "",""""),""^-?\d+(\.\d+)?""))&lt;=90,VALUE(REGEXEXT"&amp;"RACT(SUBSTITUTE(F1606,"" "",""""),""-?\d+(\.\d+)?$""))&gt;=-180,VALUE(REGEXEXTRACT(SUBSTITUTE(F1606,"" "",""""),""-?\d+(\.\d+)?$""))&lt;=180),""OK"",""REVISAR"")"),"#N/A")</f>
        <v>#N/A</v>
      </c>
    </row>
    <row r="1607" ht="15.75" customHeight="1">
      <c r="A1607" s="5" t="str">
        <f t="shared" si="1"/>
        <v>AD507-1605</v>
      </c>
      <c r="C1607" s="5"/>
      <c r="F1607" s="5"/>
      <c r="G1607" s="5" t="str">
        <f t="shared" si="2"/>
        <v/>
      </c>
      <c r="H1607" s="5" t="str">
        <f t="shared" si="3"/>
        <v/>
      </c>
      <c r="I1607" s="5" t="str">
        <f t="shared" si="4"/>
        <v/>
      </c>
      <c r="J1607" s="5" t="str">
        <f t="shared" si="5"/>
        <v/>
      </c>
      <c r="K1607" s="5" t="str">
        <f>IFERROR(__xludf.DUMMYFUNCTION("IF(C1607&lt;&gt;"""",HYPERLINK(""https://wa.me/507""&amp;REGEXREPLACE(C1607,""[^0-9]"","""")&amp;""?text=""&amp;ENCODEURL(""Ya llegue. Codigo: ""&amp;A1607&amp;"". Ubicacion: ""&amp;""https://www.google.com/maps/search/?api=1&amp;query=""&amp;SUBSTITUTE(F1607,"" "","""")),""📲 Avisar al clien"&amp;"te""),"""")"),"")</f>
        <v/>
      </c>
      <c r="L1607" s="5" t="str">
        <f>IFERROR(__xludf.DUMMYFUNCTION("IF(C1607&lt;&gt;"""",""https://api.qrserver.com/v1/create-qr-code/?size=200x200&amp;data=""&amp;ENCODEURL(""https://wa.me/507""&amp;REGEXREPLACE(C1607,""[^0-9]"","""")&amp;""?text=""&amp;ENCODEURL(""Ya llegue. Codigo: ""&amp;A1607&amp;"". Ubicacion: ""&amp;""https://www.google.com/maps/search"&amp;"/?api=1&amp;query=""&amp;SUBSTITUTE(F1607,"" "",""""))),"""")"),"")</f>
        <v/>
      </c>
      <c r="M1607" s="5" t="str">
        <f t="shared" si="6"/>
        <v/>
      </c>
      <c r="N1607" s="5" t="str">
        <f>IFERROR(__xludf.DUMMYFUNCTION("IF(AND(F1607&lt;&gt;"""",REGEXMATCH(SUBSTITUTE(F1607,"" "",""""),""^-?\d+(\.\d+)?,-?\d+(\.\d+)?$""),VALUE(REGEXEXTRACT(SUBSTITUTE(F1607,"" "",""""),""^-?\d+(\.\d+)?""))&gt;=-90,VALUE(REGEXEXTRACT(SUBSTITUTE(F1607,"" "",""""),""^-?\d+(\.\d+)?""))&lt;=90,VALUE(REGEXEXT"&amp;"RACT(SUBSTITUTE(F1607,"" "",""""),""-?\d+(\.\d+)?$""))&gt;=-180,VALUE(REGEXEXTRACT(SUBSTITUTE(F1607,"" "",""""),""-?\d+(\.\d+)?$""))&lt;=180),""OK"",""REVISAR"")"),"#N/A")</f>
        <v>#N/A</v>
      </c>
    </row>
    <row r="1608" ht="15.75" customHeight="1">
      <c r="A1608" s="5" t="str">
        <f t="shared" si="1"/>
        <v>AD507-1606</v>
      </c>
      <c r="C1608" s="5"/>
      <c r="F1608" s="5"/>
      <c r="G1608" s="5" t="str">
        <f t="shared" si="2"/>
        <v/>
      </c>
      <c r="H1608" s="5" t="str">
        <f t="shared" si="3"/>
        <v/>
      </c>
      <c r="I1608" s="5" t="str">
        <f t="shared" si="4"/>
        <v/>
      </c>
      <c r="J1608" s="5" t="str">
        <f t="shared" si="5"/>
        <v/>
      </c>
      <c r="K1608" s="5" t="str">
        <f>IFERROR(__xludf.DUMMYFUNCTION("IF(C1608&lt;&gt;"""",HYPERLINK(""https://wa.me/507""&amp;REGEXREPLACE(C1608,""[^0-9]"","""")&amp;""?text=""&amp;ENCODEURL(""Ya llegue. Codigo: ""&amp;A1608&amp;"". Ubicacion: ""&amp;""https://www.google.com/maps/search/?api=1&amp;query=""&amp;SUBSTITUTE(F1608,"" "","""")),""📲 Avisar al clien"&amp;"te""),"""")"),"")</f>
        <v/>
      </c>
      <c r="L1608" s="5" t="str">
        <f>IFERROR(__xludf.DUMMYFUNCTION("IF(C1608&lt;&gt;"""",""https://api.qrserver.com/v1/create-qr-code/?size=200x200&amp;data=""&amp;ENCODEURL(""https://wa.me/507""&amp;REGEXREPLACE(C1608,""[^0-9]"","""")&amp;""?text=""&amp;ENCODEURL(""Ya llegue. Codigo: ""&amp;A1608&amp;"". Ubicacion: ""&amp;""https://www.google.com/maps/search"&amp;"/?api=1&amp;query=""&amp;SUBSTITUTE(F1608,"" "",""""))),"""")"),"")</f>
        <v/>
      </c>
      <c r="M1608" s="5" t="str">
        <f t="shared" si="6"/>
        <v/>
      </c>
      <c r="N1608" s="5" t="str">
        <f>IFERROR(__xludf.DUMMYFUNCTION("IF(AND(F1608&lt;&gt;"""",REGEXMATCH(SUBSTITUTE(F1608,"" "",""""),""^-?\d+(\.\d+)?,-?\d+(\.\d+)?$""),VALUE(REGEXEXTRACT(SUBSTITUTE(F1608,"" "",""""),""^-?\d+(\.\d+)?""))&gt;=-90,VALUE(REGEXEXTRACT(SUBSTITUTE(F1608,"" "",""""),""^-?\d+(\.\d+)?""))&lt;=90,VALUE(REGEXEXT"&amp;"RACT(SUBSTITUTE(F1608,"" "",""""),""-?\d+(\.\d+)?$""))&gt;=-180,VALUE(REGEXEXTRACT(SUBSTITUTE(F1608,"" "",""""),""-?\d+(\.\d+)?$""))&lt;=180),""OK"",""REVISAR"")"),"#N/A")</f>
        <v>#N/A</v>
      </c>
    </row>
    <row r="1609" ht="15.75" customHeight="1">
      <c r="A1609" s="5" t="str">
        <f t="shared" si="1"/>
        <v>AD507-1607</v>
      </c>
      <c r="C1609" s="5"/>
      <c r="F1609" s="5"/>
      <c r="G1609" s="5" t="str">
        <f t="shared" si="2"/>
        <v/>
      </c>
      <c r="H1609" s="5" t="str">
        <f t="shared" si="3"/>
        <v/>
      </c>
      <c r="I1609" s="5" t="str">
        <f t="shared" si="4"/>
        <v/>
      </c>
      <c r="J1609" s="5" t="str">
        <f t="shared" si="5"/>
        <v/>
      </c>
      <c r="K1609" s="5" t="str">
        <f>IFERROR(__xludf.DUMMYFUNCTION("IF(C1609&lt;&gt;"""",HYPERLINK(""https://wa.me/507""&amp;REGEXREPLACE(C1609,""[^0-9]"","""")&amp;""?text=""&amp;ENCODEURL(""Ya llegue. Codigo: ""&amp;A1609&amp;"". Ubicacion: ""&amp;""https://www.google.com/maps/search/?api=1&amp;query=""&amp;SUBSTITUTE(F1609,"" "","""")),""📲 Avisar al clien"&amp;"te""),"""")"),"")</f>
        <v/>
      </c>
      <c r="L1609" s="5" t="str">
        <f>IFERROR(__xludf.DUMMYFUNCTION("IF(C1609&lt;&gt;"""",""https://api.qrserver.com/v1/create-qr-code/?size=200x200&amp;data=""&amp;ENCODEURL(""https://wa.me/507""&amp;REGEXREPLACE(C1609,""[^0-9]"","""")&amp;""?text=""&amp;ENCODEURL(""Ya llegue. Codigo: ""&amp;A1609&amp;"". Ubicacion: ""&amp;""https://www.google.com/maps/search"&amp;"/?api=1&amp;query=""&amp;SUBSTITUTE(F1609,"" "",""""))),"""")"),"")</f>
        <v/>
      </c>
      <c r="M1609" s="5" t="str">
        <f t="shared" si="6"/>
        <v/>
      </c>
      <c r="N1609" s="5" t="str">
        <f>IFERROR(__xludf.DUMMYFUNCTION("IF(AND(F1609&lt;&gt;"""",REGEXMATCH(SUBSTITUTE(F1609,"" "",""""),""^-?\d+(\.\d+)?,-?\d+(\.\d+)?$""),VALUE(REGEXEXTRACT(SUBSTITUTE(F1609,"" "",""""),""^-?\d+(\.\d+)?""))&gt;=-90,VALUE(REGEXEXTRACT(SUBSTITUTE(F1609,"" "",""""),""^-?\d+(\.\d+)?""))&lt;=90,VALUE(REGEXEXT"&amp;"RACT(SUBSTITUTE(F1609,"" "",""""),""-?\d+(\.\d+)?$""))&gt;=-180,VALUE(REGEXEXTRACT(SUBSTITUTE(F1609,"" "",""""),""-?\d+(\.\d+)?$""))&lt;=180),""OK"",""REVISAR"")"),"#N/A")</f>
        <v>#N/A</v>
      </c>
    </row>
    <row r="1610" ht="15.75" customHeight="1">
      <c r="A1610" s="5" t="str">
        <f t="shared" si="1"/>
        <v>AD507-1608</v>
      </c>
      <c r="C1610" s="5"/>
      <c r="F1610" s="5"/>
      <c r="G1610" s="5" t="str">
        <f t="shared" si="2"/>
        <v/>
      </c>
      <c r="H1610" s="5" t="str">
        <f t="shared" si="3"/>
        <v/>
      </c>
      <c r="I1610" s="5" t="str">
        <f t="shared" si="4"/>
        <v/>
      </c>
      <c r="J1610" s="5" t="str">
        <f t="shared" si="5"/>
        <v/>
      </c>
      <c r="K1610" s="5" t="str">
        <f>IFERROR(__xludf.DUMMYFUNCTION("IF(C1610&lt;&gt;"""",HYPERLINK(""https://wa.me/507""&amp;REGEXREPLACE(C1610,""[^0-9]"","""")&amp;""?text=""&amp;ENCODEURL(""Ya llegue. Codigo: ""&amp;A1610&amp;"". Ubicacion: ""&amp;""https://www.google.com/maps/search/?api=1&amp;query=""&amp;SUBSTITUTE(F1610,"" "","""")),""📲 Avisar al clien"&amp;"te""),"""")"),"")</f>
        <v/>
      </c>
      <c r="L1610" s="5" t="str">
        <f>IFERROR(__xludf.DUMMYFUNCTION("IF(C1610&lt;&gt;"""",""https://api.qrserver.com/v1/create-qr-code/?size=200x200&amp;data=""&amp;ENCODEURL(""https://wa.me/507""&amp;REGEXREPLACE(C1610,""[^0-9]"","""")&amp;""?text=""&amp;ENCODEURL(""Ya llegue. Codigo: ""&amp;A1610&amp;"". Ubicacion: ""&amp;""https://www.google.com/maps/search"&amp;"/?api=1&amp;query=""&amp;SUBSTITUTE(F1610,"" "",""""))),"""")"),"")</f>
        <v/>
      </c>
      <c r="M1610" s="5" t="str">
        <f t="shared" si="6"/>
        <v/>
      </c>
      <c r="N1610" s="5" t="str">
        <f>IFERROR(__xludf.DUMMYFUNCTION("IF(AND(F1610&lt;&gt;"""",REGEXMATCH(SUBSTITUTE(F1610,"" "",""""),""^-?\d+(\.\d+)?,-?\d+(\.\d+)?$""),VALUE(REGEXEXTRACT(SUBSTITUTE(F1610,"" "",""""),""^-?\d+(\.\d+)?""))&gt;=-90,VALUE(REGEXEXTRACT(SUBSTITUTE(F1610,"" "",""""),""^-?\d+(\.\d+)?""))&lt;=90,VALUE(REGEXEXT"&amp;"RACT(SUBSTITUTE(F1610,"" "",""""),""-?\d+(\.\d+)?$""))&gt;=-180,VALUE(REGEXEXTRACT(SUBSTITUTE(F1610,"" "",""""),""-?\d+(\.\d+)?$""))&lt;=180),""OK"",""REVISAR"")"),"#N/A")</f>
        <v>#N/A</v>
      </c>
    </row>
    <row r="1611" ht="15.75" customHeight="1">
      <c r="A1611" s="5" t="str">
        <f t="shared" si="1"/>
        <v>AD507-1609</v>
      </c>
      <c r="C1611" s="5"/>
      <c r="F1611" s="5"/>
      <c r="G1611" s="5" t="str">
        <f t="shared" si="2"/>
        <v/>
      </c>
      <c r="H1611" s="5" t="str">
        <f t="shared" si="3"/>
        <v/>
      </c>
      <c r="I1611" s="5" t="str">
        <f t="shared" si="4"/>
        <v/>
      </c>
      <c r="J1611" s="5" t="str">
        <f t="shared" si="5"/>
        <v/>
      </c>
      <c r="K1611" s="5" t="str">
        <f>IFERROR(__xludf.DUMMYFUNCTION("IF(C1611&lt;&gt;"""",HYPERLINK(""https://wa.me/507""&amp;REGEXREPLACE(C1611,""[^0-9]"","""")&amp;""?text=""&amp;ENCODEURL(""Ya llegue. Codigo: ""&amp;A1611&amp;"". Ubicacion: ""&amp;""https://www.google.com/maps/search/?api=1&amp;query=""&amp;SUBSTITUTE(F1611,"" "","""")),""📲 Avisar al clien"&amp;"te""),"""")"),"")</f>
        <v/>
      </c>
      <c r="L1611" s="5" t="str">
        <f>IFERROR(__xludf.DUMMYFUNCTION("IF(C1611&lt;&gt;"""",""https://api.qrserver.com/v1/create-qr-code/?size=200x200&amp;data=""&amp;ENCODEURL(""https://wa.me/507""&amp;REGEXREPLACE(C1611,""[^0-9]"","""")&amp;""?text=""&amp;ENCODEURL(""Ya llegue. Codigo: ""&amp;A1611&amp;"". Ubicacion: ""&amp;""https://www.google.com/maps/search"&amp;"/?api=1&amp;query=""&amp;SUBSTITUTE(F1611,"" "",""""))),"""")"),"")</f>
        <v/>
      </c>
      <c r="M1611" s="5" t="str">
        <f t="shared" si="6"/>
        <v/>
      </c>
      <c r="N1611" s="5" t="str">
        <f>IFERROR(__xludf.DUMMYFUNCTION("IF(AND(F1611&lt;&gt;"""",REGEXMATCH(SUBSTITUTE(F1611,"" "",""""),""^-?\d+(\.\d+)?,-?\d+(\.\d+)?$""),VALUE(REGEXEXTRACT(SUBSTITUTE(F1611,"" "",""""),""^-?\d+(\.\d+)?""))&gt;=-90,VALUE(REGEXEXTRACT(SUBSTITUTE(F1611,"" "",""""),""^-?\d+(\.\d+)?""))&lt;=90,VALUE(REGEXEXT"&amp;"RACT(SUBSTITUTE(F1611,"" "",""""),""-?\d+(\.\d+)?$""))&gt;=-180,VALUE(REGEXEXTRACT(SUBSTITUTE(F1611,"" "",""""),""-?\d+(\.\d+)?$""))&lt;=180),""OK"",""REVISAR"")"),"#N/A")</f>
        <v>#N/A</v>
      </c>
    </row>
    <row r="1612" ht="15.75" customHeight="1">
      <c r="A1612" s="5" t="str">
        <f t="shared" si="1"/>
        <v>AD507-1610</v>
      </c>
      <c r="C1612" s="5"/>
      <c r="F1612" s="5"/>
      <c r="G1612" s="5" t="str">
        <f t="shared" si="2"/>
        <v/>
      </c>
      <c r="H1612" s="5" t="str">
        <f t="shared" si="3"/>
        <v/>
      </c>
      <c r="I1612" s="5" t="str">
        <f t="shared" si="4"/>
        <v/>
      </c>
      <c r="J1612" s="5" t="str">
        <f t="shared" si="5"/>
        <v/>
      </c>
      <c r="K1612" s="5" t="str">
        <f>IFERROR(__xludf.DUMMYFUNCTION("IF(C1612&lt;&gt;"""",HYPERLINK(""https://wa.me/507""&amp;REGEXREPLACE(C1612,""[^0-9]"","""")&amp;""?text=""&amp;ENCODEURL(""Ya llegue. Codigo: ""&amp;A1612&amp;"". Ubicacion: ""&amp;""https://www.google.com/maps/search/?api=1&amp;query=""&amp;SUBSTITUTE(F1612,"" "","""")),""📲 Avisar al clien"&amp;"te""),"""")"),"")</f>
        <v/>
      </c>
      <c r="L1612" s="5" t="str">
        <f>IFERROR(__xludf.DUMMYFUNCTION("IF(C1612&lt;&gt;"""",""https://api.qrserver.com/v1/create-qr-code/?size=200x200&amp;data=""&amp;ENCODEURL(""https://wa.me/507""&amp;REGEXREPLACE(C1612,""[^0-9]"","""")&amp;""?text=""&amp;ENCODEURL(""Ya llegue. Codigo: ""&amp;A1612&amp;"". Ubicacion: ""&amp;""https://www.google.com/maps/search"&amp;"/?api=1&amp;query=""&amp;SUBSTITUTE(F1612,"" "",""""))),"""")"),"")</f>
        <v/>
      </c>
      <c r="M1612" s="5" t="str">
        <f t="shared" si="6"/>
        <v/>
      </c>
      <c r="N1612" s="5" t="str">
        <f>IFERROR(__xludf.DUMMYFUNCTION("IF(AND(F1612&lt;&gt;"""",REGEXMATCH(SUBSTITUTE(F1612,"" "",""""),""^-?\d+(\.\d+)?,-?\d+(\.\d+)?$""),VALUE(REGEXEXTRACT(SUBSTITUTE(F1612,"" "",""""),""^-?\d+(\.\d+)?""))&gt;=-90,VALUE(REGEXEXTRACT(SUBSTITUTE(F1612,"" "",""""),""^-?\d+(\.\d+)?""))&lt;=90,VALUE(REGEXEXT"&amp;"RACT(SUBSTITUTE(F1612,"" "",""""),""-?\d+(\.\d+)?$""))&gt;=-180,VALUE(REGEXEXTRACT(SUBSTITUTE(F1612,"" "",""""),""-?\d+(\.\d+)?$""))&lt;=180),""OK"",""REVISAR"")"),"#N/A")</f>
        <v>#N/A</v>
      </c>
    </row>
    <row r="1613" ht="15.75" customHeight="1">
      <c r="A1613" s="5" t="str">
        <f t="shared" si="1"/>
        <v>AD507-1611</v>
      </c>
      <c r="C1613" s="5"/>
      <c r="F1613" s="5"/>
      <c r="G1613" s="5" t="str">
        <f t="shared" si="2"/>
        <v/>
      </c>
      <c r="H1613" s="5" t="str">
        <f t="shared" si="3"/>
        <v/>
      </c>
      <c r="I1613" s="5" t="str">
        <f t="shared" si="4"/>
        <v/>
      </c>
      <c r="J1613" s="5" t="str">
        <f t="shared" si="5"/>
        <v/>
      </c>
      <c r="K1613" s="5" t="str">
        <f>IFERROR(__xludf.DUMMYFUNCTION("IF(C1613&lt;&gt;"""",HYPERLINK(""https://wa.me/507""&amp;REGEXREPLACE(C1613,""[^0-9]"","""")&amp;""?text=""&amp;ENCODEURL(""Ya llegue. Codigo: ""&amp;A1613&amp;"". Ubicacion: ""&amp;""https://www.google.com/maps/search/?api=1&amp;query=""&amp;SUBSTITUTE(F1613,"" "","""")),""📲 Avisar al clien"&amp;"te""),"""")"),"")</f>
        <v/>
      </c>
      <c r="L1613" s="5" t="str">
        <f>IFERROR(__xludf.DUMMYFUNCTION("IF(C1613&lt;&gt;"""",""https://api.qrserver.com/v1/create-qr-code/?size=200x200&amp;data=""&amp;ENCODEURL(""https://wa.me/507""&amp;REGEXREPLACE(C1613,""[^0-9]"","""")&amp;""?text=""&amp;ENCODEURL(""Ya llegue. Codigo: ""&amp;A1613&amp;"". Ubicacion: ""&amp;""https://www.google.com/maps/search"&amp;"/?api=1&amp;query=""&amp;SUBSTITUTE(F1613,"" "",""""))),"""")"),"")</f>
        <v/>
      </c>
      <c r="M1613" s="5" t="str">
        <f t="shared" si="6"/>
        <v/>
      </c>
      <c r="N1613" s="5" t="str">
        <f>IFERROR(__xludf.DUMMYFUNCTION("IF(AND(F1613&lt;&gt;"""",REGEXMATCH(SUBSTITUTE(F1613,"" "",""""),""^-?\d+(\.\d+)?,-?\d+(\.\d+)?$""),VALUE(REGEXEXTRACT(SUBSTITUTE(F1613,"" "",""""),""^-?\d+(\.\d+)?""))&gt;=-90,VALUE(REGEXEXTRACT(SUBSTITUTE(F1613,"" "",""""),""^-?\d+(\.\d+)?""))&lt;=90,VALUE(REGEXEXT"&amp;"RACT(SUBSTITUTE(F1613,"" "",""""),""-?\d+(\.\d+)?$""))&gt;=-180,VALUE(REGEXEXTRACT(SUBSTITUTE(F1613,"" "",""""),""-?\d+(\.\d+)?$""))&lt;=180),""OK"",""REVISAR"")"),"#N/A")</f>
        <v>#N/A</v>
      </c>
    </row>
    <row r="1614" ht="15.75" customHeight="1">
      <c r="A1614" s="5" t="str">
        <f t="shared" si="1"/>
        <v>AD507-1612</v>
      </c>
      <c r="C1614" s="5"/>
      <c r="F1614" s="5"/>
      <c r="G1614" s="5" t="str">
        <f t="shared" si="2"/>
        <v/>
      </c>
      <c r="H1614" s="5" t="str">
        <f t="shared" si="3"/>
        <v/>
      </c>
      <c r="I1614" s="5" t="str">
        <f t="shared" si="4"/>
        <v/>
      </c>
      <c r="J1614" s="5" t="str">
        <f t="shared" si="5"/>
        <v/>
      </c>
      <c r="K1614" s="5" t="str">
        <f>IFERROR(__xludf.DUMMYFUNCTION("IF(C1614&lt;&gt;"""",HYPERLINK(""https://wa.me/507""&amp;REGEXREPLACE(C1614,""[^0-9]"","""")&amp;""?text=""&amp;ENCODEURL(""Ya llegue. Codigo: ""&amp;A1614&amp;"". Ubicacion: ""&amp;""https://www.google.com/maps/search/?api=1&amp;query=""&amp;SUBSTITUTE(F1614,"" "","""")),""📲 Avisar al clien"&amp;"te""),"""")"),"")</f>
        <v/>
      </c>
      <c r="L1614" s="5" t="str">
        <f>IFERROR(__xludf.DUMMYFUNCTION("IF(C1614&lt;&gt;"""",""https://api.qrserver.com/v1/create-qr-code/?size=200x200&amp;data=""&amp;ENCODEURL(""https://wa.me/507""&amp;REGEXREPLACE(C1614,""[^0-9]"","""")&amp;""?text=""&amp;ENCODEURL(""Ya llegue. Codigo: ""&amp;A1614&amp;"". Ubicacion: ""&amp;""https://www.google.com/maps/search"&amp;"/?api=1&amp;query=""&amp;SUBSTITUTE(F1614,"" "",""""))),"""")"),"")</f>
        <v/>
      </c>
      <c r="M1614" s="5" t="str">
        <f t="shared" si="6"/>
        <v/>
      </c>
      <c r="N1614" s="5" t="str">
        <f>IFERROR(__xludf.DUMMYFUNCTION("IF(AND(F1614&lt;&gt;"""",REGEXMATCH(SUBSTITUTE(F1614,"" "",""""),""^-?\d+(\.\d+)?,-?\d+(\.\d+)?$""),VALUE(REGEXEXTRACT(SUBSTITUTE(F1614,"" "",""""),""^-?\d+(\.\d+)?""))&gt;=-90,VALUE(REGEXEXTRACT(SUBSTITUTE(F1614,"" "",""""),""^-?\d+(\.\d+)?""))&lt;=90,VALUE(REGEXEXT"&amp;"RACT(SUBSTITUTE(F1614,"" "",""""),""-?\d+(\.\d+)?$""))&gt;=-180,VALUE(REGEXEXTRACT(SUBSTITUTE(F1614,"" "",""""),""-?\d+(\.\d+)?$""))&lt;=180),""OK"",""REVISAR"")"),"#N/A")</f>
        <v>#N/A</v>
      </c>
    </row>
    <row r="1615" ht="15.75" customHeight="1">
      <c r="A1615" s="5" t="str">
        <f t="shared" si="1"/>
        <v>AD507-1613</v>
      </c>
      <c r="C1615" s="5"/>
      <c r="F1615" s="5"/>
      <c r="G1615" s="5" t="str">
        <f t="shared" si="2"/>
        <v/>
      </c>
      <c r="H1615" s="5" t="str">
        <f t="shared" si="3"/>
        <v/>
      </c>
      <c r="I1615" s="5" t="str">
        <f t="shared" si="4"/>
        <v/>
      </c>
      <c r="J1615" s="5" t="str">
        <f t="shared" si="5"/>
        <v/>
      </c>
      <c r="K1615" s="5" t="str">
        <f>IFERROR(__xludf.DUMMYFUNCTION("IF(C1615&lt;&gt;"""",HYPERLINK(""https://wa.me/507""&amp;REGEXREPLACE(C1615,""[^0-9]"","""")&amp;""?text=""&amp;ENCODEURL(""Ya llegue. Codigo: ""&amp;A1615&amp;"". Ubicacion: ""&amp;""https://www.google.com/maps/search/?api=1&amp;query=""&amp;SUBSTITUTE(F1615,"" "","""")),""📲 Avisar al clien"&amp;"te""),"""")"),"")</f>
        <v/>
      </c>
      <c r="L1615" s="5" t="str">
        <f>IFERROR(__xludf.DUMMYFUNCTION("IF(C1615&lt;&gt;"""",""https://api.qrserver.com/v1/create-qr-code/?size=200x200&amp;data=""&amp;ENCODEURL(""https://wa.me/507""&amp;REGEXREPLACE(C1615,""[^0-9]"","""")&amp;""?text=""&amp;ENCODEURL(""Ya llegue. Codigo: ""&amp;A1615&amp;"". Ubicacion: ""&amp;""https://www.google.com/maps/search"&amp;"/?api=1&amp;query=""&amp;SUBSTITUTE(F1615,"" "",""""))),"""")"),"")</f>
        <v/>
      </c>
      <c r="M1615" s="5" t="str">
        <f t="shared" si="6"/>
        <v/>
      </c>
      <c r="N1615" s="5" t="str">
        <f>IFERROR(__xludf.DUMMYFUNCTION("IF(AND(F1615&lt;&gt;"""",REGEXMATCH(SUBSTITUTE(F1615,"" "",""""),""^-?\d+(\.\d+)?,-?\d+(\.\d+)?$""),VALUE(REGEXEXTRACT(SUBSTITUTE(F1615,"" "",""""),""^-?\d+(\.\d+)?""))&gt;=-90,VALUE(REGEXEXTRACT(SUBSTITUTE(F1615,"" "",""""),""^-?\d+(\.\d+)?""))&lt;=90,VALUE(REGEXEXT"&amp;"RACT(SUBSTITUTE(F1615,"" "",""""),""-?\d+(\.\d+)?$""))&gt;=-180,VALUE(REGEXEXTRACT(SUBSTITUTE(F1615,"" "",""""),""-?\d+(\.\d+)?$""))&lt;=180),""OK"",""REVISAR"")"),"#N/A")</f>
        <v>#N/A</v>
      </c>
    </row>
    <row r="1616" ht="15.75" customHeight="1">
      <c r="A1616" s="5" t="str">
        <f t="shared" si="1"/>
        <v>AD507-1614</v>
      </c>
      <c r="C1616" s="5"/>
      <c r="F1616" s="5"/>
      <c r="G1616" s="5" t="str">
        <f t="shared" si="2"/>
        <v/>
      </c>
      <c r="H1616" s="5" t="str">
        <f t="shared" si="3"/>
        <v/>
      </c>
      <c r="I1616" s="5" t="str">
        <f t="shared" si="4"/>
        <v/>
      </c>
      <c r="J1616" s="5" t="str">
        <f t="shared" si="5"/>
        <v/>
      </c>
      <c r="K1616" s="5" t="str">
        <f>IFERROR(__xludf.DUMMYFUNCTION("IF(C1616&lt;&gt;"""",HYPERLINK(""https://wa.me/507""&amp;REGEXREPLACE(C1616,""[^0-9]"","""")&amp;""?text=""&amp;ENCODEURL(""Ya llegue. Codigo: ""&amp;A1616&amp;"". Ubicacion: ""&amp;""https://www.google.com/maps/search/?api=1&amp;query=""&amp;SUBSTITUTE(F1616,"" "","""")),""📲 Avisar al clien"&amp;"te""),"""")"),"")</f>
        <v/>
      </c>
      <c r="L1616" s="5" t="str">
        <f>IFERROR(__xludf.DUMMYFUNCTION("IF(C1616&lt;&gt;"""",""https://api.qrserver.com/v1/create-qr-code/?size=200x200&amp;data=""&amp;ENCODEURL(""https://wa.me/507""&amp;REGEXREPLACE(C1616,""[^0-9]"","""")&amp;""?text=""&amp;ENCODEURL(""Ya llegue. Codigo: ""&amp;A1616&amp;"". Ubicacion: ""&amp;""https://www.google.com/maps/search"&amp;"/?api=1&amp;query=""&amp;SUBSTITUTE(F1616,"" "",""""))),"""")"),"")</f>
        <v/>
      </c>
      <c r="M1616" s="5" t="str">
        <f t="shared" si="6"/>
        <v/>
      </c>
      <c r="N1616" s="5" t="str">
        <f>IFERROR(__xludf.DUMMYFUNCTION("IF(AND(F1616&lt;&gt;"""",REGEXMATCH(SUBSTITUTE(F1616,"" "",""""),""^-?\d+(\.\d+)?,-?\d+(\.\d+)?$""),VALUE(REGEXEXTRACT(SUBSTITUTE(F1616,"" "",""""),""^-?\d+(\.\d+)?""))&gt;=-90,VALUE(REGEXEXTRACT(SUBSTITUTE(F1616,"" "",""""),""^-?\d+(\.\d+)?""))&lt;=90,VALUE(REGEXEXT"&amp;"RACT(SUBSTITUTE(F1616,"" "",""""),""-?\d+(\.\d+)?$""))&gt;=-180,VALUE(REGEXEXTRACT(SUBSTITUTE(F1616,"" "",""""),""-?\d+(\.\d+)?$""))&lt;=180),""OK"",""REVISAR"")"),"#N/A")</f>
        <v>#N/A</v>
      </c>
    </row>
    <row r="1617" ht="15.75" customHeight="1">
      <c r="A1617" s="5" t="str">
        <f t="shared" si="1"/>
        <v>AD507-1615</v>
      </c>
      <c r="C1617" s="5"/>
      <c r="F1617" s="5"/>
      <c r="G1617" s="5" t="str">
        <f t="shared" si="2"/>
        <v/>
      </c>
      <c r="H1617" s="5" t="str">
        <f t="shared" si="3"/>
        <v/>
      </c>
      <c r="I1617" s="5" t="str">
        <f t="shared" si="4"/>
        <v/>
      </c>
      <c r="J1617" s="5" t="str">
        <f t="shared" si="5"/>
        <v/>
      </c>
      <c r="K1617" s="5" t="str">
        <f>IFERROR(__xludf.DUMMYFUNCTION("IF(C1617&lt;&gt;"""",HYPERLINK(""https://wa.me/507""&amp;REGEXREPLACE(C1617,""[^0-9]"","""")&amp;""?text=""&amp;ENCODEURL(""Ya llegue. Codigo: ""&amp;A1617&amp;"". Ubicacion: ""&amp;""https://www.google.com/maps/search/?api=1&amp;query=""&amp;SUBSTITUTE(F1617,"" "","""")),""📲 Avisar al clien"&amp;"te""),"""")"),"")</f>
        <v/>
      </c>
      <c r="L1617" s="5" t="str">
        <f>IFERROR(__xludf.DUMMYFUNCTION("IF(C1617&lt;&gt;"""",""https://api.qrserver.com/v1/create-qr-code/?size=200x200&amp;data=""&amp;ENCODEURL(""https://wa.me/507""&amp;REGEXREPLACE(C1617,""[^0-9]"","""")&amp;""?text=""&amp;ENCODEURL(""Ya llegue. Codigo: ""&amp;A1617&amp;"". Ubicacion: ""&amp;""https://www.google.com/maps/search"&amp;"/?api=1&amp;query=""&amp;SUBSTITUTE(F1617,"" "",""""))),"""")"),"")</f>
        <v/>
      </c>
      <c r="M1617" s="5" t="str">
        <f t="shared" si="6"/>
        <v/>
      </c>
      <c r="N1617" s="5" t="str">
        <f>IFERROR(__xludf.DUMMYFUNCTION("IF(AND(F1617&lt;&gt;"""",REGEXMATCH(SUBSTITUTE(F1617,"" "",""""),""^-?\d+(\.\d+)?,-?\d+(\.\d+)?$""),VALUE(REGEXEXTRACT(SUBSTITUTE(F1617,"" "",""""),""^-?\d+(\.\d+)?""))&gt;=-90,VALUE(REGEXEXTRACT(SUBSTITUTE(F1617,"" "",""""),""^-?\d+(\.\d+)?""))&lt;=90,VALUE(REGEXEXT"&amp;"RACT(SUBSTITUTE(F1617,"" "",""""),""-?\d+(\.\d+)?$""))&gt;=-180,VALUE(REGEXEXTRACT(SUBSTITUTE(F1617,"" "",""""),""-?\d+(\.\d+)?$""))&lt;=180),""OK"",""REVISAR"")"),"#N/A")</f>
        <v>#N/A</v>
      </c>
    </row>
    <row r="1618" ht="15.75" customHeight="1">
      <c r="A1618" s="5" t="str">
        <f t="shared" si="1"/>
        <v>AD507-1616</v>
      </c>
      <c r="C1618" s="5"/>
      <c r="F1618" s="5"/>
      <c r="G1618" s="5" t="str">
        <f t="shared" si="2"/>
        <v/>
      </c>
      <c r="H1618" s="5" t="str">
        <f t="shared" si="3"/>
        <v/>
      </c>
      <c r="I1618" s="5" t="str">
        <f t="shared" si="4"/>
        <v/>
      </c>
      <c r="J1618" s="5" t="str">
        <f t="shared" si="5"/>
        <v/>
      </c>
      <c r="K1618" s="5" t="str">
        <f>IFERROR(__xludf.DUMMYFUNCTION("IF(C1618&lt;&gt;"""",HYPERLINK(""https://wa.me/507""&amp;REGEXREPLACE(C1618,""[^0-9]"","""")&amp;""?text=""&amp;ENCODEURL(""Ya llegue. Codigo: ""&amp;A1618&amp;"". Ubicacion: ""&amp;""https://www.google.com/maps/search/?api=1&amp;query=""&amp;SUBSTITUTE(F1618,"" "","""")),""📲 Avisar al clien"&amp;"te""),"""")"),"")</f>
        <v/>
      </c>
      <c r="L1618" s="5" t="str">
        <f>IFERROR(__xludf.DUMMYFUNCTION("IF(C1618&lt;&gt;"""",""https://api.qrserver.com/v1/create-qr-code/?size=200x200&amp;data=""&amp;ENCODEURL(""https://wa.me/507""&amp;REGEXREPLACE(C1618,""[^0-9]"","""")&amp;""?text=""&amp;ENCODEURL(""Ya llegue. Codigo: ""&amp;A1618&amp;"". Ubicacion: ""&amp;""https://www.google.com/maps/search"&amp;"/?api=1&amp;query=""&amp;SUBSTITUTE(F1618,"" "",""""))),"""")"),"")</f>
        <v/>
      </c>
      <c r="M1618" s="5" t="str">
        <f t="shared" si="6"/>
        <v/>
      </c>
      <c r="N1618" s="5" t="str">
        <f>IFERROR(__xludf.DUMMYFUNCTION("IF(AND(F1618&lt;&gt;"""",REGEXMATCH(SUBSTITUTE(F1618,"" "",""""),""^-?\d+(\.\d+)?,-?\d+(\.\d+)?$""),VALUE(REGEXEXTRACT(SUBSTITUTE(F1618,"" "",""""),""^-?\d+(\.\d+)?""))&gt;=-90,VALUE(REGEXEXTRACT(SUBSTITUTE(F1618,"" "",""""),""^-?\d+(\.\d+)?""))&lt;=90,VALUE(REGEXEXT"&amp;"RACT(SUBSTITUTE(F1618,"" "",""""),""-?\d+(\.\d+)?$""))&gt;=-180,VALUE(REGEXEXTRACT(SUBSTITUTE(F1618,"" "",""""),""-?\d+(\.\d+)?$""))&lt;=180),""OK"",""REVISAR"")"),"#N/A")</f>
        <v>#N/A</v>
      </c>
    </row>
    <row r="1619" ht="15.75" customHeight="1">
      <c r="A1619" s="5" t="str">
        <f t="shared" si="1"/>
        <v>AD507-1617</v>
      </c>
      <c r="C1619" s="5"/>
      <c r="F1619" s="5"/>
      <c r="G1619" s="5" t="str">
        <f t="shared" si="2"/>
        <v/>
      </c>
      <c r="H1619" s="5" t="str">
        <f t="shared" si="3"/>
        <v/>
      </c>
      <c r="I1619" s="5" t="str">
        <f t="shared" si="4"/>
        <v/>
      </c>
      <c r="J1619" s="5" t="str">
        <f t="shared" si="5"/>
        <v/>
      </c>
      <c r="K1619" s="5" t="str">
        <f>IFERROR(__xludf.DUMMYFUNCTION("IF(C1619&lt;&gt;"""",HYPERLINK(""https://wa.me/507""&amp;REGEXREPLACE(C1619,""[^0-9]"","""")&amp;""?text=""&amp;ENCODEURL(""Ya llegue. Codigo: ""&amp;A1619&amp;"". Ubicacion: ""&amp;""https://www.google.com/maps/search/?api=1&amp;query=""&amp;SUBSTITUTE(F1619,"" "","""")),""📲 Avisar al clien"&amp;"te""),"""")"),"")</f>
        <v/>
      </c>
      <c r="L1619" s="5" t="str">
        <f>IFERROR(__xludf.DUMMYFUNCTION("IF(C1619&lt;&gt;"""",""https://api.qrserver.com/v1/create-qr-code/?size=200x200&amp;data=""&amp;ENCODEURL(""https://wa.me/507""&amp;REGEXREPLACE(C1619,""[^0-9]"","""")&amp;""?text=""&amp;ENCODEURL(""Ya llegue. Codigo: ""&amp;A1619&amp;"". Ubicacion: ""&amp;""https://www.google.com/maps/search"&amp;"/?api=1&amp;query=""&amp;SUBSTITUTE(F1619,"" "",""""))),"""")"),"")</f>
        <v/>
      </c>
      <c r="M1619" s="5" t="str">
        <f t="shared" si="6"/>
        <v/>
      </c>
      <c r="N1619" s="5" t="str">
        <f>IFERROR(__xludf.DUMMYFUNCTION("IF(AND(F1619&lt;&gt;"""",REGEXMATCH(SUBSTITUTE(F1619,"" "",""""),""^-?\d+(\.\d+)?,-?\d+(\.\d+)?$""),VALUE(REGEXEXTRACT(SUBSTITUTE(F1619,"" "",""""),""^-?\d+(\.\d+)?""))&gt;=-90,VALUE(REGEXEXTRACT(SUBSTITUTE(F1619,"" "",""""),""^-?\d+(\.\d+)?""))&lt;=90,VALUE(REGEXEXT"&amp;"RACT(SUBSTITUTE(F1619,"" "",""""),""-?\d+(\.\d+)?$""))&gt;=-180,VALUE(REGEXEXTRACT(SUBSTITUTE(F1619,"" "",""""),""-?\d+(\.\d+)?$""))&lt;=180),""OK"",""REVISAR"")"),"#N/A")</f>
        <v>#N/A</v>
      </c>
    </row>
    <row r="1620" ht="15.75" customHeight="1">
      <c r="A1620" s="5" t="str">
        <f t="shared" si="1"/>
        <v>AD507-1618</v>
      </c>
      <c r="C1620" s="5"/>
      <c r="F1620" s="5"/>
      <c r="G1620" s="5" t="str">
        <f t="shared" si="2"/>
        <v/>
      </c>
      <c r="H1620" s="5" t="str">
        <f t="shared" si="3"/>
        <v/>
      </c>
      <c r="I1620" s="5" t="str">
        <f t="shared" si="4"/>
        <v/>
      </c>
      <c r="J1620" s="5" t="str">
        <f t="shared" si="5"/>
        <v/>
      </c>
      <c r="K1620" s="5" t="str">
        <f>IFERROR(__xludf.DUMMYFUNCTION("IF(C1620&lt;&gt;"""",HYPERLINK(""https://wa.me/507""&amp;REGEXREPLACE(C1620,""[^0-9]"","""")&amp;""?text=""&amp;ENCODEURL(""Ya llegue. Codigo: ""&amp;A1620&amp;"". Ubicacion: ""&amp;""https://www.google.com/maps/search/?api=1&amp;query=""&amp;SUBSTITUTE(F1620,"" "","""")),""📲 Avisar al clien"&amp;"te""),"""")"),"")</f>
        <v/>
      </c>
      <c r="L1620" s="5" t="str">
        <f>IFERROR(__xludf.DUMMYFUNCTION("IF(C1620&lt;&gt;"""",""https://api.qrserver.com/v1/create-qr-code/?size=200x200&amp;data=""&amp;ENCODEURL(""https://wa.me/507""&amp;REGEXREPLACE(C1620,""[^0-9]"","""")&amp;""?text=""&amp;ENCODEURL(""Ya llegue. Codigo: ""&amp;A1620&amp;"". Ubicacion: ""&amp;""https://www.google.com/maps/search"&amp;"/?api=1&amp;query=""&amp;SUBSTITUTE(F1620,"" "",""""))),"""")"),"")</f>
        <v/>
      </c>
      <c r="M1620" s="5" t="str">
        <f t="shared" si="6"/>
        <v/>
      </c>
      <c r="N1620" s="5" t="str">
        <f>IFERROR(__xludf.DUMMYFUNCTION("IF(AND(F1620&lt;&gt;"""",REGEXMATCH(SUBSTITUTE(F1620,"" "",""""),""^-?\d+(\.\d+)?,-?\d+(\.\d+)?$""),VALUE(REGEXEXTRACT(SUBSTITUTE(F1620,"" "",""""),""^-?\d+(\.\d+)?""))&gt;=-90,VALUE(REGEXEXTRACT(SUBSTITUTE(F1620,"" "",""""),""^-?\d+(\.\d+)?""))&lt;=90,VALUE(REGEXEXT"&amp;"RACT(SUBSTITUTE(F1620,"" "",""""),""-?\d+(\.\d+)?$""))&gt;=-180,VALUE(REGEXEXTRACT(SUBSTITUTE(F1620,"" "",""""),""-?\d+(\.\d+)?$""))&lt;=180),""OK"",""REVISAR"")"),"#N/A")</f>
        <v>#N/A</v>
      </c>
    </row>
    <row r="1621" ht="15.75" customHeight="1">
      <c r="A1621" s="5" t="str">
        <f t="shared" si="1"/>
        <v>AD507-1619</v>
      </c>
      <c r="C1621" s="5"/>
      <c r="F1621" s="5"/>
      <c r="G1621" s="5" t="str">
        <f t="shared" si="2"/>
        <v/>
      </c>
      <c r="H1621" s="5" t="str">
        <f t="shared" si="3"/>
        <v/>
      </c>
      <c r="I1621" s="5" t="str">
        <f t="shared" si="4"/>
        <v/>
      </c>
      <c r="J1621" s="5" t="str">
        <f t="shared" si="5"/>
        <v/>
      </c>
      <c r="K1621" s="5" t="str">
        <f>IFERROR(__xludf.DUMMYFUNCTION("IF(C1621&lt;&gt;"""",HYPERLINK(""https://wa.me/507""&amp;REGEXREPLACE(C1621,""[^0-9]"","""")&amp;""?text=""&amp;ENCODEURL(""Ya llegue. Codigo: ""&amp;A1621&amp;"". Ubicacion: ""&amp;""https://www.google.com/maps/search/?api=1&amp;query=""&amp;SUBSTITUTE(F1621,"" "","""")),""📲 Avisar al clien"&amp;"te""),"""")"),"")</f>
        <v/>
      </c>
      <c r="L1621" s="5" t="str">
        <f>IFERROR(__xludf.DUMMYFUNCTION("IF(C1621&lt;&gt;"""",""https://api.qrserver.com/v1/create-qr-code/?size=200x200&amp;data=""&amp;ENCODEURL(""https://wa.me/507""&amp;REGEXREPLACE(C1621,""[^0-9]"","""")&amp;""?text=""&amp;ENCODEURL(""Ya llegue. Codigo: ""&amp;A1621&amp;"". Ubicacion: ""&amp;""https://www.google.com/maps/search"&amp;"/?api=1&amp;query=""&amp;SUBSTITUTE(F1621,"" "",""""))),"""")"),"")</f>
        <v/>
      </c>
      <c r="M1621" s="5" t="str">
        <f t="shared" si="6"/>
        <v/>
      </c>
      <c r="N1621" s="5" t="str">
        <f>IFERROR(__xludf.DUMMYFUNCTION("IF(AND(F1621&lt;&gt;"""",REGEXMATCH(SUBSTITUTE(F1621,"" "",""""),""^-?\d+(\.\d+)?,-?\d+(\.\d+)?$""),VALUE(REGEXEXTRACT(SUBSTITUTE(F1621,"" "",""""),""^-?\d+(\.\d+)?""))&gt;=-90,VALUE(REGEXEXTRACT(SUBSTITUTE(F1621,"" "",""""),""^-?\d+(\.\d+)?""))&lt;=90,VALUE(REGEXEXT"&amp;"RACT(SUBSTITUTE(F1621,"" "",""""),""-?\d+(\.\d+)?$""))&gt;=-180,VALUE(REGEXEXTRACT(SUBSTITUTE(F1621,"" "",""""),""-?\d+(\.\d+)?$""))&lt;=180),""OK"",""REVISAR"")"),"#N/A")</f>
        <v>#N/A</v>
      </c>
    </row>
    <row r="1622" ht="15.75" customHeight="1">
      <c r="A1622" s="5" t="str">
        <f t="shared" si="1"/>
        <v>AD507-1620</v>
      </c>
      <c r="C1622" s="5"/>
      <c r="F1622" s="5"/>
      <c r="G1622" s="5" t="str">
        <f t="shared" si="2"/>
        <v/>
      </c>
      <c r="H1622" s="5" t="str">
        <f t="shared" si="3"/>
        <v/>
      </c>
      <c r="I1622" s="5" t="str">
        <f t="shared" si="4"/>
        <v/>
      </c>
      <c r="J1622" s="5" t="str">
        <f t="shared" si="5"/>
        <v/>
      </c>
      <c r="K1622" s="5" t="str">
        <f>IFERROR(__xludf.DUMMYFUNCTION("IF(C1622&lt;&gt;"""",HYPERLINK(""https://wa.me/507""&amp;REGEXREPLACE(C1622,""[^0-9]"","""")&amp;""?text=""&amp;ENCODEURL(""Ya llegue. Codigo: ""&amp;A1622&amp;"". Ubicacion: ""&amp;""https://www.google.com/maps/search/?api=1&amp;query=""&amp;SUBSTITUTE(F1622,"" "","""")),""📲 Avisar al clien"&amp;"te""),"""")"),"")</f>
        <v/>
      </c>
      <c r="L1622" s="5" t="str">
        <f>IFERROR(__xludf.DUMMYFUNCTION("IF(C1622&lt;&gt;"""",""https://api.qrserver.com/v1/create-qr-code/?size=200x200&amp;data=""&amp;ENCODEURL(""https://wa.me/507""&amp;REGEXREPLACE(C1622,""[^0-9]"","""")&amp;""?text=""&amp;ENCODEURL(""Ya llegue. Codigo: ""&amp;A1622&amp;"". Ubicacion: ""&amp;""https://www.google.com/maps/search"&amp;"/?api=1&amp;query=""&amp;SUBSTITUTE(F1622,"" "",""""))),"""")"),"")</f>
        <v/>
      </c>
      <c r="M1622" s="5" t="str">
        <f t="shared" si="6"/>
        <v/>
      </c>
      <c r="N1622" s="5" t="str">
        <f>IFERROR(__xludf.DUMMYFUNCTION("IF(AND(F1622&lt;&gt;"""",REGEXMATCH(SUBSTITUTE(F1622,"" "",""""),""^-?\d+(\.\d+)?,-?\d+(\.\d+)?$""),VALUE(REGEXEXTRACT(SUBSTITUTE(F1622,"" "",""""),""^-?\d+(\.\d+)?""))&gt;=-90,VALUE(REGEXEXTRACT(SUBSTITUTE(F1622,"" "",""""),""^-?\d+(\.\d+)?""))&lt;=90,VALUE(REGEXEXT"&amp;"RACT(SUBSTITUTE(F1622,"" "",""""),""-?\d+(\.\d+)?$""))&gt;=-180,VALUE(REGEXEXTRACT(SUBSTITUTE(F1622,"" "",""""),""-?\d+(\.\d+)?$""))&lt;=180),""OK"",""REVISAR"")"),"#N/A")</f>
        <v>#N/A</v>
      </c>
    </row>
    <row r="1623" ht="15.75" customHeight="1">
      <c r="A1623" s="5" t="str">
        <f t="shared" si="1"/>
        <v>AD507-1621</v>
      </c>
      <c r="C1623" s="5"/>
      <c r="F1623" s="5"/>
      <c r="G1623" s="5" t="str">
        <f t="shared" si="2"/>
        <v/>
      </c>
      <c r="H1623" s="5" t="str">
        <f t="shared" si="3"/>
        <v/>
      </c>
      <c r="I1623" s="5" t="str">
        <f t="shared" si="4"/>
        <v/>
      </c>
      <c r="J1623" s="5" t="str">
        <f t="shared" si="5"/>
        <v/>
      </c>
      <c r="K1623" s="5" t="str">
        <f>IFERROR(__xludf.DUMMYFUNCTION("IF(C1623&lt;&gt;"""",HYPERLINK(""https://wa.me/507""&amp;REGEXREPLACE(C1623,""[^0-9]"","""")&amp;""?text=""&amp;ENCODEURL(""Ya llegue. Codigo: ""&amp;A1623&amp;"". Ubicacion: ""&amp;""https://www.google.com/maps/search/?api=1&amp;query=""&amp;SUBSTITUTE(F1623,"" "","""")),""📲 Avisar al clien"&amp;"te""),"""")"),"")</f>
        <v/>
      </c>
      <c r="L1623" s="5" t="str">
        <f>IFERROR(__xludf.DUMMYFUNCTION("IF(C1623&lt;&gt;"""",""https://api.qrserver.com/v1/create-qr-code/?size=200x200&amp;data=""&amp;ENCODEURL(""https://wa.me/507""&amp;REGEXREPLACE(C1623,""[^0-9]"","""")&amp;""?text=""&amp;ENCODEURL(""Ya llegue. Codigo: ""&amp;A1623&amp;"". Ubicacion: ""&amp;""https://www.google.com/maps/search"&amp;"/?api=1&amp;query=""&amp;SUBSTITUTE(F1623,"" "",""""))),"""")"),"")</f>
        <v/>
      </c>
      <c r="M1623" s="5" t="str">
        <f t="shared" si="6"/>
        <v/>
      </c>
      <c r="N1623" s="5" t="str">
        <f>IFERROR(__xludf.DUMMYFUNCTION("IF(AND(F1623&lt;&gt;"""",REGEXMATCH(SUBSTITUTE(F1623,"" "",""""),""^-?\d+(\.\d+)?,-?\d+(\.\d+)?$""),VALUE(REGEXEXTRACT(SUBSTITUTE(F1623,"" "",""""),""^-?\d+(\.\d+)?""))&gt;=-90,VALUE(REGEXEXTRACT(SUBSTITUTE(F1623,"" "",""""),""^-?\d+(\.\d+)?""))&lt;=90,VALUE(REGEXEXT"&amp;"RACT(SUBSTITUTE(F1623,"" "",""""),""-?\d+(\.\d+)?$""))&gt;=-180,VALUE(REGEXEXTRACT(SUBSTITUTE(F1623,"" "",""""),""-?\d+(\.\d+)?$""))&lt;=180),""OK"",""REVISAR"")"),"#N/A")</f>
        <v>#N/A</v>
      </c>
    </row>
    <row r="1624" ht="15.75" customHeight="1">
      <c r="A1624" s="5" t="str">
        <f t="shared" si="1"/>
        <v>AD507-1622</v>
      </c>
      <c r="C1624" s="5"/>
      <c r="F1624" s="5"/>
      <c r="G1624" s="5" t="str">
        <f t="shared" si="2"/>
        <v/>
      </c>
      <c r="H1624" s="5" t="str">
        <f t="shared" si="3"/>
        <v/>
      </c>
      <c r="I1624" s="5" t="str">
        <f t="shared" si="4"/>
        <v/>
      </c>
      <c r="J1624" s="5" t="str">
        <f t="shared" si="5"/>
        <v/>
      </c>
      <c r="K1624" s="5" t="str">
        <f>IFERROR(__xludf.DUMMYFUNCTION("IF(C1624&lt;&gt;"""",HYPERLINK(""https://wa.me/507""&amp;REGEXREPLACE(C1624,""[^0-9]"","""")&amp;""?text=""&amp;ENCODEURL(""Ya llegue. Codigo: ""&amp;A1624&amp;"". Ubicacion: ""&amp;""https://www.google.com/maps/search/?api=1&amp;query=""&amp;SUBSTITUTE(F1624,"" "","""")),""📲 Avisar al clien"&amp;"te""),"""")"),"")</f>
        <v/>
      </c>
      <c r="L1624" s="5" t="str">
        <f>IFERROR(__xludf.DUMMYFUNCTION("IF(C1624&lt;&gt;"""",""https://api.qrserver.com/v1/create-qr-code/?size=200x200&amp;data=""&amp;ENCODEURL(""https://wa.me/507""&amp;REGEXREPLACE(C1624,""[^0-9]"","""")&amp;""?text=""&amp;ENCODEURL(""Ya llegue. Codigo: ""&amp;A1624&amp;"". Ubicacion: ""&amp;""https://www.google.com/maps/search"&amp;"/?api=1&amp;query=""&amp;SUBSTITUTE(F1624,"" "",""""))),"""")"),"")</f>
        <v/>
      </c>
      <c r="M1624" s="5" t="str">
        <f t="shared" si="6"/>
        <v/>
      </c>
      <c r="N1624" s="5" t="str">
        <f>IFERROR(__xludf.DUMMYFUNCTION("IF(AND(F1624&lt;&gt;"""",REGEXMATCH(SUBSTITUTE(F1624,"" "",""""),""^-?\d+(\.\d+)?,-?\d+(\.\d+)?$""),VALUE(REGEXEXTRACT(SUBSTITUTE(F1624,"" "",""""),""^-?\d+(\.\d+)?""))&gt;=-90,VALUE(REGEXEXTRACT(SUBSTITUTE(F1624,"" "",""""),""^-?\d+(\.\d+)?""))&lt;=90,VALUE(REGEXEXT"&amp;"RACT(SUBSTITUTE(F1624,"" "",""""),""-?\d+(\.\d+)?$""))&gt;=-180,VALUE(REGEXEXTRACT(SUBSTITUTE(F1624,"" "",""""),""-?\d+(\.\d+)?$""))&lt;=180),""OK"",""REVISAR"")"),"#N/A")</f>
        <v>#N/A</v>
      </c>
    </row>
    <row r="1625" ht="15.75" customHeight="1">
      <c r="A1625" s="5" t="str">
        <f t="shared" si="1"/>
        <v>AD507-1623</v>
      </c>
      <c r="C1625" s="5"/>
      <c r="F1625" s="5"/>
      <c r="G1625" s="5" t="str">
        <f t="shared" si="2"/>
        <v/>
      </c>
      <c r="H1625" s="5" t="str">
        <f t="shared" si="3"/>
        <v/>
      </c>
      <c r="I1625" s="5" t="str">
        <f t="shared" si="4"/>
        <v/>
      </c>
      <c r="J1625" s="5" t="str">
        <f t="shared" si="5"/>
        <v/>
      </c>
      <c r="K1625" s="5" t="str">
        <f>IFERROR(__xludf.DUMMYFUNCTION("IF(C1625&lt;&gt;"""",HYPERLINK(""https://wa.me/507""&amp;REGEXREPLACE(C1625,""[^0-9]"","""")&amp;""?text=""&amp;ENCODEURL(""Ya llegue. Codigo: ""&amp;A1625&amp;"". Ubicacion: ""&amp;""https://www.google.com/maps/search/?api=1&amp;query=""&amp;SUBSTITUTE(F1625,"" "","""")),""📲 Avisar al clien"&amp;"te""),"""")"),"")</f>
        <v/>
      </c>
      <c r="L1625" s="5" t="str">
        <f>IFERROR(__xludf.DUMMYFUNCTION("IF(C1625&lt;&gt;"""",""https://api.qrserver.com/v1/create-qr-code/?size=200x200&amp;data=""&amp;ENCODEURL(""https://wa.me/507""&amp;REGEXREPLACE(C1625,""[^0-9]"","""")&amp;""?text=""&amp;ENCODEURL(""Ya llegue. Codigo: ""&amp;A1625&amp;"". Ubicacion: ""&amp;""https://www.google.com/maps/search"&amp;"/?api=1&amp;query=""&amp;SUBSTITUTE(F1625,"" "",""""))),"""")"),"")</f>
        <v/>
      </c>
      <c r="M1625" s="5" t="str">
        <f t="shared" si="6"/>
        <v/>
      </c>
      <c r="N1625" s="5" t="str">
        <f>IFERROR(__xludf.DUMMYFUNCTION("IF(AND(F1625&lt;&gt;"""",REGEXMATCH(SUBSTITUTE(F1625,"" "",""""),""^-?\d+(\.\d+)?,-?\d+(\.\d+)?$""),VALUE(REGEXEXTRACT(SUBSTITUTE(F1625,"" "",""""),""^-?\d+(\.\d+)?""))&gt;=-90,VALUE(REGEXEXTRACT(SUBSTITUTE(F1625,"" "",""""),""^-?\d+(\.\d+)?""))&lt;=90,VALUE(REGEXEXT"&amp;"RACT(SUBSTITUTE(F1625,"" "",""""),""-?\d+(\.\d+)?$""))&gt;=-180,VALUE(REGEXEXTRACT(SUBSTITUTE(F1625,"" "",""""),""-?\d+(\.\d+)?$""))&lt;=180),""OK"",""REVISAR"")"),"#N/A")</f>
        <v>#N/A</v>
      </c>
    </row>
    <row r="1626" ht="15.75" customHeight="1">
      <c r="A1626" s="5" t="str">
        <f t="shared" si="1"/>
        <v>AD507-1624</v>
      </c>
      <c r="C1626" s="5"/>
      <c r="F1626" s="5"/>
      <c r="G1626" s="5" t="str">
        <f t="shared" si="2"/>
        <v/>
      </c>
      <c r="H1626" s="5" t="str">
        <f t="shared" si="3"/>
        <v/>
      </c>
      <c r="I1626" s="5" t="str">
        <f t="shared" si="4"/>
        <v/>
      </c>
      <c r="J1626" s="5" t="str">
        <f t="shared" si="5"/>
        <v/>
      </c>
      <c r="K1626" s="5" t="str">
        <f>IFERROR(__xludf.DUMMYFUNCTION("IF(C1626&lt;&gt;"""",HYPERLINK(""https://wa.me/507""&amp;REGEXREPLACE(C1626,""[^0-9]"","""")&amp;""?text=""&amp;ENCODEURL(""Ya llegue. Codigo: ""&amp;A1626&amp;"". Ubicacion: ""&amp;""https://www.google.com/maps/search/?api=1&amp;query=""&amp;SUBSTITUTE(F1626,"" "","""")),""📲 Avisar al clien"&amp;"te""),"""")"),"")</f>
        <v/>
      </c>
      <c r="L1626" s="5" t="str">
        <f>IFERROR(__xludf.DUMMYFUNCTION("IF(C1626&lt;&gt;"""",""https://api.qrserver.com/v1/create-qr-code/?size=200x200&amp;data=""&amp;ENCODEURL(""https://wa.me/507""&amp;REGEXREPLACE(C1626,""[^0-9]"","""")&amp;""?text=""&amp;ENCODEURL(""Ya llegue. Codigo: ""&amp;A1626&amp;"". Ubicacion: ""&amp;""https://www.google.com/maps/search"&amp;"/?api=1&amp;query=""&amp;SUBSTITUTE(F1626,"" "",""""))),"""")"),"")</f>
        <v/>
      </c>
      <c r="M1626" s="5" t="str">
        <f t="shared" si="6"/>
        <v/>
      </c>
      <c r="N1626" s="5" t="str">
        <f>IFERROR(__xludf.DUMMYFUNCTION("IF(AND(F1626&lt;&gt;"""",REGEXMATCH(SUBSTITUTE(F1626,"" "",""""),""^-?\d+(\.\d+)?,-?\d+(\.\d+)?$""),VALUE(REGEXEXTRACT(SUBSTITUTE(F1626,"" "",""""),""^-?\d+(\.\d+)?""))&gt;=-90,VALUE(REGEXEXTRACT(SUBSTITUTE(F1626,"" "",""""),""^-?\d+(\.\d+)?""))&lt;=90,VALUE(REGEXEXT"&amp;"RACT(SUBSTITUTE(F1626,"" "",""""),""-?\d+(\.\d+)?$""))&gt;=-180,VALUE(REGEXEXTRACT(SUBSTITUTE(F1626,"" "",""""),""-?\d+(\.\d+)?$""))&lt;=180),""OK"",""REVISAR"")"),"#N/A")</f>
        <v>#N/A</v>
      </c>
    </row>
    <row r="1627" ht="15.75" customHeight="1">
      <c r="A1627" s="5" t="str">
        <f t="shared" si="1"/>
        <v>AD507-1625</v>
      </c>
      <c r="C1627" s="5"/>
      <c r="F1627" s="5"/>
      <c r="G1627" s="5" t="str">
        <f t="shared" si="2"/>
        <v/>
      </c>
      <c r="H1627" s="5" t="str">
        <f t="shared" si="3"/>
        <v/>
      </c>
      <c r="I1627" s="5" t="str">
        <f t="shared" si="4"/>
        <v/>
      </c>
      <c r="J1627" s="5" t="str">
        <f t="shared" si="5"/>
        <v/>
      </c>
      <c r="K1627" s="5" t="str">
        <f>IFERROR(__xludf.DUMMYFUNCTION("IF(C1627&lt;&gt;"""",HYPERLINK(""https://wa.me/507""&amp;REGEXREPLACE(C1627,""[^0-9]"","""")&amp;""?text=""&amp;ENCODEURL(""Ya llegue. Codigo: ""&amp;A1627&amp;"". Ubicacion: ""&amp;""https://www.google.com/maps/search/?api=1&amp;query=""&amp;SUBSTITUTE(F1627,"" "","""")),""📲 Avisar al clien"&amp;"te""),"""")"),"")</f>
        <v/>
      </c>
      <c r="L1627" s="5" t="str">
        <f>IFERROR(__xludf.DUMMYFUNCTION("IF(C1627&lt;&gt;"""",""https://api.qrserver.com/v1/create-qr-code/?size=200x200&amp;data=""&amp;ENCODEURL(""https://wa.me/507""&amp;REGEXREPLACE(C1627,""[^0-9]"","""")&amp;""?text=""&amp;ENCODEURL(""Ya llegue. Codigo: ""&amp;A1627&amp;"". Ubicacion: ""&amp;""https://www.google.com/maps/search"&amp;"/?api=1&amp;query=""&amp;SUBSTITUTE(F1627,"" "",""""))),"""")"),"")</f>
        <v/>
      </c>
      <c r="M1627" s="5" t="str">
        <f t="shared" si="6"/>
        <v/>
      </c>
      <c r="N1627" s="5" t="str">
        <f>IFERROR(__xludf.DUMMYFUNCTION("IF(AND(F1627&lt;&gt;"""",REGEXMATCH(SUBSTITUTE(F1627,"" "",""""),""^-?\d+(\.\d+)?,-?\d+(\.\d+)?$""),VALUE(REGEXEXTRACT(SUBSTITUTE(F1627,"" "",""""),""^-?\d+(\.\d+)?""))&gt;=-90,VALUE(REGEXEXTRACT(SUBSTITUTE(F1627,"" "",""""),""^-?\d+(\.\d+)?""))&lt;=90,VALUE(REGEXEXT"&amp;"RACT(SUBSTITUTE(F1627,"" "",""""),""-?\d+(\.\d+)?$""))&gt;=-180,VALUE(REGEXEXTRACT(SUBSTITUTE(F1627,"" "",""""),""-?\d+(\.\d+)?$""))&lt;=180),""OK"",""REVISAR"")"),"#N/A")</f>
        <v>#N/A</v>
      </c>
    </row>
    <row r="1628" ht="15.75" customHeight="1">
      <c r="A1628" s="5" t="str">
        <f t="shared" si="1"/>
        <v>AD507-1626</v>
      </c>
      <c r="C1628" s="5"/>
      <c r="F1628" s="5"/>
      <c r="G1628" s="5" t="str">
        <f t="shared" si="2"/>
        <v/>
      </c>
      <c r="H1628" s="5" t="str">
        <f t="shared" si="3"/>
        <v/>
      </c>
      <c r="I1628" s="5" t="str">
        <f t="shared" si="4"/>
        <v/>
      </c>
      <c r="J1628" s="5" t="str">
        <f t="shared" si="5"/>
        <v/>
      </c>
      <c r="K1628" s="5" t="str">
        <f>IFERROR(__xludf.DUMMYFUNCTION("IF(C1628&lt;&gt;"""",HYPERLINK(""https://wa.me/507""&amp;REGEXREPLACE(C1628,""[^0-9]"","""")&amp;""?text=""&amp;ENCODEURL(""Ya llegue. Codigo: ""&amp;A1628&amp;"". Ubicacion: ""&amp;""https://www.google.com/maps/search/?api=1&amp;query=""&amp;SUBSTITUTE(F1628,"" "","""")),""📲 Avisar al clien"&amp;"te""),"""")"),"")</f>
        <v/>
      </c>
      <c r="L1628" s="5" t="str">
        <f>IFERROR(__xludf.DUMMYFUNCTION("IF(C1628&lt;&gt;"""",""https://api.qrserver.com/v1/create-qr-code/?size=200x200&amp;data=""&amp;ENCODEURL(""https://wa.me/507""&amp;REGEXREPLACE(C1628,""[^0-9]"","""")&amp;""?text=""&amp;ENCODEURL(""Ya llegue. Codigo: ""&amp;A1628&amp;"". Ubicacion: ""&amp;""https://www.google.com/maps/search"&amp;"/?api=1&amp;query=""&amp;SUBSTITUTE(F1628,"" "",""""))),"""")"),"")</f>
        <v/>
      </c>
      <c r="M1628" s="5" t="str">
        <f t="shared" si="6"/>
        <v/>
      </c>
      <c r="N1628" s="5" t="str">
        <f>IFERROR(__xludf.DUMMYFUNCTION("IF(AND(F1628&lt;&gt;"""",REGEXMATCH(SUBSTITUTE(F1628,"" "",""""),""^-?\d+(\.\d+)?,-?\d+(\.\d+)?$""),VALUE(REGEXEXTRACT(SUBSTITUTE(F1628,"" "",""""),""^-?\d+(\.\d+)?""))&gt;=-90,VALUE(REGEXEXTRACT(SUBSTITUTE(F1628,"" "",""""),""^-?\d+(\.\d+)?""))&lt;=90,VALUE(REGEXEXT"&amp;"RACT(SUBSTITUTE(F1628,"" "",""""),""-?\d+(\.\d+)?$""))&gt;=-180,VALUE(REGEXEXTRACT(SUBSTITUTE(F1628,"" "",""""),""-?\d+(\.\d+)?$""))&lt;=180),""OK"",""REVISAR"")"),"#N/A")</f>
        <v>#N/A</v>
      </c>
    </row>
    <row r="1629" ht="15.75" customHeight="1">
      <c r="A1629" s="5" t="str">
        <f t="shared" si="1"/>
        <v>AD507-1627</v>
      </c>
      <c r="C1629" s="5"/>
      <c r="F1629" s="5"/>
      <c r="G1629" s="5" t="str">
        <f t="shared" si="2"/>
        <v/>
      </c>
      <c r="H1629" s="5" t="str">
        <f t="shared" si="3"/>
        <v/>
      </c>
      <c r="I1629" s="5" t="str">
        <f t="shared" si="4"/>
        <v/>
      </c>
      <c r="J1629" s="5" t="str">
        <f t="shared" si="5"/>
        <v/>
      </c>
      <c r="K1629" s="5" t="str">
        <f>IFERROR(__xludf.DUMMYFUNCTION("IF(C1629&lt;&gt;"""",HYPERLINK(""https://wa.me/507""&amp;REGEXREPLACE(C1629,""[^0-9]"","""")&amp;""?text=""&amp;ENCODEURL(""Ya llegue. Codigo: ""&amp;A1629&amp;"". Ubicacion: ""&amp;""https://www.google.com/maps/search/?api=1&amp;query=""&amp;SUBSTITUTE(F1629,"" "","""")),""📲 Avisar al clien"&amp;"te""),"""")"),"")</f>
        <v/>
      </c>
      <c r="L1629" s="5" t="str">
        <f>IFERROR(__xludf.DUMMYFUNCTION("IF(C1629&lt;&gt;"""",""https://api.qrserver.com/v1/create-qr-code/?size=200x200&amp;data=""&amp;ENCODEURL(""https://wa.me/507""&amp;REGEXREPLACE(C1629,""[^0-9]"","""")&amp;""?text=""&amp;ENCODEURL(""Ya llegue. Codigo: ""&amp;A1629&amp;"". Ubicacion: ""&amp;""https://www.google.com/maps/search"&amp;"/?api=1&amp;query=""&amp;SUBSTITUTE(F1629,"" "",""""))),"""")"),"")</f>
        <v/>
      </c>
      <c r="M1629" s="5" t="str">
        <f t="shared" si="6"/>
        <v/>
      </c>
      <c r="N1629" s="5" t="str">
        <f>IFERROR(__xludf.DUMMYFUNCTION("IF(AND(F1629&lt;&gt;"""",REGEXMATCH(SUBSTITUTE(F1629,"" "",""""),""^-?\d+(\.\d+)?,-?\d+(\.\d+)?$""),VALUE(REGEXEXTRACT(SUBSTITUTE(F1629,"" "",""""),""^-?\d+(\.\d+)?""))&gt;=-90,VALUE(REGEXEXTRACT(SUBSTITUTE(F1629,"" "",""""),""^-?\d+(\.\d+)?""))&lt;=90,VALUE(REGEXEXT"&amp;"RACT(SUBSTITUTE(F1629,"" "",""""),""-?\d+(\.\d+)?$""))&gt;=-180,VALUE(REGEXEXTRACT(SUBSTITUTE(F1629,"" "",""""),""-?\d+(\.\d+)?$""))&lt;=180),""OK"",""REVISAR"")"),"#N/A")</f>
        <v>#N/A</v>
      </c>
    </row>
    <row r="1630" ht="15.75" customHeight="1">
      <c r="A1630" s="5" t="str">
        <f t="shared" si="1"/>
        <v>AD507-1628</v>
      </c>
      <c r="C1630" s="5"/>
      <c r="F1630" s="5"/>
      <c r="G1630" s="5" t="str">
        <f t="shared" si="2"/>
        <v/>
      </c>
      <c r="H1630" s="5" t="str">
        <f t="shared" si="3"/>
        <v/>
      </c>
      <c r="I1630" s="5" t="str">
        <f t="shared" si="4"/>
        <v/>
      </c>
      <c r="J1630" s="5" t="str">
        <f t="shared" si="5"/>
        <v/>
      </c>
      <c r="K1630" s="5" t="str">
        <f>IFERROR(__xludf.DUMMYFUNCTION("IF(C1630&lt;&gt;"""",HYPERLINK(""https://wa.me/507""&amp;REGEXREPLACE(C1630,""[^0-9]"","""")&amp;""?text=""&amp;ENCODEURL(""Ya llegue. Codigo: ""&amp;A1630&amp;"". Ubicacion: ""&amp;""https://www.google.com/maps/search/?api=1&amp;query=""&amp;SUBSTITUTE(F1630,"" "","""")),""📲 Avisar al clien"&amp;"te""),"""")"),"")</f>
        <v/>
      </c>
      <c r="L1630" s="5" t="str">
        <f>IFERROR(__xludf.DUMMYFUNCTION("IF(C1630&lt;&gt;"""",""https://api.qrserver.com/v1/create-qr-code/?size=200x200&amp;data=""&amp;ENCODEURL(""https://wa.me/507""&amp;REGEXREPLACE(C1630,""[^0-9]"","""")&amp;""?text=""&amp;ENCODEURL(""Ya llegue. Codigo: ""&amp;A1630&amp;"". Ubicacion: ""&amp;""https://www.google.com/maps/search"&amp;"/?api=1&amp;query=""&amp;SUBSTITUTE(F1630,"" "",""""))),"""")"),"")</f>
        <v/>
      </c>
      <c r="M1630" s="5" t="str">
        <f t="shared" si="6"/>
        <v/>
      </c>
      <c r="N1630" s="5" t="str">
        <f>IFERROR(__xludf.DUMMYFUNCTION("IF(AND(F1630&lt;&gt;"""",REGEXMATCH(SUBSTITUTE(F1630,"" "",""""),""^-?\d+(\.\d+)?,-?\d+(\.\d+)?$""),VALUE(REGEXEXTRACT(SUBSTITUTE(F1630,"" "",""""),""^-?\d+(\.\d+)?""))&gt;=-90,VALUE(REGEXEXTRACT(SUBSTITUTE(F1630,"" "",""""),""^-?\d+(\.\d+)?""))&lt;=90,VALUE(REGEXEXT"&amp;"RACT(SUBSTITUTE(F1630,"" "",""""),""-?\d+(\.\d+)?$""))&gt;=-180,VALUE(REGEXEXTRACT(SUBSTITUTE(F1630,"" "",""""),""-?\d+(\.\d+)?$""))&lt;=180),""OK"",""REVISAR"")"),"#N/A")</f>
        <v>#N/A</v>
      </c>
    </row>
    <row r="1631" ht="15.75" customHeight="1">
      <c r="A1631" s="5" t="str">
        <f t="shared" si="1"/>
        <v>AD507-1629</v>
      </c>
      <c r="C1631" s="5"/>
      <c r="F1631" s="5"/>
      <c r="G1631" s="5" t="str">
        <f t="shared" si="2"/>
        <v/>
      </c>
      <c r="H1631" s="5" t="str">
        <f t="shared" si="3"/>
        <v/>
      </c>
      <c r="I1631" s="5" t="str">
        <f t="shared" si="4"/>
        <v/>
      </c>
      <c r="J1631" s="5" t="str">
        <f t="shared" si="5"/>
        <v/>
      </c>
      <c r="K1631" s="5" t="str">
        <f>IFERROR(__xludf.DUMMYFUNCTION("IF(C1631&lt;&gt;"""",HYPERLINK(""https://wa.me/507""&amp;REGEXREPLACE(C1631,""[^0-9]"","""")&amp;""?text=""&amp;ENCODEURL(""Ya llegue. Codigo: ""&amp;A1631&amp;"". Ubicacion: ""&amp;""https://www.google.com/maps/search/?api=1&amp;query=""&amp;SUBSTITUTE(F1631,"" "","""")),""📲 Avisar al clien"&amp;"te""),"""")"),"")</f>
        <v/>
      </c>
      <c r="L1631" s="5" t="str">
        <f>IFERROR(__xludf.DUMMYFUNCTION("IF(C1631&lt;&gt;"""",""https://api.qrserver.com/v1/create-qr-code/?size=200x200&amp;data=""&amp;ENCODEURL(""https://wa.me/507""&amp;REGEXREPLACE(C1631,""[^0-9]"","""")&amp;""?text=""&amp;ENCODEURL(""Ya llegue. Codigo: ""&amp;A1631&amp;"". Ubicacion: ""&amp;""https://www.google.com/maps/search"&amp;"/?api=1&amp;query=""&amp;SUBSTITUTE(F1631,"" "",""""))),"""")"),"")</f>
        <v/>
      </c>
      <c r="M1631" s="5" t="str">
        <f t="shared" si="6"/>
        <v/>
      </c>
      <c r="N1631" s="5" t="str">
        <f>IFERROR(__xludf.DUMMYFUNCTION("IF(AND(F1631&lt;&gt;"""",REGEXMATCH(SUBSTITUTE(F1631,"" "",""""),""^-?\d+(\.\d+)?,-?\d+(\.\d+)?$""),VALUE(REGEXEXTRACT(SUBSTITUTE(F1631,"" "",""""),""^-?\d+(\.\d+)?""))&gt;=-90,VALUE(REGEXEXTRACT(SUBSTITUTE(F1631,"" "",""""),""^-?\d+(\.\d+)?""))&lt;=90,VALUE(REGEXEXT"&amp;"RACT(SUBSTITUTE(F1631,"" "",""""),""-?\d+(\.\d+)?$""))&gt;=-180,VALUE(REGEXEXTRACT(SUBSTITUTE(F1631,"" "",""""),""-?\d+(\.\d+)?$""))&lt;=180),""OK"",""REVISAR"")"),"#N/A")</f>
        <v>#N/A</v>
      </c>
    </row>
    <row r="1632" ht="15.75" customHeight="1">
      <c r="A1632" s="5" t="str">
        <f t="shared" si="1"/>
        <v>AD507-1630</v>
      </c>
      <c r="C1632" s="5"/>
      <c r="F1632" s="5"/>
      <c r="G1632" s="5" t="str">
        <f t="shared" si="2"/>
        <v/>
      </c>
      <c r="H1632" s="5" t="str">
        <f t="shared" si="3"/>
        <v/>
      </c>
      <c r="I1632" s="5" t="str">
        <f t="shared" si="4"/>
        <v/>
      </c>
      <c r="J1632" s="5" t="str">
        <f t="shared" si="5"/>
        <v/>
      </c>
      <c r="K1632" s="5" t="str">
        <f>IFERROR(__xludf.DUMMYFUNCTION("IF(C1632&lt;&gt;"""",HYPERLINK(""https://wa.me/507""&amp;REGEXREPLACE(C1632,""[^0-9]"","""")&amp;""?text=""&amp;ENCODEURL(""Ya llegue. Codigo: ""&amp;A1632&amp;"". Ubicacion: ""&amp;""https://www.google.com/maps/search/?api=1&amp;query=""&amp;SUBSTITUTE(F1632,"" "","""")),""📲 Avisar al clien"&amp;"te""),"""")"),"")</f>
        <v/>
      </c>
      <c r="L1632" s="5" t="str">
        <f>IFERROR(__xludf.DUMMYFUNCTION("IF(C1632&lt;&gt;"""",""https://api.qrserver.com/v1/create-qr-code/?size=200x200&amp;data=""&amp;ENCODEURL(""https://wa.me/507""&amp;REGEXREPLACE(C1632,""[^0-9]"","""")&amp;""?text=""&amp;ENCODEURL(""Ya llegue. Codigo: ""&amp;A1632&amp;"". Ubicacion: ""&amp;""https://www.google.com/maps/search"&amp;"/?api=1&amp;query=""&amp;SUBSTITUTE(F1632,"" "",""""))),"""")"),"")</f>
        <v/>
      </c>
      <c r="M1632" s="5" t="str">
        <f t="shared" si="6"/>
        <v/>
      </c>
      <c r="N1632" s="5" t="str">
        <f>IFERROR(__xludf.DUMMYFUNCTION("IF(AND(F1632&lt;&gt;"""",REGEXMATCH(SUBSTITUTE(F1632,"" "",""""),""^-?\d+(\.\d+)?,-?\d+(\.\d+)?$""),VALUE(REGEXEXTRACT(SUBSTITUTE(F1632,"" "",""""),""^-?\d+(\.\d+)?""))&gt;=-90,VALUE(REGEXEXTRACT(SUBSTITUTE(F1632,"" "",""""),""^-?\d+(\.\d+)?""))&lt;=90,VALUE(REGEXEXT"&amp;"RACT(SUBSTITUTE(F1632,"" "",""""),""-?\d+(\.\d+)?$""))&gt;=-180,VALUE(REGEXEXTRACT(SUBSTITUTE(F1632,"" "",""""),""-?\d+(\.\d+)?$""))&lt;=180),""OK"",""REVISAR"")"),"#N/A")</f>
        <v>#N/A</v>
      </c>
    </row>
    <row r="1633" ht="15.75" customHeight="1">
      <c r="A1633" s="5" t="str">
        <f t="shared" si="1"/>
        <v>AD507-1631</v>
      </c>
      <c r="C1633" s="5"/>
      <c r="F1633" s="5"/>
      <c r="G1633" s="5" t="str">
        <f t="shared" si="2"/>
        <v/>
      </c>
      <c r="H1633" s="5" t="str">
        <f t="shared" si="3"/>
        <v/>
      </c>
      <c r="I1633" s="5" t="str">
        <f t="shared" si="4"/>
        <v/>
      </c>
      <c r="J1633" s="5" t="str">
        <f t="shared" si="5"/>
        <v/>
      </c>
      <c r="K1633" s="5" t="str">
        <f>IFERROR(__xludf.DUMMYFUNCTION("IF(C1633&lt;&gt;"""",HYPERLINK(""https://wa.me/507""&amp;REGEXREPLACE(C1633,""[^0-9]"","""")&amp;""?text=""&amp;ENCODEURL(""Ya llegue. Codigo: ""&amp;A1633&amp;"". Ubicacion: ""&amp;""https://www.google.com/maps/search/?api=1&amp;query=""&amp;SUBSTITUTE(F1633,"" "","""")),""📲 Avisar al clien"&amp;"te""),"""")"),"")</f>
        <v/>
      </c>
      <c r="L1633" s="5" t="str">
        <f>IFERROR(__xludf.DUMMYFUNCTION("IF(C1633&lt;&gt;"""",""https://api.qrserver.com/v1/create-qr-code/?size=200x200&amp;data=""&amp;ENCODEURL(""https://wa.me/507""&amp;REGEXREPLACE(C1633,""[^0-9]"","""")&amp;""?text=""&amp;ENCODEURL(""Ya llegue. Codigo: ""&amp;A1633&amp;"". Ubicacion: ""&amp;""https://www.google.com/maps/search"&amp;"/?api=1&amp;query=""&amp;SUBSTITUTE(F1633,"" "",""""))),"""")"),"")</f>
        <v/>
      </c>
      <c r="M1633" s="5" t="str">
        <f t="shared" si="6"/>
        <v/>
      </c>
      <c r="N1633" s="5" t="str">
        <f>IFERROR(__xludf.DUMMYFUNCTION("IF(AND(F1633&lt;&gt;"""",REGEXMATCH(SUBSTITUTE(F1633,"" "",""""),""^-?\d+(\.\d+)?,-?\d+(\.\d+)?$""),VALUE(REGEXEXTRACT(SUBSTITUTE(F1633,"" "",""""),""^-?\d+(\.\d+)?""))&gt;=-90,VALUE(REGEXEXTRACT(SUBSTITUTE(F1633,"" "",""""),""^-?\d+(\.\d+)?""))&lt;=90,VALUE(REGEXEXT"&amp;"RACT(SUBSTITUTE(F1633,"" "",""""),""-?\d+(\.\d+)?$""))&gt;=-180,VALUE(REGEXEXTRACT(SUBSTITUTE(F1633,"" "",""""),""-?\d+(\.\d+)?$""))&lt;=180),""OK"",""REVISAR"")"),"#N/A")</f>
        <v>#N/A</v>
      </c>
    </row>
    <row r="1634" ht="15.75" customHeight="1">
      <c r="A1634" s="5" t="str">
        <f t="shared" si="1"/>
        <v>AD507-1632</v>
      </c>
      <c r="C1634" s="5"/>
      <c r="F1634" s="5"/>
      <c r="G1634" s="5" t="str">
        <f t="shared" si="2"/>
        <v/>
      </c>
      <c r="H1634" s="5" t="str">
        <f t="shared" si="3"/>
        <v/>
      </c>
      <c r="I1634" s="5" t="str">
        <f t="shared" si="4"/>
        <v/>
      </c>
      <c r="J1634" s="5" t="str">
        <f t="shared" si="5"/>
        <v/>
      </c>
      <c r="K1634" s="5" t="str">
        <f>IFERROR(__xludf.DUMMYFUNCTION("IF(C1634&lt;&gt;"""",HYPERLINK(""https://wa.me/507""&amp;REGEXREPLACE(C1634,""[^0-9]"","""")&amp;""?text=""&amp;ENCODEURL(""Ya llegue. Codigo: ""&amp;A1634&amp;"". Ubicacion: ""&amp;""https://www.google.com/maps/search/?api=1&amp;query=""&amp;SUBSTITUTE(F1634,"" "","""")),""📲 Avisar al clien"&amp;"te""),"""")"),"")</f>
        <v/>
      </c>
      <c r="L1634" s="5" t="str">
        <f>IFERROR(__xludf.DUMMYFUNCTION("IF(C1634&lt;&gt;"""",""https://api.qrserver.com/v1/create-qr-code/?size=200x200&amp;data=""&amp;ENCODEURL(""https://wa.me/507""&amp;REGEXREPLACE(C1634,""[^0-9]"","""")&amp;""?text=""&amp;ENCODEURL(""Ya llegue. Codigo: ""&amp;A1634&amp;"". Ubicacion: ""&amp;""https://www.google.com/maps/search"&amp;"/?api=1&amp;query=""&amp;SUBSTITUTE(F1634,"" "",""""))),"""")"),"")</f>
        <v/>
      </c>
      <c r="M1634" s="5" t="str">
        <f t="shared" si="6"/>
        <v/>
      </c>
      <c r="N1634" s="5" t="str">
        <f>IFERROR(__xludf.DUMMYFUNCTION("IF(AND(F1634&lt;&gt;"""",REGEXMATCH(SUBSTITUTE(F1634,"" "",""""),""^-?\d+(\.\d+)?,-?\d+(\.\d+)?$""),VALUE(REGEXEXTRACT(SUBSTITUTE(F1634,"" "",""""),""^-?\d+(\.\d+)?""))&gt;=-90,VALUE(REGEXEXTRACT(SUBSTITUTE(F1634,"" "",""""),""^-?\d+(\.\d+)?""))&lt;=90,VALUE(REGEXEXT"&amp;"RACT(SUBSTITUTE(F1634,"" "",""""),""-?\d+(\.\d+)?$""))&gt;=-180,VALUE(REGEXEXTRACT(SUBSTITUTE(F1634,"" "",""""),""-?\d+(\.\d+)?$""))&lt;=180),""OK"",""REVISAR"")"),"#N/A")</f>
        <v>#N/A</v>
      </c>
    </row>
    <row r="1635" ht="15.75" customHeight="1">
      <c r="A1635" s="5" t="str">
        <f t="shared" si="1"/>
        <v>AD507-1633</v>
      </c>
      <c r="C1635" s="5"/>
      <c r="F1635" s="5"/>
      <c r="G1635" s="5" t="str">
        <f t="shared" si="2"/>
        <v/>
      </c>
      <c r="H1635" s="5" t="str">
        <f t="shared" si="3"/>
        <v/>
      </c>
      <c r="I1635" s="5" t="str">
        <f t="shared" si="4"/>
        <v/>
      </c>
      <c r="J1635" s="5" t="str">
        <f t="shared" si="5"/>
        <v/>
      </c>
      <c r="K1635" s="5" t="str">
        <f>IFERROR(__xludf.DUMMYFUNCTION("IF(C1635&lt;&gt;"""",HYPERLINK(""https://wa.me/507""&amp;REGEXREPLACE(C1635,""[^0-9]"","""")&amp;""?text=""&amp;ENCODEURL(""Ya llegue. Codigo: ""&amp;A1635&amp;"". Ubicacion: ""&amp;""https://www.google.com/maps/search/?api=1&amp;query=""&amp;SUBSTITUTE(F1635,"" "","""")),""📲 Avisar al clien"&amp;"te""),"""")"),"")</f>
        <v/>
      </c>
      <c r="L1635" s="5" t="str">
        <f>IFERROR(__xludf.DUMMYFUNCTION("IF(C1635&lt;&gt;"""",""https://api.qrserver.com/v1/create-qr-code/?size=200x200&amp;data=""&amp;ENCODEURL(""https://wa.me/507""&amp;REGEXREPLACE(C1635,""[^0-9]"","""")&amp;""?text=""&amp;ENCODEURL(""Ya llegue. Codigo: ""&amp;A1635&amp;"". Ubicacion: ""&amp;""https://www.google.com/maps/search"&amp;"/?api=1&amp;query=""&amp;SUBSTITUTE(F1635,"" "",""""))),"""")"),"")</f>
        <v/>
      </c>
      <c r="M1635" s="5" t="str">
        <f t="shared" si="6"/>
        <v/>
      </c>
      <c r="N1635" s="5" t="str">
        <f>IFERROR(__xludf.DUMMYFUNCTION("IF(AND(F1635&lt;&gt;"""",REGEXMATCH(SUBSTITUTE(F1635,"" "",""""),""^-?\d+(\.\d+)?,-?\d+(\.\d+)?$""),VALUE(REGEXEXTRACT(SUBSTITUTE(F1635,"" "",""""),""^-?\d+(\.\d+)?""))&gt;=-90,VALUE(REGEXEXTRACT(SUBSTITUTE(F1635,"" "",""""),""^-?\d+(\.\d+)?""))&lt;=90,VALUE(REGEXEXT"&amp;"RACT(SUBSTITUTE(F1635,"" "",""""),""-?\d+(\.\d+)?$""))&gt;=-180,VALUE(REGEXEXTRACT(SUBSTITUTE(F1635,"" "",""""),""-?\d+(\.\d+)?$""))&lt;=180),""OK"",""REVISAR"")"),"#N/A")</f>
        <v>#N/A</v>
      </c>
    </row>
    <row r="1636" ht="15.75" customHeight="1">
      <c r="A1636" s="5" t="str">
        <f t="shared" si="1"/>
        <v>AD507-1634</v>
      </c>
      <c r="C1636" s="5"/>
      <c r="F1636" s="5"/>
      <c r="G1636" s="5" t="str">
        <f t="shared" si="2"/>
        <v/>
      </c>
      <c r="H1636" s="5" t="str">
        <f t="shared" si="3"/>
        <v/>
      </c>
      <c r="I1636" s="5" t="str">
        <f t="shared" si="4"/>
        <v/>
      </c>
      <c r="J1636" s="5" t="str">
        <f t="shared" si="5"/>
        <v/>
      </c>
      <c r="K1636" s="5" t="str">
        <f>IFERROR(__xludf.DUMMYFUNCTION("IF(C1636&lt;&gt;"""",HYPERLINK(""https://wa.me/507""&amp;REGEXREPLACE(C1636,""[^0-9]"","""")&amp;""?text=""&amp;ENCODEURL(""Ya llegue. Codigo: ""&amp;A1636&amp;"". Ubicacion: ""&amp;""https://www.google.com/maps/search/?api=1&amp;query=""&amp;SUBSTITUTE(F1636,"" "","""")),""📲 Avisar al clien"&amp;"te""),"""")"),"")</f>
        <v/>
      </c>
      <c r="L1636" s="5" t="str">
        <f>IFERROR(__xludf.DUMMYFUNCTION("IF(C1636&lt;&gt;"""",""https://api.qrserver.com/v1/create-qr-code/?size=200x200&amp;data=""&amp;ENCODEURL(""https://wa.me/507""&amp;REGEXREPLACE(C1636,""[^0-9]"","""")&amp;""?text=""&amp;ENCODEURL(""Ya llegue. Codigo: ""&amp;A1636&amp;"". Ubicacion: ""&amp;""https://www.google.com/maps/search"&amp;"/?api=1&amp;query=""&amp;SUBSTITUTE(F1636,"" "",""""))),"""")"),"")</f>
        <v/>
      </c>
      <c r="M1636" s="5" t="str">
        <f t="shared" si="6"/>
        <v/>
      </c>
      <c r="N1636" s="5" t="str">
        <f>IFERROR(__xludf.DUMMYFUNCTION("IF(AND(F1636&lt;&gt;"""",REGEXMATCH(SUBSTITUTE(F1636,"" "",""""),""^-?\d+(\.\d+)?,-?\d+(\.\d+)?$""),VALUE(REGEXEXTRACT(SUBSTITUTE(F1636,"" "",""""),""^-?\d+(\.\d+)?""))&gt;=-90,VALUE(REGEXEXTRACT(SUBSTITUTE(F1636,"" "",""""),""^-?\d+(\.\d+)?""))&lt;=90,VALUE(REGEXEXT"&amp;"RACT(SUBSTITUTE(F1636,"" "",""""),""-?\d+(\.\d+)?$""))&gt;=-180,VALUE(REGEXEXTRACT(SUBSTITUTE(F1636,"" "",""""),""-?\d+(\.\d+)?$""))&lt;=180),""OK"",""REVISAR"")"),"#N/A")</f>
        <v>#N/A</v>
      </c>
    </row>
    <row r="1637" ht="15.75" customHeight="1">
      <c r="A1637" s="5" t="str">
        <f t="shared" si="1"/>
        <v>AD507-1635</v>
      </c>
      <c r="C1637" s="5"/>
      <c r="F1637" s="5"/>
      <c r="G1637" s="5" t="str">
        <f t="shared" si="2"/>
        <v/>
      </c>
      <c r="H1637" s="5" t="str">
        <f t="shared" si="3"/>
        <v/>
      </c>
      <c r="I1637" s="5" t="str">
        <f t="shared" si="4"/>
        <v/>
      </c>
      <c r="J1637" s="5" t="str">
        <f t="shared" si="5"/>
        <v/>
      </c>
      <c r="K1637" s="5" t="str">
        <f>IFERROR(__xludf.DUMMYFUNCTION("IF(C1637&lt;&gt;"""",HYPERLINK(""https://wa.me/507""&amp;REGEXREPLACE(C1637,""[^0-9]"","""")&amp;""?text=""&amp;ENCODEURL(""Ya llegue. Codigo: ""&amp;A1637&amp;"". Ubicacion: ""&amp;""https://www.google.com/maps/search/?api=1&amp;query=""&amp;SUBSTITUTE(F1637,"" "","""")),""📲 Avisar al clien"&amp;"te""),"""")"),"")</f>
        <v/>
      </c>
      <c r="L1637" s="5" t="str">
        <f>IFERROR(__xludf.DUMMYFUNCTION("IF(C1637&lt;&gt;"""",""https://api.qrserver.com/v1/create-qr-code/?size=200x200&amp;data=""&amp;ENCODEURL(""https://wa.me/507""&amp;REGEXREPLACE(C1637,""[^0-9]"","""")&amp;""?text=""&amp;ENCODEURL(""Ya llegue. Codigo: ""&amp;A1637&amp;"". Ubicacion: ""&amp;""https://www.google.com/maps/search"&amp;"/?api=1&amp;query=""&amp;SUBSTITUTE(F1637,"" "",""""))),"""")"),"")</f>
        <v/>
      </c>
      <c r="M1637" s="5" t="str">
        <f t="shared" si="6"/>
        <v/>
      </c>
      <c r="N1637" s="5" t="str">
        <f>IFERROR(__xludf.DUMMYFUNCTION("IF(AND(F1637&lt;&gt;"""",REGEXMATCH(SUBSTITUTE(F1637,"" "",""""),""^-?\d+(\.\d+)?,-?\d+(\.\d+)?$""),VALUE(REGEXEXTRACT(SUBSTITUTE(F1637,"" "",""""),""^-?\d+(\.\d+)?""))&gt;=-90,VALUE(REGEXEXTRACT(SUBSTITUTE(F1637,"" "",""""),""^-?\d+(\.\d+)?""))&lt;=90,VALUE(REGEXEXT"&amp;"RACT(SUBSTITUTE(F1637,"" "",""""),""-?\d+(\.\d+)?$""))&gt;=-180,VALUE(REGEXEXTRACT(SUBSTITUTE(F1637,"" "",""""),""-?\d+(\.\d+)?$""))&lt;=180),""OK"",""REVISAR"")"),"#N/A")</f>
        <v>#N/A</v>
      </c>
    </row>
    <row r="1638" ht="15.75" customHeight="1">
      <c r="A1638" s="5" t="str">
        <f t="shared" si="1"/>
        <v>AD507-1636</v>
      </c>
      <c r="C1638" s="5"/>
      <c r="F1638" s="5"/>
      <c r="G1638" s="5" t="str">
        <f t="shared" si="2"/>
        <v/>
      </c>
      <c r="H1638" s="5" t="str">
        <f t="shared" si="3"/>
        <v/>
      </c>
      <c r="I1638" s="5" t="str">
        <f t="shared" si="4"/>
        <v/>
      </c>
      <c r="J1638" s="5" t="str">
        <f t="shared" si="5"/>
        <v/>
      </c>
      <c r="K1638" s="5" t="str">
        <f>IFERROR(__xludf.DUMMYFUNCTION("IF(C1638&lt;&gt;"""",HYPERLINK(""https://wa.me/507""&amp;REGEXREPLACE(C1638,""[^0-9]"","""")&amp;""?text=""&amp;ENCODEURL(""Ya llegue. Codigo: ""&amp;A1638&amp;"". Ubicacion: ""&amp;""https://www.google.com/maps/search/?api=1&amp;query=""&amp;SUBSTITUTE(F1638,"" "","""")),""📲 Avisar al clien"&amp;"te""),"""")"),"")</f>
        <v/>
      </c>
      <c r="L1638" s="5" t="str">
        <f>IFERROR(__xludf.DUMMYFUNCTION("IF(C1638&lt;&gt;"""",""https://api.qrserver.com/v1/create-qr-code/?size=200x200&amp;data=""&amp;ENCODEURL(""https://wa.me/507""&amp;REGEXREPLACE(C1638,""[^0-9]"","""")&amp;""?text=""&amp;ENCODEURL(""Ya llegue. Codigo: ""&amp;A1638&amp;"". Ubicacion: ""&amp;""https://www.google.com/maps/search"&amp;"/?api=1&amp;query=""&amp;SUBSTITUTE(F1638,"" "",""""))),"""")"),"")</f>
        <v/>
      </c>
      <c r="M1638" s="5" t="str">
        <f t="shared" si="6"/>
        <v/>
      </c>
      <c r="N1638" s="5" t="str">
        <f>IFERROR(__xludf.DUMMYFUNCTION("IF(AND(F1638&lt;&gt;"""",REGEXMATCH(SUBSTITUTE(F1638,"" "",""""),""^-?\d+(\.\d+)?,-?\d+(\.\d+)?$""),VALUE(REGEXEXTRACT(SUBSTITUTE(F1638,"" "",""""),""^-?\d+(\.\d+)?""))&gt;=-90,VALUE(REGEXEXTRACT(SUBSTITUTE(F1638,"" "",""""),""^-?\d+(\.\d+)?""))&lt;=90,VALUE(REGEXEXT"&amp;"RACT(SUBSTITUTE(F1638,"" "",""""),""-?\d+(\.\d+)?$""))&gt;=-180,VALUE(REGEXEXTRACT(SUBSTITUTE(F1638,"" "",""""),""-?\d+(\.\d+)?$""))&lt;=180),""OK"",""REVISAR"")"),"#N/A")</f>
        <v>#N/A</v>
      </c>
    </row>
    <row r="1639" ht="15.75" customHeight="1">
      <c r="A1639" s="5" t="str">
        <f t="shared" si="1"/>
        <v>AD507-1637</v>
      </c>
      <c r="C1639" s="5"/>
      <c r="F1639" s="5"/>
      <c r="G1639" s="5" t="str">
        <f t="shared" si="2"/>
        <v/>
      </c>
      <c r="H1639" s="5" t="str">
        <f t="shared" si="3"/>
        <v/>
      </c>
      <c r="I1639" s="5" t="str">
        <f t="shared" si="4"/>
        <v/>
      </c>
      <c r="J1639" s="5" t="str">
        <f t="shared" si="5"/>
        <v/>
      </c>
      <c r="K1639" s="5" t="str">
        <f>IFERROR(__xludf.DUMMYFUNCTION("IF(C1639&lt;&gt;"""",HYPERLINK(""https://wa.me/507""&amp;REGEXREPLACE(C1639,""[^0-9]"","""")&amp;""?text=""&amp;ENCODEURL(""Ya llegue. Codigo: ""&amp;A1639&amp;"". Ubicacion: ""&amp;""https://www.google.com/maps/search/?api=1&amp;query=""&amp;SUBSTITUTE(F1639,"" "","""")),""📲 Avisar al clien"&amp;"te""),"""")"),"")</f>
        <v/>
      </c>
      <c r="L1639" s="5" t="str">
        <f>IFERROR(__xludf.DUMMYFUNCTION("IF(C1639&lt;&gt;"""",""https://api.qrserver.com/v1/create-qr-code/?size=200x200&amp;data=""&amp;ENCODEURL(""https://wa.me/507""&amp;REGEXREPLACE(C1639,""[^0-9]"","""")&amp;""?text=""&amp;ENCODEURL(""Ya llegue. Codigo: ""&amp;A1639&amp;"". Ubicacion: ""&amp;""https://www.google.com/maps/search"&amp;"/?api=1&amp;query=""&amp;SUBSTITUTE(F1639,"" "",""""))),"""")"),"")</f>
        <v/>
      </c>
      <c r="M1639" s="5" t="str">
        <f t="shared" si="6"/>
        <v/>
      </c>
      <c r="N1639" s="5" t="str">
        <f>IFERROR(__xludf.DUMMYFUNCTION("IF(AND(F1639&lt;&gt;"""",REGEXMATCH(SUBSTITUTE(F1639,"" "",""""),""^-?\d+(\.\d+)?,-?\d+(\.\d+)?$""),VALUE(REGEXEXTRACT(SUBSTITUTE(F1639,"" "",""""),""^-?\d+(\.\d+)?""))&gt;=-90,VALUE(REGEXEXTRACT(SUBSTITUTE(F1639,"" "",""""),""^-?\d+(\.\d+)?""))&lt;=90,VALUE(REGEXEXT"&amp;"RACT(SUBSTITUTE(F1639,"" "",""""),""-?\d+(\.\d+)?$""))&gt;=-180,VALUE(REGEXEXTRACT(SUBSTITUTE(F1639,"" "",""""),""-?\d+(\.\d+)?$""))&lt;=180),""OK"",""REVISAR"")"),"#N/A")</f>
        <v>#N/A</v>
      </c>
    </row>
    <row r="1640" ht="15.75" customHeight="1">
      <c r="A1640" s="5" t="str">
        <f t="shared" si="1"/>
        <v>AD507-1638</v>
      </c>
      <c r="C1640" s="5"/>
      <c r="F1640" s="5"/>
      <c r="G1640" s="5" t="str">
        <f t="shared" si="2"/>
        <v/>
      </c>
      <c r="H1640" s="5" t="str">
        <f t="shared" si="3"/>
        <v/>
      </c>
      <c r="I1640" s="5" t="str">
        <f t="shared" si="4"/>
        <v/>
      </c>
      <c r="J1640" s="5" t="str">
        <f t="shared" si="5"/>
        <v/>
      </c>
      <c r="K1640" s="5" t="str">
        <f>IFERROR(__xludf.DUMMYFUNCTION("IF(C1640&lt;&gt;"""",HYPERLINK(""https://wa.me/507""&amp;REGEXREPLACE(C1640,""[^0-9]"","""")&amp;""?text=""&amp;ENCODEURL(""Ya llegue. Codigo: ""&amp;A1640&amp;"". Ubicacion: ""&amp;""https://www.google.com/maps/search/?api=1&amp;query=""&amp;SUBSTITUTE(F1640,"" "","""")),""📲 Avisar al clien"&amp;"te""),"""")"),"")</f>
        <v/>
      </c>
      <c r="L1640" s="5" t="str">
        <f>IFERROR(__xludf.DUMMYFUNCTION("IF(C1640&lt;&gt;"""",""https://api.qrserver.com/v1/create-qr-code/?size=200x200&amp;data=""&amp;ENCODEURL(""https://wa.me/507""&amp;REGEXREPLACE(C1640,""[^0-9]"","""")&amp;""?text=""&amp;ENCODEURL(""Ya llegue. Codigo: ""&amp;A1640&amp;"". Ubicacion: ""&amp;""https://www.google.com/maps/search"&amp;"/?api=1&amp;query=""&amp;SUBSTITUTE(F1640,"" "",""""))),"""")"),"")</f>
        <v/>
      </c>
      <c r="M1640" s="5" t="str">
        <f t="shared" si="6"/>
        <v/>
      </c>
      <c r="N1640" s="5" t="str">
        <f>IFERROR(__xludf.DUMMYFUNCTION("IF(AND(F1640&lt;&gt;"""",REGEXMATCH(SUBSTITUTE(F1640,"" "",""""),""^-?\d+(\.\d+)?,-?\d+(\.\d+)?$""),VALUE(REGEXEXTRACT(SUBSTITUTE(F1640,"" "",""""),""^-?\d+(\.\d+)?""))&gt;=-90,VALUE(REGEXEXTRACT(SUBSTITUTE(F1640,"" "",""""),""^-?\d+(\.\d+)?""))&lt;=90,VALUE(REGEXEXT"&amp;"RACT(SUBSTITUTE(F1640,"" "",""""),""-?\d+(\.\d+)?$""))&gt;=-180,VALUE(REGEXEXTRACT(SUBSTITUTE(F1640,"" "",""""),""-?\d+(\.\d+)?$""))&lt;=180),""OK"",""REVISAR"")"),"#N/A")</f>
        <v>#N/A</v>
      </c>
    </row>
    <row r="1641" ht="15.75" customHeight="1">
      <c r="A1641" s="5" t="str">
        <f t="shared" si="1"/>
        <v>AD507-1639</v>
      </c>
      <c r="C1641" s="5"/>
      <c r="F1641" s="5"/>
      <c r="G1641" s="5" t="str">
        <f t="shared" si="2"/>
        <v/>
      </c>
      <c r="H1641" s="5" t="str">
        <f t="shared" si="3"/>
        <v/>
      </c>
      <c r="I1641" s="5" t="str">
        <f t="shared" si="4"/>
        <v/>
      </c>
      <c r="J1641" s="5" t="str">
        <f t="shared" si="5"/>
        <v/>
      </c>
      <c r="K1641" s="5" t="str">
        <f>IFERROR(__xludf.DUMMYFUNCTION("IF(C1641&lt;&gt;"""",HYPERLINK(""https://wa.me/507""&amp;REGEXREPLACE(C1641,""[^0-9]"","""")&amp;""?text=""&amp;ENCODEURL(""Ya llegue. Codigo: ""&amp;A1641&amp;"". Ubicacion: ""&amp;""https://www.google.com/maps/search/?api=1&amp;query=""&amp;SUBSTITUTE(F1641,"" "","""")),""📲 Avisar al clien"&amp;"te""),"""")"),"")</f>
        <v/>
      </c>
      <c r="L1641" s="5" t="str">
        <f>IFERROR(__xludf.DUMMYFUNCTION("IF(C1641&lt;&gt;"""",""https://api.qrserver.com/v1/create-qr-code/?size=200x200&amp;data=""&amp;ENCODEURL(""https://wa.me/507""&amp;REGEXREPLACE(C1641,""[^0-9]"","""")&amp;""?text=""&amp;ENCODEURL(""Ya llegue. Codigo: ""&amp;A1641&amp;"". Ubicacion: ""&amp;""https://www.google.com/maps/search"&amp;"/?api=1&amp;query=""&amp;SUBSTITUTE(F1641,"" "",""""))),"""")"),"")</f>
        <v/>
      </c>
      <c r="M1641" s="5" t="str">
        <f t="shared" si="6"/>
        <v/>
      </c>
      <c r="N1641" s="5" t="str">
        <f>IFERROR(__xludf.DUMMYFUNCTION("IF(AND(F1641&lt;&gt;"""",REGEXMATCH(SUBSTITUTE(F1641,"" "",""""),""^-?\d+(\.\d+)?,-?\d+(\.\d+)?$""),VALUE(REGEXEXTRACT(SUBSTITUTE(F1641,"" "",""""),""^-?\d+(\.\d+)?""))&gt;=-90,VALUE(REGEXEXTRACT(SUBSTITUTE(F1641,"" "",""""),""^-?\d+(\.\d+)?""))&lt;=90,VALUE(REGEXEXT"&amp;"RACT(SUBSTITUTE(F1641,"" "",""""),""-?\d+(\.\d+)?$""))&gt;=-180,VALUE(REGEXEXTRACT(SUBSTITUTE(F1641,"" "",""""),""-?\d+(\.\d+)?$""))&lt;=180),""OK"",""REVISAR"")"),"#N/A")</f>
        <v>#N/A</v>
      </c>
    </row>
    <row r="1642" ht="15.75" customHeight="1">
      <c r="A1642" s="5" t="str">
        <f t="shared" si="1"/>
        <v>AD507-1640</v>
      </c>
      <c r="C1642" s="5"/>
      <c r="F1642" s="5"/>
      <c r="G1642" s="5" t="str">
        <f t="shared" si="2"/>
        <v/>
      </c>
      <c r="H1642" s="5" t="str">
        <f t="shared" si="3"/>
        <v/>
      </c>
      <c r="I1642" s="5" t="str">
        <f t="shared" si="4"/>
        <v/>
      </c>
      <c r="J1642" s="5" t="str">
        <f t="shared" si="5"/>
        <v/>
      </c>
      <c r="K1642" s="5" t="str">
        <f>IFERROR(__xludf.DUMMYFUNCTION("IF(C1642&lt;&gt;"""",HYPERLINK(""https://wa.me/507""&amp;REGEXREPLACE(C1642,""[^0-9]"","""")&amp;""?text=""&amp;ENCODEURL(""Ya llegue. Codigo: ""&amp;A1642&amp;"". Ubicacion: ""&amp;""https://www.google.com/maps/search/?api=1&amp;query=""&amp;SUBSTITUTE(F1642,"" "","""")),""📲 Avisar al clien"&amp;"te""),"""")"),"")</f>
        <v/>
      </c>
      <c r="L1642" s="5" t="str">
        <f>IFERROR(__xludf.DUMMYFUNCTION("IF(C1642&lt;&gt;"""",""https://api.qrserver.com/v1/create-qr-code/?size=200x200&amp;data=""&amp;ENCODEURL(""https://wa.me/507""&amp;REGEXREPLACE(C1642,""[^0-9]"","""")&amp;""?text=""&amp;ENCODEURL(""Ya llegue. Codigo: ""&amp;A1642&amp;"". Ubicacion: ""&amp;""https://www.google.com/maps/search"&amp;"/?api=1&amp;query=""&amp;SUBSTITUTE(F1642,"" "",""""))),"""")"),"")</f>
        <v/>
      </c>
      <c r="M1642" s="5" t="str">
        <f t="shared" si="6"/>
        <v/>
      </c>
      <c r="N1642" s="5" t="str">
        <f>IFERROR(__xludf.DUMMYFUNCTION("IF(AND(F1642&lt;&gt;"""",REGEXMATCH(SUBSTITUTE(F1642,"" "",""""),""^-?\d+(\.\d+)?,-?\d+(\.\d+)?$""),VALUE(REGEXEXTRACT(SUBSTITUTE(F1642,"" "",""""),""^-?\d+(\.\d+)?""))&gt;=-90,VALUE(REGEXEXTRACT(SUBSTITUTE(F1642,"" "",""""),""^-?\d+(\.\d+)?""))&lt;=90,VALUE(REGEXEXT"&amp;"RACT(SUBSTITUTE(F1642,"" "",""""),""-?\d+(\.\d+)?$""))&gt;=-180,VALUE(REGEXEXTRACT(SUBSTITUTE(F1642,"" "",""""),""-?\d+(\.\d+)?$""))&lt;=180),""OK"",""REVISAR"")"),"#N/A")</f>
        <v>#N/A</v>
      </c>
    </row>
    <row r="1643" ht="15.75" customHeight="1">
      <c r="A1643" s="5" t="str">
        <f t="shared" si="1"/>
        <v>AD507-1641</v>
      </c>
      <c r="C1643" s="5"/>
      <c r="F1643" s="5"/>
      <c r="G1643" s="5" t="str">
        <f t="shared" si="2"/>
        <v/>
      </c>
      <c r="H1643" s="5" t="str">
        <f t="shared" si="3"/>
        <v/>
      </c>
      <c r="I1643" s="5" t="str">
        <f t="shared" si="4"/>
        <v/>
      </c>
      <c r="J1643" s="5" t="str">
        <f t="shared" si="5"/>
        <v/>
      </c>
      <c r="K1643" s="5" t="str">
        <f>IFERROR(__xludf.DUMMYFUNCTION("IF(C1643&lt;&gt;"""",HYPERLINK(""https://wa.me/507""&amp;REGEXREPLACE(C1643,""[^0-9]"","""")&amp;""?text=""&amp;ENCODEURL(""Ya llegue. Codigo: ""&amp;A1643&amp;"". Ubicacion: ""&amp;""https://www.google.com/maps/search/?api=1&amp;query=""&amp;SUBSTITUTE(F1643,"" "","""")),""📲 Avisar al clien"&amp;"te""),"""")"),"")</f>
        <v/>
      </c>
      <c r="L1643" s="5" t="str">
        <f>IFERROR(__xludf.DUMMYFUNCTION("IF(C1643&lt;&gt;"""",""https://api.qrserver.com/v1/create-qr-code/?size=200x200&amp;data=""&amp;ENCODEURL(""https://wa.me/507""&amp;REGEXREPLACE(C1643,""[^0-9]"","""")&amp;""?text=""&amp;ENCODEURL(""Ya llegue. Codigo: ""&amp;A1643&amp;"". Ubicacion: ""&amp;""https://www.google.com/maps/search"&amp;"/?api=1&amp;query=""&amp;SUBSTITUTE(F1643,"" "",""""))),"""")"),"")</f>
        <v/>
      </c>
      <c r="M1643" s="5" t="str">
        <f t="shared" si="6"/>
        <v/>
      </c>
      <c r="N1643" s="5" t="str">
        <f>IFERROR(__xludf.DUMMYFUNCTION("IF(AND(F1643&lt;&gt;"""",REGEXMATCH(SUBSTITUTE(F1643,"" "",""""),""^-?\d+(\.\d+)?,-?\d+(\.\d+)?$""),VALUE(REGEXEXTRACT(SUBSTITUTE(F1643,"" "",""""),""^-?\d+(\.\d+)?""))&gt;=-90,VALUE(REGEXEXTRACT(SUBSTITUTE(F1643,"" "",""""),""^-?\d+(\.\d+)?""))&lt;=90,VALUE(REGEXEXT"&amp;"RACT(SUBSTITUTE(F1643,"" "",""""),""-?\d+(\.\d+)?$""))&gt;=-180,VALUE(REGEXEXTRACT(SUBSTITUTE(F1643,"" "",""""),""-?\d+(\.\d+)?$""))&lt;=180),""OK"",""REVISAR"")"),"#N/A")</f>
        <v>#N/A</v>
      </c>
    </row>
    <row r="1644" ht="15.75" customHeight="1">
      <c r="A1644" s="5" t="str">
        <f t="shared" si="1"/>
        <v>AD507-1642</v>
      </c>
      <c r="C1644" s="5"/>
      <c r="F1644" s="5"/>
      <c r="G1644" s="5" t="str">
        <f t="shared" si="2"/>
        <v/>
      </c>
      <c r="H1644" s="5" t="str">
        <f t="shared" si="3"/>
        <v/>
      </c>
      <c r="I1644" s="5" t="str">
        <f t="shared" si="4"/>
        <v/>
      </c>
      <c r="J1644" s="5" t="str">
        <f t="shared" si="5"/>
        <v/>
      </c>
      <c r="K1644" s="5" t="str">
        <f>IFERROR(__xludf.DUMMYFUNCTION("IF(C1644&lt;&gt;"""",HYPERLINK(""https://wa.me/507""&amp;REGEXREPLACE(C1644,""[^0-9]"","""")&amp;""?text=""&amp;ENCODEURL(""Ya llegue. Codigo: ""&amp;A1644&amp;"". Ubicacion: ""&amp;""https://www.google.com/maps/search/?api=1&amp;query=""&amp;SUBSTITUTE(F1644,"" "","""")),""📲 Avisar al clien"&amp;"te""),"""")"),"")</f>
        <v/>
      </c>
      <c r="L1644" s="5" t="str">
        <f>IFERROR(__xludf.DUMMYFUNCTION("IF(C1644&lt;&gt;"""",""https://api.qrserver.com/v1/create-qr-code/?size=200x200&amp;data=""&amp;ENCODEURL(""https://wa.me/507""&amp;REGEXREPLACE(C1644,""[^0-9]"","""")&amp;""?text=""&amp;ENCODEURL(""Ya llegue. Codigo: ""&amp;A1644&amp;"". Ubicacion: ""&amp;""https://www.google.com/maps/search"&amp;"/?api=1&amp;query=""&amp;SUBSTITUTE(F1644,"" "",""""))),"""")"),"")</f>
        <v/>
      </c>
      <c r="M1644" s="5" t="str">
        <f t="shared" si="6"/>
        <v/>
      </c>
      <c r="N1644" s="5" t="str">
        <f>IFERROR(__xludf.DUMMYFUNCTION("IF(AND(F1644&lt;&gt;"""",REGEXMATCH(SUBSTITUTE(F1644,"" "",""""),""^-?\d+(\.\d+)?,-?\d+(\.\d+)?$""),VALUE(REGEXEXTRACT(SUBSTITUTE(F1644,"" "",""""),""^-?\d+(\.\d+)?""))&gt;=-90,VALUE(REGEXEXTRACT(SUBSTITUTE(F1644,"" "",""""),""^-?\d+(\.\d+)?""))&lt;=90,VALUE(REGEXEXT"&amp;"RACT(SUBSTITUTE(F1644,"" "",""""),""-?\d+(\.\d+)?$""))&gt;=-180,VALUE(REGEXEXTRACT(SUBSTITUTE(F1644,"" "",""""),""-?\d+(\.\d+)?$""))&lt;=180),""OK"",""REVISAR"")"),"#N/A")</f>
        <v>#N/A</v>
      </c>
    </row>
    <row r="1645" ht="15.75" customHeight="1">
      <c r="A1645" s="5" t="str">
        <f t="shared" si="1"/>
        <v>AD507-1643</v>
      </c>
      <c r="C1645" s="5"/>
      <c r="F1645" s="5"/>
      <c r="G1645" s="5" t="str">
        <f t="shared" si="2"/>
        <v/>
      </c>
      <c r="H1645" s="5" t="str">
        <f t="shared" si="3"/>
        <v/>
      </c>
      <c r="I1645" s="5" t="str">
        <f t="shared" si="4"/>
        <v/>
      </c>
      <c r="J1645" s="5" t="str">
        <f t="shared" si="5"/>
        <v/>
      </c>
      <c r="K1645" s="5" t="str">
        <f>IFERROR(__xludf.DUMMYFUNCTION("IF(C1645&lt;&gt;"""",HYPERLINK(""https://wa.me/507""&amp;REGEXREPLACE(C1645,""[^0-9]"","""")&amp;""?text=""&amp;ENCODEURL(""Ya llegue. Codigo: ""&amp;A1645&amp;"". Ubicacion: ""&amp;""https://www.google.com/maps/search/?api=1&amp;query=""&amp;SUBSTITUTE(F1645,"" "","""")),""📲 Avisar al clien"&amp;"te""),"""")"),"")</f>
        <v/>
      </c>
      <c r="L1645" s="5" t="str">
        <f>IFERROR(__xludf.DUMMYFUNCTION("IF(C1645&lt;&gt;"""",""https://api.qrserver.com/v1/create-qr-code/?size=200x200&amp;data=""&amp;ENCODEURL(""https://wa.me/507""&amp;REGEXREPLACE(C1645,""[^0-9]"","""")&amp;""?text=""&amp;ENCODEURL(""Ya llegue. Codigo: ""&amp;A1645&amp;"". Ubicacion: ""&amp;""https://www.google.com/maps/search"&amp;"/?api=1&amp;query=""&amp;SUBSTITUTE(F1645,"" "",""""))),"""")"),"")</f>
        <v/>
      </c>
      <c r="M1645" s="5" t="str">
        <f t="shared" si="6"/>
        <v/>
      </c>
      <c r="N1645" s="5" t="str">
        <f>IFERROR(__xludf.DUMMYFUNCTION("IF(AND(F1645&lt;&gt;"""",REGEXMATCH(SUBSTITUTE(F1645,"" "",""""),""^-?\d+(\.\d+)?,-?\d+(\.\d+)?$""),VALUE(REGEXEXTRACT(SUBSTITUTE(F1645,"" "",""""),""^-?\d+(\.\d+)?""))&gt;=-90,VALUE(REGEXEXTRACT(SUBSTITUTE(F1645,"" "",""""),""^-?\d+(\.\d+)?""))&lt;=90,VALUE(REGEXEXT"&amp;"RACT(SUBSTITUTE(F1645,"" "",""""),""-?\d+(\.\d+)?$""))&gt;=-180,VALUE(REGEXEXTRACT(SUBSTITUTE(F1645,"" "",""""),""-?\d+(\.\d+)?$""))&lt;=180),""OK"",""REVISAR"")"),"#N/A")</f>
        <v>#N/A</v>
      </c>
    </row>
    <row r="1646" ht="15.75" customHeight="1">
      <c r="A1646" s="5" t="str">
        <f t="shared" si="1"/>
        <v>AD507-1644</v>
      </c>
      <c r="C1646" s="5"/>
      <c r="F1646" s="5"/>
      <c r="G1646" s="5" t="str">
        <f t="shared" si="2"/>
        <v/>
      </c>
      <c r="H1646" s="5" t="str">
        <f t="shared" si="3"/>
        <v/>
      </c>
      <c r="I1646" s="5" t="str">
        <f t="shared" si="4"/>
        <v/>
      </c>
      <c r="J1646" s="5" t="str">
        <f t="shared" si="5"/>
        <v/>
      </c>
      <c r="K1646" s="5" t="str">
        <f>IFERROR(__xludf.DUMMYFUNCTION("IF(C1646&lt;&gt;"""",HYPERLINK(""https://wa.me/507""&amp;REGEXREPLACE(C1646,""[^0-9]"","""")&amp;""?text=""&amp;ENCODEURL(""Ya llegue. Codigo: ""&amp;A1646&amp;"". Ubicacion: ""&amp;""https://www.google.com/maps/search/?api=1&amp;query=""&amp;SUBSTITUTE(F1646,"" "","""")),""📲 Avisar al clien"&amp;"te""),"""")"),"")</f>
        <v/>
      </c>
      <c r="L1646" s="5" t="str">
        <f>IFERROR(__xludf.DUMMYFUNCTION("IF(C1646&lt;&gt;"""",""https://api.qrserver.com/v1/create-qr-code/?size=200x200&amp;data=""&amp;ENCODEURL(""https://wa.me/507""&amp;REGEXREPLACE(C1646,""[^0-9]"","""")&amp;""?text=""&amp;ENCODEURL(""Ya llegue. Codigo: ""&amp;A1646&amp;"". Ubicacion: ""&amp;""https://www.google.com/maps/search"&amp;"/?api=1&amp;query=""&amp;SUBSTITUTE(F1646,"" "",""""))),"""")"),"")</f>
        <v/>
      </c>
      <c r="M1646" s="5" t="str">
        <f t="shared" si="6"/>
        <v/>
      </c>
      <c r="N1646" s="5" t="str">
        <f>IFERROR(__xludf.DUMMYFUNCTION("IF(AND(F1646&lt;&gt;"""",REGEXMATCH(SUBSTITUTE(F1646,"" "",""""),""^-?\d+(\.\d+)?,-?\d+(\.\d+)?$""),VALUE(REGEXEXTRACT(SUBSTITUTE(F1646,"" "",""""),""^-?\d+(\.\d+)?""))&gt;=-90,VALUE(REGEXEXTRACT(SUBSTITUTE(F1646,"" "",""""),""^-?\d+(\.\d+)?""))&lt;=90,VALUE(REGEXEXT"&amp;"RACT(SUBSTITUTE(F1646,"" "",""""),""-?\d+(\.\d+)?$""))&gt;=-180,VALUE(REGEXEXTRACT(SUBSTITUTE(F1646,"" "",""""),""-?\d+(\.\d+)?$""))&lt;=180),""OK"",""REVISAR"")"),"#N/A")</f>
        <v>#N/A</v>
      </c>
    </row>
    <row r="1647" ht="15.75" customHeight="1">
      <c r="A1647" s="5" t="str">
        <f t="shared" si="1"/>
        <v>AD507-1645</v>
      </c>
      <c r="C1647" s="5"/>
      <c r="F1647" s="5"/>
      <c r="G1647" s="5" t="str">
        <f t="shared" si="2"/>
        <v/>
      </c>
      <c r="H1647" s="5" t="str">
        <f t="shared" si="3"/>
        <v/>
      </c>
      <c r="I1647" s="5" t="str">
        <f t="shared" si="4"/>
        <v/>
      </c>
      <c r="J1647" s="5" t="str">
        <f t="shared" si="5"/>
        <v/>
      </c>
      <c r="K1647" s="5" t="str">
        <f>IFERROR(__xludf.DUMMYFUNCTION("IF(C1647&lt;&gt;"""",HYPERLINK(""https://wa.me/507""&amp;REGEXREPLACE(C1647,""[^0-9]"","""")&amp;""?text=""&amp;ENCODEURL(""Ya llegue. Codigo: ""&amp;A1647&amp;"". Ubicacion: ""&amp;""https://www.google.com/maps/search/?api=1&amp;query=""&amp;SUBSTITUTE(F1647,"" "","""")),""📲 Avisar al clien"&amp;"te""),"""")"),"")</f>
        <v/>
      </c>
      <c r="L1647" s="5" t="str">
        <f>IFERROR(__xludf.DUMMYFUNCTION("IF(C1647&lt;&gt;"""",""https://api.qrserver.com/v1/create-qr-code/?size=200x200&amp;data=""&amp;ENCODEURL(""https://wa.me/507""&amp;REGEXREPLACE(C1647,""[^0-9]"","""")&amp;""?text=""&amp;ENCODEURL(""Ya llegue. Codigo: ""&amp;A1647&amp;"". Ubicacion: ""&amp;""https://www.google.com/maps/search"&amp;"/?api=1&amp;query=""&amp;SUBSTITUTE(F1647,"" "",""""))),"""")"),"")</f>
        <v/>
      </c>
      <c r="M1647" s="5" t="str">
        <f t="shared" si="6"/>
        <v/>
      </c>
      <c r="N1647" s="5" t="str">
        <f>IFERROR(__xludf.DUMMYFUNCTION("IF(AND(F1647&lt;&gt;"""",REGEXMATCH(SUBSTITUTE(F1647,"" "",""""),""^-?\d+(\.\d+)?,-?\d+(\.\d+)?$""),VALUE(REGEXEXTRACT(SUBSTITUTE(F1647,"" "",""""),""^-?\d+(\.\d+)?""))&gt;=-90,VALUE(REGEXEXTRACT(SUBSTITUTE(F1647,"" "",""""),""^-?\d+(\.\d+)?""))&lt;=90,VALUE(REGEXEXT"&amp;"RACT(SUBSTITUTE(F1647,"" "",""""),""-?\d+(\.\d+)?$""))&gt;=-180,VALUE(REGEXEXTRACT(SUBSTITUTE(F1647,"" "",""""),""-?\d+(\.\d+)?$""))&lt;=180),""OK"",""REVISAR"")"),"#N/A")</f>
        <v>#N/A</v>
      </c>
    </row>
    <row r="1648" ht="15.75" customHeight="1">
      <c r="A1648" s="5" t="str">
        <f t="shared" si="1"/>
        <v>AD507-1646</v>
      </c>
      <c r="C1648" s="5"/>
      <c r="F1648" s="5"/>
      <c r="G1648" s="5" t="str">
        <f t="shared" si="2"/>
        <v/>
      </c>
      <c r="H1648" s="5" t="str">
        <f t="shared" si="3"/>
        <v/>
      </c>
      <c r="I1648" s="5" t="str">
        <f t="shared" si="4"/>
        <v/>
      </c>
      <c r="J1648" s="5" t="str">
        <f t="shared" si="5"/>
        <v/>
      </c>
      <c r="K1648" s="5" t="str">
        <f>IFERROR(__xludf.DUMMYFUNCTION("IF(C1648&lt;&gt;"""",HYPERLINK(""https://wa.me/507""&amp;REGEXREPLACE(C1648,""[^0-9]"","""")&amp;""?text=""&amp;ENCODEURL(""Ya llegue. Codigo: ""&amp;A1648&amp;"". Ubicacion: ""&amp;""https://www.google.com/maps/search/?api=1&amp;query=""&amp;SUBSTITUTE(F1648,"" "","""")),""📲 Avisar al clien"&amp;"te""),"""")"),"")</f>
        <v/>
      </c>
      <c r="L1648" s="5" t="str">
        <f>IFERROR(__xludf.DUMMYFUNCTION("IF(C1648&lt;&gt;"""",""https://api.qrserver.com/v1/create-qr-code/?size=200x200&amp;data=""&amp;ENCODEURL(""https://wa.me/507""&amp;REGEXREPLACE(C1648,""[^0-9]"","""")&amp;""?text=""&amp;ENCODEURL(""Ya llegue. Codigo: ""&amp;A1648&amp;"". Ubicacion: ""&amp;""https://www.google.com/maps/search"&amp;"/?api=1&amp;query=""&amp;SUBSTITUTE(F1648,"" "",""""))),"""")"),"")</f>
        <v/>
      </c>
      <c r="M1648" s="5" t="str">
        <f t="shared" si="6"/>
        <v/>
      </c>
      <c r="N1648" s="5" t="str">
        <f>IFERROR(__xludf.DUMMYFUNCTION("IF(AND(F1648&lt;&gt;"""",REGEXMATCH(SUBSTITUTE(F1648,"" "",""""),""^-?\d+(\.\d+)?,-?\d+(\.\d+)?$""),VALUE(REGEXEXTRACT(SUBSTITUTE(F1648,"" "",""""),""^-?\d+(\.\d+)?""))&gt;=-90,VALUE(REGEXEXTRACT(SUBSTITUTE(F1648,"" "",""""),""^-?\d+(\.\d+)?""))&lt;=90,VALUE(REGEXEXT"&amp;"RACT(SUBSTITUTE(F1648,"" "",""""),""-?\d+(\.\d+)?$""))&gt;=-180,VALUE(REGEXEXTRACT(SUBSTITUTE(F1648,"" "",""""),""-?\d+(\.\d+)?$""))&lt;=180),""OK"",""REVISAR"")"),"#N/A")</f>
        <v>#N/A</v>
      </c>
    </row>
    <row r="1649" ht="15.75" customHeight="1">
      <c r="A1649" s="5" t="str">
        <f t="shared" si="1"/>
        <v>AD507-1647</v>
      </c>
      <c r="C1649" s="5"/>
      <c r="F1649" s="5"/>
      <c r="G1649" s="5" t="str">
        <f t="shared" si="2"/>
        <v/>
      </c>
      <c r="H1649" s="5" t="str">
        <f t="shared" si="3"/>
        <v/>
      </c>
      <c r="I1649" s="5" t="str">
        <f t="shared" si="4"/>
        <v/>
      </c>
      <c r="J1649" s="5" t="str">
        <f t="shared" si="5"/>
        <v/>
      </c>
      <c r="K1649" s="5" t="str">
        <f>IFERROR(__xludf.DUMMYFUNCTION("IF(C1649&lt;&gt;"""",HYPERLINK(""https://wa.me/507""&amp;REGEXREPLACE(C1649,""[^0-9]"","""")&amp;""?text=""&amp;ENCODEURL(""Ya llegue. Codigo: ""&amp;A1649&amp;"". Ubicacion: ""&amp;""https://www.google.com/maps/search/?api=1&amp;query=""&amp;SUBSTITUTE(F1649,"" "","""")),""📲 Avisar al clien"&amp;"te""),"""")"),"")</f>
        <v/>
      </c>
      <c r="L1649" s="5" t="str">
        <f>IFERROR(__xludf.DUMMYFUNCTION("IF(C1649&lt;&gt;"""",""https://api.qrserver.com/v1/create-qr-code/?size=200x200&amp;data=""&amp;ENCODEURL(""https://wa.me/507""&amp;REGEXREPLACE(C1649,""[^0-9]"","""")&amp;""?text=""&amp;ENCODEURL(""Ya llegue. Codigo: ""&amp;A1649&amp;"". Ubicacion: ""&amp;""https://www.google.com/maps/search"&amp;"/?api=1&amp;query=""&amp;SUBSTITUTE(F1649,"" "",""""))),"""")"),"")</f>
        <v/>
      </c>
      <c r="M1649" s="5" t="str">
        <f t="shared" si="6"/>
        <v/>
      </c>
      <c r="N1649" s="5" t="str">
        <f>IFERROR(__xludf.DUMMYFUNCTION("IF(AND(F1649&lt;&gt;"""",REGEXMATCH(SUBSTITUTE(F1649,"" "",""""),""^-?\d+(\.\d+)?,-?\d+(\.\d+)?$""),VALUE(REGEXEXTRACT(SUBSTITUTE(F1649,"" "",""""),""^-?\d+(\.\d+)?""))&gt;=-90,VALUE(REGEXEXTRACT(SUBSTITUTE(F1649,"" "",""""),""^-?\d+(\.\d+)?""))&lt;=90,VALUE(REGEXEXT"&amp;"RACT(SUBSTITUTE(F1649,"" "",""""),""-?\d+(\.\d+)?$""))&gt;=-180,VALUE(REGEXEXTRACT(SUBSTITUTE(F1649,"" "",""""),""-?\d+(\.\d+)?$""))&lt;=180),""OK"",""REVISAR"")"),"#N/A")</f>
        <v>#N/A</v>
      </c>
    </row>
    <row r="1650" ht="15.75" customHeight="1">
      <c r="A1650" s="5" t="str">
        <f t="shared" si="1"/>
        <v>AD507-1648</v>
      </c>
      <c r="C1650" s="5"/>
      <c r="F1650" s="5"/>
      <c r="G1650" s="5" t="str">
        <f t="shared" si="2"/>
        <v/>
      </c>
      <c r="H1650" s="5" t="str">
        <f t="shared" si="3"/>
        <v/>
      </c>
      <c r="I1650" s="5" t="str">
        <f t="shared" si="4"/>
        <v/>
      </c>
      <c r="J1650" s="5" t="str">
        <f t="shared" si="5"/>
        <v/>
      </c>
      <c r="K1650" s="5" t="str">
        <f>IFERROR(__xludf.DUMMYFUNCTION("IF(C1650&lt;&gt;"""",HYPERLINK(""https://wa.me/507""&amp;REGEXREPLACE(C1650,""[^0-9]"","""")&amp;""?text=""&amp;ENCODEURL(""Ya llegue. Codigo: ""&amp;A1650&amp;"". Ubicacion: ""&amp;""https://www.google.com/maps/search/?api=1&amp;query=""&amp;SUBSTITUTE(F1650,"" "","""")),""📲 Avisar al clien"&amp;"te""),"""")"),"")</f>
        <v/>
      </c>
      <c r="L1650" s="5" t="str">
        <f>IFERROR(__xludf.DUMMYFUNCTION("IF(C1650&lt;&gt;"""",""https://api.qrserver.com/v1/create-qr-code/?size=200x200&amp;data=""&amp;ENCODEURL(""https://wa.me/507""&amp;REGEXREPLACE(C1650,""[^0-9]"","""")&amp;""?text=""&amp;ENCODEURL(""Ya llegue. Codigo: ""&amp;A1650&amp;"". Ubicacion: ""&amp;""https://www.google.com/maps/search"&amp;"/?api=1&amp;query=""&amp;SUBSTITUTE(F1650,"" "",""""))),"""")"),"")</f>
        <v/>
      </c>
      <c r="M1650" s="5" t="str">
        <f t="shared" si="6"/>
        <v/>
      </c>
      <c r="N1650" s="5" t="str">
        <f>IFERROR(__xludf.DUMMYFUNCTION("IF(AND(F1650&lt;&gt;"""",REGEXMATCH(SUBSTITUTE(F1650,"" "",""""),""^-?\d+(\.\d+)?,-?\d+(\.\d+)?$""),VALUE(REGEXEXTRACT(SUBSTITUTE(F1650,"" "",""""),""^-?\d+(\.\d+)?""))&gt;=-90,VALUE(REGEXEXTRACT(SUBSTITUTE(F1650,"" "",""""),""^-?\d+(\.\d+)?""))&lt;=90,VALUE(REGEXEXT"&amp;"RACT(SUBSTITUTE(F1650,"" "",""""),""-?\d+(\.\d+)?$""))&gt;=-180,VALUE(REGEXEXTRACT(SUBSTITUTE(F1650,"" "",""""),""-?\d+(\.\d+)?$""))&lt;=180),""OK"",""REVISAR"")"),"#N/A")</f>
        <v>#N/A</v>
      </c>
    </row>
    <row r="1651" ht="15.75" customHeight="1">
      <c r="A1651" s="5" t="str">
        <f t="shared" si="1"/>
        <v>AD507-1649</v>
      </c>
      <c r="C1651" s="5"/>
      <c r="F1651" s="5"/>
      <c r="G1651" s="5" t="str">
        <f t="shared" si="2"/>
        <v/>
      </c>
      <c r="H1651" s="5" t="str">
        <f t="shared" si="3"/>
        <v/>
      </c>
      <c r="I1651" s="5" t="str">
        <f t="shared" si="4"/>
        <v/>
      </c>
      <c r="J1651" s="5" t="str">
        <f t="shared" si="5"/>
        <v/>
      </c>
      <c r="K1651" s="5" t="str">
        <f>IFERROR(__xludf.DUMMYFUNCTION("IF(C1651&lt;&gt;"""",HYPERLINK(""https://wa.me/507""&amp;REGEXREPLACE(C1651,""[^0-9]"","""")&amp;""?text=""&amp;ENCODEURL(""Ya llegue. Codigo: ""&amp;A1651&amp;"". Ubicacion: ""&amp;""https://www.google.com/maps/search/?api=1&amp;query=""&amp;SUBSTITUTE(F1651,"" "","""")),""📲 Avisar al clien"&amp;"te""),"""")"),"")</f>
        <v/>
      </c>
      <c r="L1651" s="5" t="str">
        <f>IFERROR(__xludf.DUMMYFUNCTION("IF(C1651&lt;&gt;"""",""https://api.qrserver.com/v1/create-qr-code/?size=200x200&amp;data=""&amp;ENCODEURL(""https://wa.me/507""&amp;REGEXREPLACE(C1651,""[^0-9]"","""")&amp;""?text=""&amp;ENCODEURL(""Ya llegue. Codigo: ""&amp;A1651&amp;"". Ubicacion: ""&amp;""https://www.google.com/maps/search"&amp;"/?api=1&amp;query=""&amp;SUBSTITUTE(F1651,"" "",""""))),"""")"),"")</f>
        <v/>
      </c>
      <c r="M1651" s="5" t="str">
        <f t="shared" si="6"/>
        <v/>
      </c>
      <c r="N1651" s="5" t="str">
        <f>IFERROR(__xludf.DUMMYFUNCTION("IF(AND(F1651&lt;&gt;"""",REGEXMATCH(SUBSTITUTE(F1651,"" "",""""),""^-?\d+(\.\d+)?,-?\d+(\.\d+)?$""),VALUE(REGEXEXTRACT(SUBSTITUTE(F1651,"" "",""""),""^-?\d+(\.\d+)?""))&gt;=-90,VALUE(REGEXEXTRACT(SUBSTITUTE(F1651,"" "",""""),""^-?\d+(\.\d+)?""))&lt;=90,VALUE(REGEXEXT"&amp;"RACT(SUBSTITUTE(F1651,"" "",""""),""-?\d+(\.\d+)?$""))&gt;=-180,VALUE(REGEXEXTRACT(SUBSTITUTE(F1651,"" "",""""),""-?\d+(\.\d+)?$""))&lt;=180),""OK"",""REVISAR"")"),"#N/A")</f>
        <v>#N/A</v>
      </c>
    </row>
    <row r="1652" ht="15.75" customHeight="1">
      <c r="A1652" s="5" t="str">
        <f t="shared" si="1"/>
        <v>AD507-1650</v>
      </c>
      <c r="C1652" s="5"/>
      <c r="F1652" s="5"/>
      <c r="G1652" s="5" t="str">
        <f t="shared" si="2"/>
        <v/>
      </c>
      <c r="H1652" s="5" t="str">
        <f t="shared" si="3"/>
        <v/>
      </c>
      <c r="I1652" s="5" t="str">
        <f t="shared" si="4"/>
        <v/>
      </c>
      <c r="J1652" s="5" t="str">
        <f t="shared" si="5"/>
        <v/>
      </c>
      <c r="K1652" s="5" t="str">
        <f>IFERROR(__xludf.DUMMYFUNCTION("IF(C1652&lt;&gt;"""",HYPERLINK(""https://wa.me/507""&amp;REGEXREPLACE(C1652,""[^0-9]"","""")&amp;""?text=""&amp;ENCODEURL(""Ya llegue. Codigo: ""&amp;A1652&amp;"". Ubicacion: ""&amp;""https://www.google.com/maps/search/?api=1&amp;query=""&amp;SUBSTITUTE(F1652,"" "","""")),""📲 Avisar al clien"&amp;"te""),"""")"),"")</f>
        <v/>
      </c>
      <c r="L1652" s="5" t="str">
        <f>IFERROR(__xludf.DUMMYFUNCTION("IF(C1652&lt;&gt;"""",""https://api.qrserver.com/v1/create-qr-code/?size=200x200&amp;data=""&amp;ENCODEURL(""https://wa.me/507""&amp;REGEXREPLACE(C1652,""[^0-9]"","""")&amp;""?text=""&amp;ENCODEURL(""Ya llegue. Codigo: ""&amp;A1652&amp;"". Ubicacion: ""&amp;""https://www.google.com/maps/search"&amp;"/?api=1&amp;query=""&amp;SUBSTITUTE(F1652,"" "",""""))),"""")"),"")</f>
        <v/>
      </c>
      <c r="M1652" s="5" t="str">
        <f t="shared" si="6"/>
        <v/>
      </c>
      <c r="N1652" s="5" t="str">
        <f>IFERROR(__xludf.DUMMYFUNCTION("IF(AND(F1652&lt;&gt;"""",REGEXMATCH(SUBSTITUTE(F1652,"" "",""""),""^-?\d+(\.\d+)?,-?\d+(\.\d+)?$""),VALUE(REGEXEXTRACT(SUBSTITUTE(F1652,"" "",""""),""^-?\d+(\.\d+)?""))&gt;=-90,VALUE(REGEXEXTRACT(SUBSTITUTE(F1652,"" "",""""),""^-?\d+(\.\d+)?""))&lt;=90,VALUE(REGEXEXT"&amp;"RACT(SUBSTITUTE(F1652,"" "",""""),""-?\d+(\.\d+)?$""))&gt;=-180,VALUE(REGEXEXTRACT(SUBSTITUTE(F1652,"" "",""""),""-?\d+(\.\d+)?$""))&lt;=180),""OK"",""REVISAR"")"),"#N/A")</f>
        <v>#N/A</v>
      </c>
    </row>
    <row r="1653" ht="15.75" customHeight="1">
      <c r="A1653" s="5" t="str">
        <f t="shared" si="1"/>
        <v>AD507-1651</v>
      </c>
      <c r="C1653" s="5"/>
      <c r="F1653" s="5"/>
      <c r="G1653" s="5" t="str">
        <f t="shared" si="2"/>
        <v/>
      </c>
      <c r="H1653" s="5" t="str">
        <f t="shared" si="3"/>
        <v/>
      </c>
      <c r="I1653" s="5" t="str">
        <f t="shared" si="4"/>
        <v/>
      </c>
      <c r="J1653" s="5" t="str">
        <f t="shared" si="5"/>
        <v/>
      </c>
      <c r="K1653" s="5" t="str">
        <f>IFERROR(__xludf.DUMMYFUNCTION("IF(C1653&lt;&gt;"""",HYPERLINK(""https://wa.me/507""&amp;REGEXREPLACE(C1653,""[^0-9]"","""")&amp;""?text=""&amp;ENCODEURL(""Ya llegue. Codigo: ""&amp;A1653&amp;"". Ubicacion: ""&amp;""https://www.google.com/maps/search/?api=1&amp;query=""&amp;SUBSTITUTE(F1653,"" "","""")),""📲 Avisar al clien"&amp;"te""),"""")"),"")</f>
        <v/>
      </c>
      <c r="L1653" s="5" t="str">
        <f>IFERROR(__xludf.DUMMYFUNCTION("IF(C1653&lt;&gt;"""",""https://api.qrserver.com/v1/create-qr-code/?size=200x200&amp;data=""&amp;ENCODEURL(""https://wa.me/507""&amp;REGEXREPLACE(C1653,""[^0-9]"","""")&amp;""?text=""&amp;ENCODEURL(""Ya llegue. Codigo: ""&amp;A1653&amp;"". Ubicacion: ""&amp;""https://www.google.com/maps/search"&amp;"/?api=1&amp;query=""&amp;SUBSTITUTE(F1653,"" "",""""))),"""")"),"")</f>
        <v/>
      </c>
      <c r="M1653" s="5" t="str">
        <f t="shared" si="6"/>
        <v/>
      </c>
      <c r="N1653" s="5" t="str">
        <f>IFERROR(__xludf.DUMMYFUNCTION("IF(AND(F1653&lt;&gt;"""",REGEXMATCH(SUBSTITUTE(F1653,"" "",""""),""^-?\d+(\.\d+)?,-?\d+(\.\d+)?$""),VALUE(REGEXEXTRACT(SUBSTITUTE(F1653,"" "",""""),""^-?\d+(\.\d+)?""))&gt;=-90,VALUE(REGEXEXTRACT(SUBSTITUTE(F1653,"" "",""""),""^-?\d+(\.\d+)?""))&lt;=90,VALUE(REGEXEXT"&amp;"RACT(SUBSTITUTE(F1653,"" "",""""),""-?\d+(\.\d+)?$""))&gt;=-180,VALUE(REGEXEXTRACT(SUBSTITUTE(F1653,"" "",""""),""-?\d+(\.\d+)?$""))&lt;=180),""OK"",""REVISAR"")"),"#N/A")</f>
        <v>#N/A</v>
      </c>
    </row>
    <row r="1654" ht="15.75" customHeight="1">
      <c r="A1654" s="5" t="str">
        <f t="shared" si="1"/>
        <v>AD507-1652</v>
      </c>
      <c r="C1654" s="5"/>
      <c r="F1654" s="5"/>
      <c r="G1654" s="5" t="str">
        <f t="shared" si="2"/>
        <v/>
      </c>
      <c r="H1654" s="5" t="str">
        <f t="shared" si="3"/>
        <v/>
      </c>
      <c r="I1654" s="5" t="str">
        <f t="shared" si="4"/>
        <v/>
      </c>
      <c r="J1654" s="5" t="str">
        <f t="shared" si="5"/>
        <v/>
      </c>
      <c r="K1654" s="5" t="str">
        <f>IFERROR(__xludf.DUMMYFUNCTION("IF(C1654&lt;&gt;"""",HYPERLINK(""https://wa.me/507""&amp;REGEXREPLACE(C1654,""[^0-9]"","""")&amp;""?text=""&amp;ENCODEURL(""Ya llegue. Codigo: ""&amp;A1654&amp;"". Ubicacion: ""&amp;""https://www.google.com/maps/search/?api=1&amp;query=""&amp;SUBSTITUTE(F1654,"" "","""")),""📲 Avisar al clien"&amp;"te""),"""")"),"")</f>
        <v/>
      </c>
      <c r="L1654" s="5" t="str">
        <f>IFERROR(__xludf.DUMMYFUNCTION("IF(C1654&lt;&gt;"""",""https://api.qrserver.com/v1/create-qr-code/?size=200x200&amp;data=""&amp;ENCODEURL(""https://wa.me/507""&amp;REGEXREPLACE(C1654,""[^0-9]"","""")&amp;""?text=""&amp;ENCODEURL(""Ya llegue. Codigo: ""&amp;A1654&amp;"". Ubicacion: ""&amp;""https://www.google.com/maps/search"&amp;"/?api=1&amp;query=""&amp;SUBSTITUTE(F1654,"" "",""""))),"""")"),"")</f>
        <v/>
      </c>
      <c r="M1654" s="5" t="str">
        <f t="shared" si="6"/>
        <v/>
      </c>
      <c r="N1654" s="5" t="str">
        <f>IFERROR(__xludf.DUMMYFUNCTION("IF(AND(F1654&lt;&gt;"""",REGEXMATCH(SUBSTITUTE(F1654,"" "",""""),""^-?\d+(\.\d+)?,-?\d+(\.\d+)?$""),VALUE(REGEXEXTRACT(SUBSTITUTE(F1654,"" "",""""),""^-?\d+(\.\d+)?""))&gt;=-90,VALUE(REGEXEXTRACT(SUBSTITUTE(F1654,"" "",""""),""^-?\d+(\.\d+)?""))&lt;=90,VALUE(REGEXEXT"&amp;"RACT(SUBSTITUTE(F1654,"" "",""""),""-?\d+(\.\d+)?$""))&gt;=-180,VALUE(REGEXEXTRACT(SUBSTITUTE(F1654,"" "",""""),""-?\d+(\.\d+)?$""))&lt;=180),""OK"",""REVISAR"")"),"#N/A")</f>
        <v>#N/A</v>
      </c>
    </row>
    <row r="1655" ht="15.75" customHeight="1">
      <c r="A1655" s="5" t="str">
        <f t="shared" si="1"/>
        <v>AD507-1653</v>
      </c>
      <c r="C1655" s="5"/>
      <c r="F1655" s="5"/>
      <c r="G1655" s="5" t="str">
        <f t="shared" si="2"/>
        <v/>
      </c>
      <c r="H1655" s="5" t="str">
        <f t="shared" si="3"/>
        <v/>
      </c>
      <c r="I1655" s="5" t="str">
        <f t="shared" si="4"/>
        <v/>
      </c>
      <c r="J1655" s="5" t="str">
        <f t="shared" si="5"/>
        <v/>
      </c>
      <c r="K1655" s="5" t="str">
        <f>IFERROR(__xludf.DUMMYFUNCTION("IF(C1655&lt;&gt;"""",HYPERLINK(""https://wa.me/507""&amp;REGEXREPLACE(C1655,""[^0-9]"","""")&amp;""?text=""&amp;ENCODEURL(""Ya llegue. Codigo: ""&amp;A1655&amp;"". Ubicacion: ""&amp;""https://www.google.com/maps/search/?api=1&amp;query=""&amp;SUBSTITUTE(F1655,"" "","""")),""📲 Avisar al clien"&amp;"te""),"""")"),"")</f>
        <v/>
      </c>
      <c r="L1655" s="5" t="str">
        <f>IFERROR(__xludf.DUMMYFUNCTION("IF(C1655&lt;&gt;"""",""https://api.qrserver.com/v1/create-qr-code/?size=200x200&amp;data=""&amp;ENCODEURL(""https://wa.me/507""&amp;REGEXREPLACE(C1655,""[^0-9]"","""")&amp;""?text=""&amp;ENCODEURL(""Ya llegue. Codigo: ""&amp;A1655&amp;"". Ubicacion: ""&amp;""https://www.google.com/maps/search"&amp;"/?api=1&amp;query=""&amp;SUBSTITUTE(F1655,"" "",""""))),"""")"),"")</f>
        <v/>
      </c>
      <c r="M1655" s="5" t="str">
        <f t="shared" si="6"/>
        <v/>
      </c>
      <c r="N1655" s="5" t="str">
        <f>IFERROR(__xludf.DUMMYFUNCTION("IF(AND(F1655&lt;&gt;"""",REGEXMATCH(SUBSTITUTE(F1655,"" "",""""),""^-?\d+(\.\d+)?,-?\d+(\.\d+)?$""),VALUE(REGEXEXTRACT(SUBSTITUTE(F1655,"" "",""""),""^-?\d+(\.\d+)?""))&gt;=-90,VALUE(REGEXEXTRACT(SUBSTITUTE(F1655,"" "",""""),""^-?\d+(\.\d+)?""))&lt;=90,VALUE(REGEXEXT"&amp;"RACT(SUBSTITUTE(F1655,"" "",""""),""-?\d+(\.\d+)?$""))&gt;=-180,VALUE(REGEXEXTRACT(SUBSTITUTE(F1655,"" "",""""),""-?\d+(\.\d+)?$""))&lt;=180),""OK"",""REVISAR"")"),"#N/A")</f>
        <v>#N/A</v>
      </c>
    </row>
    <row r="1656" ht="15.75" customHeight="1">
      <c r="A1656" s="5" t="str">
        <f t="shared" si="1"/>
        <v>AD507-1654</v>
      </c>
      <c r="C1656" s="5"/>
      <c r="F1656" s="5"/>
      <c r="G1656" s="5" t="str">
        <f t="shared" si="2"/>
        <v/>
      </c>
      <c r="H1656" s="5" t="str">
        <f t="shared" si="3"/>
        <v/>
      </c>
      <c r="I1656" s="5" t="str">
        <f t="shared" si="4"/>
        <v/>
      </c>
      <c r="J1656" s="5" t="str">
        <f t="shared" si="5"/>
        <v/>
      </c>
      <c r="K1656" s="5" t="str">
        <f>IFERROR(__xludf.DUMMYFUNCTION("IF(C1656&lt;&gt;"""",HYPERLINK(""https://wa.me/507""&amp;REGEXREPLACE(C1656,""[^0-9]"","""")&amp;""?text=""&amp;ENCODEURL(""Ya llegue. Codigo: ""&amp;A1656&amp;"". Ubicacion: ""&amp;""https://www.google.com/maps/search/?api=1&amp;query=""&amp;SUBSTITUTE(F1656,"" "","""")),""📲 Avisar al clien"&amp;"te""),"""")"),"")</f>
        <v/>
      </c>
      <c r="L1656" s="5" t="str">
        <f>IFERROR(__xludf.DUMMYFUNCTION("IF(C1656&lt;&gt;"""",""https://api.qrserver.com/v1/create-qr-code/?size=200x200&amp;data=""&amp;ENCODEURL(""https://wa.me/507""&amp;REGEXREPLACE(C1656,""[^0-9]"","""")&amp;""?text=""&amp;ENCODEURL(""Ya llegue. Codigo: ""&amp;A1656&amp;"". Ubicacion: ""&amp;""https://www.google.com/maps/search"&amp;"/?api=1&amp;query=""&amp;SUBSTITUTE(F1656,"" "",""""))),"""")"),"")</f>
        <v/>
      </c>
      <c r="M1656" s="5" t="str">
        <f t="shared" si="6"/>
        <v/>
      </c>
      <c r="N1656" s="5" t="str">
        <f>IFERROR(__xludf.DUMMYFUNCTION("IF(AND(F1656&lt;&gt;"""",REGEXMATCH(SUBSTITUTE(F1656,"" "",""""),""^-?\d+(\.\d+)?,-?\d+(\.\d+)?$""),VALUE(REGEXEXTRACT(SUBSTITUTE(F1656,"" "",""""),""^-?\d+(\.\d+)?""))&gt;=-90,VALUE(REGEXEXTRACT(SUBSTITUTE(F1656,"" "",""""),""^-?\d+(\.\d+)?""))&lt;=90,VALUE(REGEXEXT"&amp;"RACT(SUBSTITUTE(F1656,"" "",""""),""-?\d+(\.\d+)?$""))&gt;=-180,VALUE(REGEXEXTRACT(SUBSTITUTE(F1656,"" "",""""),""-?\d+(\.\d+)?$""))&lt;=180),""OK"",""REVISAR"")"),"#N/A")</f>
        <v>#N/A</v>
      </c>
    </row>
    <row r="1657" ht="15.75" customHeight="1">
      <c r="A1657" s="5" t="str">
        <f t="shared" si="1"/>
        <v>AD507-1655</v>
      </c>
      <c r="C1657" s="5"/>
      <c r="F1657" s="5"/>
      <c r="G1657" s="5" t="str">
        <f t="shared" si="2"/>
        <v/>
      </c>
      <c r="H1657" s="5" t="str">
        <f t="shared" si="3"/>
        <v/>
      </c>
      <c r="I1657" s="5" t="str">
        <f t="shared" si="4"/>
        <v/>
      </c>
      <c r="J1657" s="5" t="str">
        <f t="shared" si="5"/>
        <v/>
      </c>
      <c r="K1657" s="5" t="str">
        <f>IFERROR(__xludf.DUMMYFUNCTION("IF(C1657&lt;&gt;"""",HYPERLINK(""https://wa.me/507""&amp;REGEXREPLACE(C1657,""[^0-9]"","""")&amp;""?text=""&amp;ENCODEURL(""Ya llegue. Codigo: ""&amp;A1657&amp;"". Ubicacion: ""&amp;""https://www.google.com/maps/search/?api=1&amp;query=""&amp;SUBSTITUTE(F1657,"" "","""")),""📲 Avisar al clien"&amp;"te""),"""")"),"")</f>
        <v/>
      </c>
      <c r="L1657" s="5" t="str">
        <f>IFERROR(__xludf.DUMMYFUNCTION("IF(C1657&lt;&gt;"""",""https://api.qrserver.com/v1/create-qr-code/?size=200x200&amp;data=""&amp;ENCODEURL(""https://wa.me/507""&amp;REGEXREPLACE(C1657,""[^0-9]"","""")&amp;""?text=""&amp;ENCODEURL(""Ya llegue. Codigo: ""&amp;A1657&amp;"". Ubicacion: ""&amp;""https://www.google.com/maps/search"&amp;"/?api=1&amp;query=""&amp;SUBSTITUTE(F1657,"" "",""""))),"""")"),"")</f>
        <v/>
      </c>
      <c r="M1657" s="5" t="str">
        <f t="shared" si="6"/>
        <v/>
      </c>
      <c r="N1657" s="5" t="str">
        <f>IFERROR(__xludf.DUMMYFUNCTION("IF(AND(F1657&lt;&gt;"""",REGEXMATCH(SUBSTITUTE(F1657,"" "",""""),""^-?\d+(\.\d+)?,-?\d+(\.\d+)?$""),VALUE(REGEXEXTRACT(SUBSTITUTE(F1657,"" "",""""),""^-?\d+(\.\d+)?""))&gt;=-90,VALUE(REGEXEXTRACT(SUBSTITUTE(F1657,"" "",""""),""^-?\d+(\.\d+)?""))&lt;=90,VALUE(REGEXEXT"&amp;"RACT(SUBSTITUTE(F1657,"" "",""""),""-?\d+(\.\d+)?$""))&gt;=-180,VALUE(REGEXEXTRACT(SUBSTITUTE(F1657,"" "",""""),""-?\d+(\.\d+)?$""))&lt;=180),""OK"",""REVISAR"")"),"#N/A")</f>
        <v>#N/A</v>
      </c>
    </row>
    <row r="1658" ht="15.75" customHeight="1">
      <c r="A1658" s="5" t="str">
        <f t="shared" si="1"/>
        <v>AD507-1656</v>
      </c>
      <c r="C1658" s="5"/>
      <c r="F1658" s="5"/>
      <c r="G1658" s="5" t="str">
        <f t="shared" si="2"/>
        <v/>
      </c>
      <c r="H1658" s="5" t="str">
        <f t="shared" si="3"/>
        <v/>
      </c>
      <c r="I1658" s="5" t="str">
        <f t="shared" si="4"/>
        <v/>
      </c>
      <c r="J1658" s="5" t="str">
        <f t="shared" si="5"/>
        <v/>
      </c>
      <c r="K1658" s="5" t="str">
        <f>IFERROR(__xludf.DUMMYFUNCTION("IF(C1658&lt;&gt;"""",HYPERLINK(""https://wa.me/507""&amp;REGEXREPLACE(C1658,""[^0-9]"","""")&amp;""?text=""&amp;ENCODEURL(""Ya llegue. Codigo: ""&amp;A1658&amp;"". Ubicacion: ""&amp;""https://www.google.com/maps/search/?api=1&amp;query=""&amp;SUBSTITUTE(F1658,"" "","""")),""📲 Avisar al clien"&amp;"te""),"""")"),"")</f>
        <v/>
      </c>
      <c r="L1658" s="5" t="str">
        <f>IFERROR(__xludf.DUMMYFUNCTION("IF(C1658&lt;&gt;"""",""https://api.qrserver.com/v1/create-qr-code/?size=200x200&amp;data=""&amp;ENCODEURL(""https://wa.me/507""&amp;REGEXREPLACE(C1658,""[^0-9]"","""")&amp;""?text=""&amp;ENCODEURL(""Ya llegue. Codigo: ""&amp;A1658&amp;"". Ubicacion: ""&amp;""https://www.google.com/maps/search"&amp;"/?api=1&amp;query=""&amp;SUBSTITUTE(F1658,"" "",""""))),"""")"),"")</f>
        <v/>
      </c>
      <c r="M1658" s="5" t="str">
        <f t="shared" si="6"/>
        <v/>
      </c>
      <c r="N1658" s="5" t="str">
        <f>IFERROR(__xludf.DUMMYFUNCTION("IF(AND(F1658&lt;&gt;"""",REGEXMATCH(SUBSTITUTE(F1658,"" "",""""),""^-?\d+(\.\d+)?,-?\d+(\.\d+)?$""),VALUE(REGEXEXTRACT(SUBSTITUTE(F1658,"" "",""""),""^-?\d+(\.\d+)?""))&gt;=-90,VALUE(REGEXEXTRACT(SUBSTITUTE(F1658,"" "",""""),""^-?\d+(\.\d+)?""))&lt;=90,VALUE(REGEXEXT"&amp;"RACT(SUBSTITUTE(F1658,"" "",""""),""-?\d+(\.\d+)?$""))&gt;=-180,VALUE(REGEXEXTRACT(SUBSTITUTE(F1658,"" "",""""),""-?\d+(\.\d+)?$""))&lt;=180),""OK"",""REVISAR"")"),"#N/A")</f>
        <v>#N/A</v>
      </c>
    </row>
    <row r="1659" ht="15.75" customHeight="1">
      <c r="A1659" s="5" t="str">
        <f t="shared" si="1"/>
        <v>AD507-1657</v>
      </c>
      <c r="C1659" s="5"/>
      <c r="F1659" s="5"/>
      <c r="G1659" s="5" t="str">
        <f t="shared" si="2"/>
        <v/>
      </c>
      <c r="H1659" s="5" t="str">
        <f t="shared" si="3"/>
        <v/>
      </c>
      <c r="I1659" s="5" t="str">
        <f t="shared" si="4"/>
        <v/>
      </c>
      <c r="J1659" s="5" t="str">
        <f t="shared" si="5"/>
        <v/>
      </c>
      <c r="K1659" s="5" t="str">
        <f>IFERROR(__xludf.DUMMYFUNCTION("IF(C1659&lt;&gt;"""",HYPERLINK(""https://wa.me/507""&amp;REGEXREPLACE(C1659,""[^0-9]"","""")&amp;""?text=""&amp;ENCODEURL(""Ya llegue. Codigo: ""&amp;A1659&amp;"". Ubicacion: ""&amp;""https://www.google.com/maps/search/?api=1&amp;query=""&amp;SUBSTITUTE(F1659,"" "","""")),""📲 Avisar al clien"&amp;"te""),"""")"),"")</f>
        <v/>
      </c>
      <c r="L1659" s="5" t="str">
        <f>IFERROR(__xludf.DUMMYFUNCTION("IF(C1659&lt;&gt;"""",""https://api.qrserver.com/v1/create-qr-code/?size=200x200&amp;data=""&amp;ENCODEURL(""https://wa.me/507""&amp;REGEXREPLACE(C1659,""[^0-9]"","""")&amp;""?text=""&amp;ENCODEURL(""Ya llegue. Codigo: ""&amp;A1659&amp;"". Ubicacion: ""&amp;""https://www.google.com/maps/search"&amp;"/?api=1&amp;query=""&amp;SUBSTITUTE(F1659,"" "",""""))),"""")"),"")</f>
        <v/>
      </c>
      <c r="M1659" s="5" t="str">
        <f t="shared" si="6"/>
        <v/>
      </c>
      <c r="N1659" s="5" t="str">
        <f>IFERROR(__xludf.DUMMYFUNCTION("IF(AND(F1659&lt;&gt;"""",REGEXMATCH(SUBSTITUTE(F1659,"" "",""""),""^-?\d+(\.\d+)?,-?\d+(\.\d+)?$""),VALUE(REGEXEXTRACT(SUBSTITUTE(F1659,"" "",""""),""^-?\d+(\.\d+)?""))&gt;=-90,VALUE(REGEXEXTRACT(SUBSTITUTE(F1659,"" "",""""),""^-?\d+(\.\d+)?""))&lt;=90,VALUE(REGEXEXT"&amp;"RACT(SUBSTITUTE(F1659,"" "",""""),""-?\d+(\.\d+)?$""))&gt;=-180,VALUE(REGEXEXTRACT(SUBSTITUTE(F1659,"" "",""""),""-?\d+(\.\d+)?$""))&lt;=180),""OK"",""REVISAR"")"),"#N/A")</f>
        <v>#N/A</v>
      </c>
    </row>
    <row r="1660" ht="15.75" customHeight="1">
      <c r="A1660" s="5" t="str">
        <f t="shared" si="1"/>
        <v>AD507-1658</v>
      </c>
      <c r="C1660" s="5"/>
      <c r="F1660" s="5"/>
      <c r="G1660" s="5" t="str">
        <f t="shared" si="2"/>
        <v/>
      </c>
      <c r="H1660" s="5" t="str">
        <f t="shared" si="3"/>
        <v/>
      </c>
      <c r="I1660" s="5" t="str">
        <f t="shared" si="4"/>
        <v/>
      </c>
      <c r="J1660" s="5" t="str">
        <f t="shared" si="5"/>
        <v/>
      </c>
      <c r="K1660" s="5" t="str">
        <f>IFERROR(__xludf.DUMMYFUNCTION("IF(C1660&lt;&gt;"""",HYPERLINK(""https://wa.me/507""&amp;REGEXREPLACE(C1660,""[^0-9]"","""")&amp;""?text=""&amp;ENCODEURL(""Ya llegue. Codigo: ""&amp;A1660&amp;"". Ubicacion: ""&amp;""https://www.google.com/maps/search/?api=1&amp;query=""&amp;SUBSTITUTE(F1660,"" "","""")),""📲 Avisar al clien"&amp;"te""),"""")"),"")</f>
        <v/>
      </c>
      <c r="L1660" s="5" t="str">
        <f>IFERROR(__xludf.DUMMYFUNCTION("IF(C1660&lt;&gt;"""",""https://api.qrserver.com/v1/create-qr-code/?size=200x200&amp;data=""&amp;ENCODEURL(""https://wa.me/507""&amp;REGEXREPLACE(C1660,""[^0-9]"","""")&amp;""?text=""&amp;ENCODEURL(""Ya llegue. Codigo: ""&amp;A1660&amp;"". Ubicacion: ""&amp;""https://www.google.com/maps/search"&amp;"/?api=1&amp;query=""&amp;SUBSTITUTE(F1660,"" "",""""))),"""")"),"")</f>
        <v/>
      </c>
      <c r="M1660" s="5" t="str">
        <f t="shared" si="6"/>
        <v/>
      </c>
      <c r="N1660" s="5" t="str">
        <f>IFERROR(__xludf.DUMMYFUNCTION("IF(AND(F1660&lt;&gt;"""",REGEXMATCH(SUBSTITUTE(F1660,"" "",""""),""^-?\d+(\.\d+)?,-?\d+(\.\d+)?$""),VALUE(REGEXEXTRACT(SUBSTITUTE(F1660,"" "",""""),""^-?\d+(\.\d+)?""))&gt;=-90,VALUE(REGEXEXTRACT(SUBSTITUTE(F1660,"" "",""""),""^-?\d+(\.\d+)?""))&lt;=90,VALUE(REGEXEXT"&amp;"RACT(SUBSTITUTE(F1660,"" "",""""),""-?\d+(\.\d+)?$""))&gt;=-180,VALUE(REGEXEXTRACT(SUBSTITUTE(F1660,"" "",""""),""-?\d+(\.\d+)?$""))&lt;=180),""OK"",""REVISAR"")"),"#N/A")</f>
        <v>#N/A</v>
      </c>
    </row>
    <row r="1661" ht="15.75" customHeight="1">
      <c r="A1661" s="5" t="str">
        <f t="shared" si="1"/>
        <v>AD507-1659</v>
      </c>
      <c r="C1661" s="5"/>
      <c r="F1661" s="5"/>
      <c r="G1661" s="5" t="str">
        <f t="shared" si="2"/>
        <v/>
      </c>
      <c r="H1661" s="5" t="str">
        <f t="shared" si="3"/>
        <v/>
      </c>
      <c r="I1661" s="5" t="str">
        <f t="shared" si="4"/>
        <v/>
      </c>
      <c r="J1661" s="5" t="str">
        <f t="shared" si="5"/>
        <v/>
      </c>
      <c r="K1661" s="5" t="str">
        <f>IFERROR(__xludf.DUMMYFUNCTION("IF(C1661&lt;&gt;"""",HYPERLINK(""https://wa.me/507""&amp;REGEXREPLACE(C1661,""[^0-9]"","""")&amp;""?text=""&amp;ENCODEURL(""Ya llegue. Codigo: ""&amp;A1661&amp;"". Ubicacion: ""&amp;""https://www.google.com/maps/search/?api=1&amp;query=""&amp;SUBSTITUTE(F1661,"" "","""")),""📲 Avisar al clien"&amp;"te""),"""")"),"")</f>
        <v/>
      </c>
      <c r="L1661" s="5" t="str">
        <f>IFERROR(__xludf.DUMMYFUNCTION("IF(C1661&lt;&gt;"""",""https://api.qrserver.com/v1/create-qr-code/?size=200x200&amp;data=""&amp;ENCODEURL(""https://wa.me/507""&amp;REGEXREPLACE(C1661,""[^0-9]"","""")&amp;""?text=""&amp;ENCODEURL(""Ya llegue. Codigo: ""&amp;A1661&amp;"". Ubicacion: ""&amp;""https://www.google.com/maps/search"&amp;"/?api=1&amp;query=""&amp;SUBSTITUTE(F1661,"" "",""""))),"""")"),"")</f>
        <v/>
      </c>
      <c r="M1661" s="5" t="str">
        <f t="shared" si="6"/>
        <v/>
      </c>
      <c r="N1661" s="5" t="str">
        <f>IFERROR(__xludf.DUMMYFUNCTION("IF(AND(F1661&lt;&gt;"""",REGEXMATCH(SUBSTITUTE(F1661,"" "",""""),""^-?\d+(\.\d+)?,-?\d+(\.\d+)?$""),VALUE(REGEXEXTRACT(SUBSTITUTE(F1661,"" "",""""),""^-?\d+(\.\d+)?""))&gt;=-90,VALUE(REGEXEXTRACT(SUBSTITUTE(F1661,"" "",""""),""^-?\d+(\.\d+)?""))&lt;=90,VALUE(REGEXEXT"&amp;"RACT(SUBSTITUTE(F1661,"" "",""""),""-?\d+(\.\d+)?$""))&gt;=-180,VALUE(REGEXEXTRACT(SUBSTITUTE(F1661,"" "",""""),""-?\d+(\.\d+)?$""))&lt;=180),""OK"",""REVISAR"")"),"#N/A")</f>
        <v>#N/A</v>
      </c>
    </row>
    <row r="1662" ht="15.75" customHeight="1">
      <c r="A1662" s="5" t="str">
        <f t="shared" si="1"/>
        <v>AD507-1660</v>
      </c>
      <c r="C1662" s="5"/>
      <c r="F1662" s="5"/>
      <c r="G1662" s="5" t="str">
        <f t="shared" si="2"/>
        <v/>
      </c>
      <c r="H1662" s="5" t="str">
        <f t="shared" si="3"/>
        <v/>
      </c>
      <c r="I1662" s="5" t="str">
        <f t="shared" si="4"/>
        <v/>
      </c>
      <c r="J1662" s="5" t="str">
        <f t="shared" si="5"/>
        <v/>
      </c>
      <c r="K1662" s="5" t="str">
        <f>IFERROR(__xludf.DUMMYFUNCTION("IF(C1662&lt;&gt;"""",HYPERLINK(""https://wa.me/507""&amp;REGEXREPLACE(C1662,""[^0-9]"","""")&amp;""?text=""&amp;ENCODEURL(""Ya llegue. Codigo: ""&amp;A1662&amp;"". Ubicacion: ""&amp;""https://www.google.com/maps/search/?api=1&amp;query=""&amp;SUBSTITUTE(F1662,"" "","""")),""📲 Avisar al clien"&amp;"te""),"""")"),"")</f>
        <v/>
      </c>
      <c r="L1662" s="5" t="str">
        <f>IFERROR(__xludf.DUMMYFUNCTION("IF(C1662&lt;&gt;"""",""https://api.qrserver.com/v1/create-qr-code/?size=200x200&amp;data=""&amp;ENCODEURL(""https://wa.me/507""&amp;REGEXREPLACE(C1662,""[^0-9]"","""")&amp;""?text=""&amp;ENCODEURL(""Ya llegue. Codigo: ""&amp;A1662&amp;"". Ubicacion: ""&amp;""https://www.google.com/maps/search"&amp;"/?api=1&amp;query=""&amp;SUBSTITUTE(F1662,"" "",""""))),"""")"),"")</f>
        <v/>
      </c>
      <c r="M1662" s="5" t="str">
        <f t="shared" si="6"/>
        <v/>
      </c>
      <c r="N1662" s="5" t="str">
        <f>IFERROR(__xludf.DUMMYFUNCTION("IF(AND(F1662&lt;&gt;"""",REGEXMATCH(SUBSTITUTE(F1662,"" "",""""),""^-?\d+(\.\d+)?,-?\d+(\.\d+)?$""),VALUE(REGEXEXTRACT(SUBSTITUTE(F1662,"" "",""""),""^-?\d+(\.\d+)?""))&gt;=-90,VALUE(REGEXEXTRACT(SUBSTITUTE(F1662,"" "",""""),""^-?\d+(\.\d+)?""))&lt;=90,VALUE(REGEXEXT"&amp;"RACT(SUBSTITUTE(F1662,"" "",""""),""-?\d+(\.\d+)?$""))&gt;=-180,VALUE(REGEXEXTRACT(SUBSTITUTE(F1662,"" "",""""),""-?\d+(\.\d+)?$""))&lt;=180),""OK"",""REVISAR"")"),"#N/A")</f>
        <v>#N/A</v>
      </c>
    </row>
    <row r="1663" ht="15.75" customHeight="1">
      <c r="A1663" s="5" t="str">
        <f t="shared" si="1"/>
        <v>AD507-1661</v>
      </c>
      <c r="C1663" s="5"/>
      <c r="F1663" s="5"/>
      <c r="G1663" s="5" t="str">
        <f t="shared" si="2"/>
        <v/>
      </c>
      <c r="H1663" s="5" t="str">
        <f t="shared" si="3"/>
        <v/>
      </c>
      <c r="I1663" s="5" t="str">
        <f t="shared" si="4"/>
        <v/>
      </c>
      <c r="J1663" s="5" t="str">
        <f t="shared" si="5"/>
        <v/>
      </c>
      <c r="K1663" s="5" t="str">
        <f>IFERROR(__xludf.DUMMYFUNCTION("IF(C1663&lt;&gt;"""",HYPERLINK(""https://wa.me/507""&amp;REGEXREPLACE(C1663,""[^0-9]"","""")&amp;""?text=""&amp;ENCODEURL(""Ya llegue. Codigo: ""&amp;A1663&amp;"". Ubicacion: ""&amp;""https://www.google.com/maps/search/?api=1&amp;query=""&amp;SUBSTITUTE(F1663,"" "","""")),""📲 Avisar al clien"&amp;"te""),"""")"),"")</f>
        <v/>
      </c>
      <c r="L1663" s="5" t="str">
        <f>IFERROR(__xludf.DUMMYFUNCTION("IF(C1663&lt;&gt;"""",""https://api.qrserver.com/v1/create-qr-code/?size=200x200&amp;data=""&amp;ENCODEURL(""https://wa.me/507""&amp;REGEXREPLACE(C1663,""[^0-9]"","""")&amp;""?text=""&amp;ENCODEURL(""Ya llegue. Codigo: ""&amp;A1663&amp;"". Ubicacion: ""&amp;""https://www.google.com/maps/search"&amp;"/?api=1&amp;query=""&amp;SUBSTITUTE(F1663,"" "",""""))),"""")"),"")</f>
        <v/>
      </c>
      <c r="M1663" s="5" t="str">
        <f t="shared" si="6"/>
        <v/>
      </c>
      <c r="N1663" s="5" t="str">
        <f>IFERROR(__xludf.DUMMYFUNCTION("IF(AND(F1663&lt;&gt;"""",REGEXMATCH(SUBSTITUTE(F1663,"" "",""""),""^-?\d+(\.\d+)?,-?\d+(\.\d+)?$""),VALUE(REGEXEXTRACT(SUBSTITUTE(F1663,"" "",""""),""^-?\d+(\.\d+)?""))&gt;=-90,VALUE(REGEXEXTRACT(SUBSTITUTE(F1663,"" "",""""),""^-?\d+(\.\d+)?""))&lt;=90,VALUE(REGEXEXT"&amp;"RACT(SUBSTITUTE(F1663,"" "",""""),""-?\d+(\.\d+)?$""))&gt;=-180,VALUE(REGEXEXTRACT(SUBSTITUTE(F1663,"" "",""""),""-?\d+(\.\d+)?$""))&lt;=180),""OK"",""REVISAR"")"),"#N/A")</f>
        <v>#N/A</v>
      </c>
    </row>
    <row r="1664" ht="15.75" customHeight="1">
      <c r="A1664" s="5" t="str">
        <f t="shared" si="1"/>
        <v>AD507-1662</v>
      </c>
      <c r="C1664" s="5"/>
      <c r="F1664" s="5"/>
      <c r="G1664" s="5" t="str">
        <f t="shared" si="2"/>
        <v/>
      </c>
      <c r="H1664" s="5" t="str">
        <f t="shared" si="3"/>
        <v/>
      </c>
      <c r="I1664" s="5" t="str">
        <f t="shared" si="4"/>
        <v/>
      </c>
      <c r="J1664" s="5" t="str">
        <f t="shared" si="5"/>
        <v/>
      </c>
      <c r="K1664" s="5" t="str">
        <f>IFERROR(__xludf.DUMMYFUNCTION("IF(C1664&lt;&gt;"""",HYPERLINK(""https://wa.me/507""&amp;REGEXREPLACE(C1664,""[^0-9]"","""")&amp;""?text=""&amp;ENCODEURL(""Ya llegue. Codigo: ""&amp;A1664&amp;"". Ubicacion: ""&amp;""https://www.google.com/maps/search/?api=1&amp;query=""&amp;SUBSTITUTE(F1664,"" "","""")),""📲 Avisar al clien"&amp;"te""),"""")"),"")</f>
        <v/>
      </c>
      <c r="L1664" s="5" t="str">
        <f>IFERROR(__xludf.DUMMYFUNCTION("IF(C1664&lt;&gt;"""",""https://api.qrserver.com/v1/create-qr-code/?size=200x200&amp;data=""&amp;ENCODEURL(""https://wa.me/507""&amp;REGEXREPLACE(C1664,""[^0-9]"","""")&amp;""?text=""&amp;ENCODEURL(""Ya llegue. Codigo: ""&amp;A1664&amp;"". Ubicacion: ""&amp;""https://www.google.com/maps/search"&amp;"/?api=1&amp;query=""&amp;SUBSTITUTE(F1664,"" "",""""))),"""")"),"")</f>
        <v/>
      </c>
      <c r="M1664" s="5" t="str">
        <f t="shared" si="6"/>
        <v/>
      </c>
      <c r="N1664" s="5" t="str">
        <f>IFERROR(__xludf.DUMMYFUNCTION("IF(AND(F1664&lt;&gt;"""",REGEXMATCH(SUBSTITUTE(F1664,"" "",""""),""^-?\d+(\.\d+)?,-?\d+(\.\d+)?$""),VALUE(REGEXEXTRACT(SUBSTITUTE(F1664,"" "",""""),""^-?\d+(\.\d+)?""))&gt;=-90,VALUE(REGEXEXTRACT(SUBSTITUTE(F1664,"" "",""""),""^-?\d+(\.\d+)?""))&lt;=90,VALUE(REGEXEXT"&amp;"RACT(SUBSTITUTE(F1664,"" "",""""),""-?\d+(\.\d+)?$""))&gt;=-180,VALUE(REGEXEXTRACT(SUBSTITUTE(F1664,"" "",""""),""-?\d+(\.\d+)?$""))&lt;=180),""OK"",""REVISAR"")"),"#N/A")</f>
        <v>#N/A</v>
      </c>
    </row>
    <row r="1665" ht="15.75" customHeight="1">
      <c r="A1665" s="5" t="str">
        <f t="shared" si="1"/>
        <v>AD507-1663</v>
      </c>
      <c r="C1665" s="5"/>
      <c r="F1665" s="5"/>
      <c r="G1665" s="5" t="str">
        <f t="shared" si="2"/>
        <v/>
      </c>
      <c r="H1665" s="5" t="str">
        <f t="shared" si="3"/>
        <v/>
      </c>
      <c r="I1665" s="5" t="str">
        <f t="shared" si="4"/>
        <v/>
      </c>
      <c r="J1665" s="5" t="str">
        <f t="shared" si="5"/>
        <v/>
      </c>
      <c r="K1665" s="5" t="str">
        <f>IFERROR(__xludf.DUMMYFUNCTION("IF(C1665&lt;&gt;"""",HYPERLINK(""https://wa.me/507""&amp;REGEXREPLACE(C1665,""[^0-9]"","""")&amp;""?text=""&amp;ENCODEURL(""Ya llegue. Codigo: ""&amp;A1665&amp;"". Ubicacion: ""&amp;""https://www.google.com/maps/search/?api=1&amp;query=""&amp;SUBSTITUTE(F1665,"" "","""")),""📲 Avisar al clien"&amp;"te""),"""")"),"")</f>
        <v/>
      </c>
      <c r="L1665" s="5" t="str">
        <f>IFERROR(__xludf.DUMMYFUNCTION("IF(C1665&lt;&gt;"""",""https://api.qrserver.com/v1/create-qr-code/?size=200x200&amp;data=""&amp;ENCODEURL(""https://wa.me/507""&amp;REGEXREPLACE(C1665,""[^0-9]"","""")&amp;""?text=""&amp;ENCODEURL(""Ya llegue. Codigo: ""&amp;A1665&amp;"". Ubicacion: ""&amp;""https://www.google.com/maps/search"&amp;"/?api=1&amp;query=""&amp;SUBSTITUTE(F1665,"" "",""""))),"""")"),"")</f>
        <v/>
      </c>
      <c r="M1665" s="5" t="str">
        <f t="shared" si="6"/>
        <v/>
      </c>
      <c r="N1665" s="5" t="str">
        <f>IFERROR(__xludf.DUMMYFUNCTION("IF(AND(F1665&lt;&gt;"""",REGEXMATCH(SUBSTITUTE(F1665,"" "",""""),""^-?\d+(\.\d+)?,-?\d+(\.\d+)?$""),VALUE(REGEXEXTRACT(SUBSTITUTE(F1665,"" "",""""),""^-?\d+(\.\d+)?""))&gt;=-90,VALUE(REGEXEXTRACT(SUBSTITUTE(F1665,"" "",""""),""^-?\d+(\.\d+)?""))&lt;=90,VALUE(REGEXEXT"&amp;"RACT(SUBSTITUTE(F1665,"" "",""""),""-?\d+(\.\d+)?$""))&gt;=-180,VALUE(REGEXEXTRACT(SUBSTITUTE(F1665,"" "",""""),""-?\d+(\.\d+)?$""))&lt;=180),""OK"",""REVISAR"")"),"#N/A")</f>
        <v>#N/A</v>
      </c>
    </row>
    <row r="1666" ht="15.75" customHeight="1">
      <c r="A1666" s="5" t="str">
        <f t="shared" si="1"/>
        <v>AD507-1664</v>
      </c>
      <c r="C1666" s="5"/>
      <c r="F1666" s="5"/>
      <c r="G1666" s="5" t="str">
        <f t="shared" si="2"/>
        <v/>
      </c>
      <c r="H1666" s="5" t="str">
        <f t="shared" si="3"/>
        <v/>
      </c>
      <c r="I1666" s="5" t="str">
        <f t="shared" si="4"/>
        <v/>
      </c>
      <c r="J1666" s="5" t="str">
        <f t="shared" si="5"/>
        <v/>
      </c>
      <c r="K1666" s="5" t="str">
        <f>IFERROR(__xludf.DUMMYFUNCTION("IF(C1666&lt;&gt;"""",HYPERLINK(""https://wa.me/507""&amp;REGEXREPLACE(C1666,""[^0-9]"","""")&amp;""?text=""&amp;ENCODEURL(""Ya llegue. Codigo: ""&amp;A1666&amp;"". Ubicacion: ""&amp;""https://www.google.com/maps/search/?api=1&amp;query=""&amp;SUBSTITUTE(F1666,"" "","""")),""📲 Avisar al clien"&amp;"te""),"""")"),"")</f>
        <v/>
      </c>
      <c r="L1666" s="5" t="str">
        <f>IFERROR(__xludf.DUMMYFUNCTION("IF(C1666&lt;&gt;"""",""https://api.qrserver.com/v1/create-qr-code/?size=200x200&amp;data=""&amp;ENCODEURL(""https://wa.me/507""&amp;REGEXREPLACE(C1666,""[^0-9]"","""")&amp;""?text=""&amp;ENCODEURL(""Ya llegue. Codigo: ""&amp;A1666&amp;"". Ubicacion: ""&amp;""https://www.google.com/maps/search"&amp;"/?api=1&amp;query=""&amp;SUBSTITUTE(F1666,"" "",""""))),"""")"),"")</f>
        <v/>
      </c>
      <c r="M1666" s="5" t="str">
        <f t="shared" si="6"/>
        <v/>
      </c>
      <c r="N1666" s="5" t="str">
        <f>IFERROR(__xludf.DUMMYFUNCTION("IF(AND(F1666&lt;&gt;"""",REGEXMATCH(SUBSTITUTE(F1666,"" "",""""),""^-?\d+(\.\d+)?,-?\d+(\.\d+)?$""),VALUE(REGEXEXTRACT(SUBSTITUTE(F1666,"" "",""""),""^-?\d+(\.\d+)?""))&gt;=-90,VALUE(REGEXEXTRACT(SUBSTITUTE(F1666,"" "",""""),""^-?\d+(\.\d+)?""))&lt;=90,VALUE(REGEXEXT"&amp;"RACT(SUBSTITUTE(F1666,"" "",""""),""-?\d+(\.\d+)?$""))&gt;=-180,VALUE(REGEXEXTRACT(SUBSTITUTE(F1666,"" "",""""),""-?\d+(\.\d+)?$""))&lt;=180),""OK"",""REVISAR"")"),"#N/A")</f>
        <v>#N/A</v>
      </c>
    </row>
    <row r="1667" ht="15.75" customHeight="1">
      <c r="A1667" s="5" t="str">
        <f t="shared" si="1"/>
        <v>AD507-1665</v>
      </c>
      <c r="C1667" s="5"/>
      <c r="F1667" s="5"/>
      <c r="G1667" s="5" t="str">
        <f t="shared" si="2"/>
        <v/>
      </c>
      <c r="H1667" s="5" t="str">
        <f t="shared" si="3"/>
        <v/>
      </c>
      <c r="I1667" s="5" t="str">
        <f t="shared" si="4"/>
        <v/>
      </c>
      <c r="J1667" s="5" t="str">
        <f t="shared" si="5"/>
        <v/>
      </c>
      <c r="K1667" s="5" t="str">
        <f>IFERROR(__xludf.DUMMYFUNCTION("IF(C1667&lt;&gt;"""",HYPERLINK(""https://wa.me/507""&amp;REGEXREPLACE(C1667,""[^0-9]"","""")&amp;""?text=""&amp;ENCODEURL(""Ya llegue. Codigo: ""&amp;A1667&amp;"". Ubicacion: ""&amp;""https://www.google.com/maps/search/?api=1&amp;query=""&amp;SUBSTITUTE(F1667,"" "","""")),""📲 Avisar al clien"&amp;"te""),"""")"),"")</f>
        <v/>
      </c>
      <c r="L1667" s="5" t="str">
        <f>IFERROR(__xludf.DUMMYFUNCTION("IF(C1667&lt;&gt;"""",""https://api.qrserver.com/v1/create-qr-code/?size=200x200&amp;data=""&amp;ENCODEURL(""https://wa.me/507""&amp;REGEXREPLACE(C1667,""[^0-9]"","""")&amp;""?text=""&amp;ENCODEURL(""Ya llegue. Codigo: ""&amp;A1667&amp;"". Ubicacion: ""&amp;""https://www.google.com/maps/search"&amp;"/?api=1&amp;query=""&amp;SUBSTITUTE(F1667,"" "",""""))),"""")"),"")</f>
        <v/>
      </c>
      <c r="M1667" s="5" t="str">
        <f t="shared" si="6"/>
        <v/>
      </c>
      <c r="N1667" s="5" t="str">
        <f>IFERROR(__xludf.DUMMYFUNCTION("IF(AND(F1667&lt;&gt;"""",REGEXMATCH(SUBSTITUTE(F1667,"" "",""""),""^-?\d+(\.\d+)?,-?\d+(\.\d+)?$""),VALUE(REGEXEXTRACT(SUBSTITUTE(F1667,"" "",""""),""^-?\d+(\.\d+)?""))&gt;=-90,VALUE(REGEXEXTRACT(SUBSTITUTE(F1667,"" "",""""),""^-?\d+(\.\d+)?""))&lt;=90,VALUE(REGEXEXT"&amp;"RACT(SUBSTITUTE(F1667,"" "",""""),""-?\d+(\.\d+)?$""))&gt;=-180,VALUE(REGEXEXTRACT(SUBSTITUTE(F1667,"" "",""""),""-?\d+(\.\d+)?$""))&lt;=180),""OK"",""REVISAR"")"),"#N/A")</f>
        <v>#N/A</v>
      </c>
    </row>
    <row r="1668" ht="15.75" customHeight="1">
      <c r="A1668" s="5" t="str">
        <f t="shared" si="1"/>
        <v>AD507-1666</v>
      </c>
      <c r="C1668" s="5"/>
      <c r="F1668" s="5"/>
      <c r="G1668" s="5" t="str">
        <f t="shared" si="2"/>
        <v/>
      </c>
      <c r="H1668" s="5" t="str">
        <f t="shared" si="3"/>
        <v/>
      </c>
      <c r="I1668" s="5" t="str">
        <f t="shared" si="4"/>
        <v/>
      </c>
      <c r="J1668" s="5" t="str">
        <f t="shared" si="5"/>
        <v/>
      </c>
      <c r="K1668" s="5" t="str">
        <f>IFERROR(__xludf.DUMMYFUNCTION("IF(C1668&lt;&gt;"""",HYPERLINK(""https://wa.me/507""&amp;REGEXREPLACE(C1668,""[^0-9]"","""")&amp;""?text=""&amp;ENCODEURL(""Ya llegue. Codigo: ""&amp;A1668&amp;"". Ubicacion: ""&amp;""https://www.google.com/maps/search/?api=1&amp;query=""&amp;SUBSTITUTE(F1668,"" "","""")),""📲 Avisar al clien"&amp;"te""),"""")"),"")</f>
        <v/>
      </c>
      <c r="L1668" s="5" t="str">
        <f>IFERROR(__xludf.DUMMYFUNCTION("IF(C1668&lt;&gt;"""",""https://api.qrserver.com/v1/create-qr-code/?size=200x200&amp;data=""&amp;ENCODEURL(""https://wa.me/507""&amp;REGEXREPLACE(C1668,""[^0-9]"","""")&amp;""?text=""&amp;ENCODEURL(""Ya llegue. Codigo: ""&amp;A1668&amp;"". Ubicacion: ""&amp;""https://www.google.com/maps/search"&amp;"/?api=1&amp;query=""&amp;SUBSTITUTE(F1668,"" "",""""))),"""")"),"")</f>
        <v/>
      </c>
      <c r="M1668" s="5" t="str">
        <f t="shared" si="6"/>
        <v/>
      </c>
      <c r="N1668" s="5" t="str">
        <f>IFERROR(__xludf.DUMMYFUNCTION("IF(AND(F1668&lt;&gt;"""",REGEXMATCH(SUBSTITUTE(F1668,"" "",""""),""^-?\d+(\.\d+)?,-?\d+(\.\d+)?$""),VALUE(REGEXEXTRACT(SUBSTITUTE(F1668,"" "",""""),""^-?\d+(\.\d+)?""))&gt;=-90,VALUE(REGEXEXTRACT(SUBSTITUTE(F1668,"" "",""""),""^-?\d+(\.\d+)?""))&lt;=90,VALUE(REGEXEXT"&amp;"RACT(SUBSTITUTE(F1668,"" "",""""),""-?\d+(\.\d+)?$""))&gt;=-180,VALUE(REGEXEXTRACT(SUBSTITUTE(F1668,"" "",""""),""-?\d+(\.\d+)?$""))&lt;=180),""OK"",""REVISAR"")"),"#N/A")</f>
        <v>#N/A</v>
      </c>
    </row>
    <row r="1669" ht="15.75" customHeight="1">
      <c r="A1669" s="5" t="str">
        <f t="shared" si="1"/>
        <v>AD507-1667</v>
      </c>
      <c r="C1669" s="5"/>
      <c r="F1669" s="5"/>
      <c r="G1669" s="5" t="str">
        <f t="shared" si="2"/>
        <v/>
      </c>
      <c r="H1669" s="5" t="str">
        <f t="shared" si="3"/>
        <v/>
      </c>
      <c r="I1669" s="5" t="str">
        <f t="shared" si="4"/>
        <v/>
      </c>
      <c r="J1669" s="5" t="str">
        <f t="shared" si="5"/>
        <v/>
      </c>
      <c r="K1669" s="5" t="str">
        <f>IFERROR(__xludf.DUMMYFUNCTION("IF(C1669&lt;&gt;"""",HYPERLINK(""https://wa.me/507""&amp;REGEXREPLACE(C1669,""[^0-9]"","""")&amp;""?text=""&amp;ENCODEURL(""Ya llegue. Codigo: ""&amp;A1669&amp;"". Ubicacion: ""&amp;""https://www.google.com/maps/search/?api=1&amp;query=""&amp;SUBSTITUTE(F1669,"" "","""")),""📲 Avisar al clien"&amp;"te""),"""")"),"")</f>
        <v/>
      </c>
      <c r="L1669" s="5" t="str">
        <f>IFERROR(__xludf.DUMMYFUNCTION("IF(C1669&lt;&gt;"""",""https://api.qrserver.com/v1/create-qr-code/?size=200x200&amp;data=""&amp;ENCODEURL(""https://wa.me/507""&amp;REGEXREPLACE(C1669,""[^0-9]"","""")&amp;""?text=""&amp;ENCODEURL(""Ya llegue. Codigo: ""&amp;A1669&amp;"". Ubicacion: ""&amp;""https://www.google.com/maps/search"&amp;"/?api=1&amp;query=""&amp;SUBSTITUTE(F1669,"" "",""""))),"""")"),"")</f>
        <v/>
      </c>
      <c r="M1669" s="5" t="str">
        <f t="shared" si="6"/>
        <v/>
      </c>
      <c r="N1669" s="5" t="str">
        <f>IFERROR(__xludf.DUMMYFUNCTION("IF(AND(F1669&lt;&gt;"""",REGEXMATCH(SUBSTITUTE(F1669,"" "",""""),""^-?\d+(\.\d+)?,-?\d+(\.\d+)?$""),VALUE(REGEXEXTRACT(SUBSTITUTE(F1669,"" "",""""),""^-?\d+(\.\d+)?""))&gt;=-90,VALUE(REGEXEXTRACT(SUBSTITUTE(F1669,"" "",""""),""^-?\d+(\.\d+)?""))&lt;=90,VALUE(REGEXEXT"&amp;"RACT(SUBSTITUTE(F1669,"" "",""""),""-?\d+(\.\d+)?$""))&gt;=-180,VALUE(REGEXEXTRACT(SUBSTITUTE(F1669,"" "",""""),""-?\d+(\.\d+)?$""))&lt;=180),""OK"",""REVISAR"")"),"#N/A")</f>
        <v>#N/A</v>
      </c>
    </row>
    <row r="1670" ht="15.75" customHeight="1">
      <c r="A1670" s="5" t="str">
        <f t="shared" si="1"/>
        <v>AD507-1668</v>
      </c>
      <c r="C1670" s="5"/>
      <c r="F1670" s="5"/>
      <c r="G1670" s="5" t="str">
        <f t="shared" si="2"/>
        <v/>
      </c>
      <c r="H1670" s="5" t="str">
        <f t="shared" si="3"/>
        <v/>
      </c>
      <c r="I1670" s="5" t="str">
        <f t="shared" si="4"/>
        <v/>
      </c>
      <c r="J1670" s="5" t="str">
        <f t="shared" si="5"/>
        <v/>
      </c>
      <c r="K1670" s="5" t="str">
        <f>IFERROR(__xludf.DUMMYFUNCTION("IF(C1670&lt;&gt;"""",HYPERLINK(""https://wa.me/507""&amp;REGEXREPLACE(C1670,""[^0-9]"","""")&amp;""?text=""&amp;ENCODEURL(""Ya llegue. Codigo: ""&amp;A1670&amp;"". Ubicacion: ""&amp;""https://www.google.com/maps/search/?api=1&amp;query=""&amp;SUBSTITUTE(F1670,"" "","""")),""📲 Avisar al clien"&amp;"te""),"""")"),"")</f>
        <v/>
      </c>
      <c r="L1670" s="5" t="str">
        <f>IFERROR(__xludf.DUMMYFUNCTION("IF(C1670&lt;&gt;"""",""https://api.qrserver.com/v1/create-qr-code/?size=200x200&amp;data=""&amp;ENCODEURL(""https://wa.me/507""&amp;REGEXREPLACE(C1670,""[^0-9]"","""")&amp;""?text=""&amp;ENCODEURL(""Ya llegue. Codigo: ""&amp;A1670&amp;"". Ubicacion: ""&amp;""https://www.google.com/maps/search"&amp;"/?api=1&amp;query=""&amp;SUBSTITUTE(F1670,"" "",""""))),"""")"),"")</f>
        <v/>
      </c>
      <c r="M1670" s="5" t="str">
        <f t="shared" si="6"/>
        <v/>
      </c>
      <c r="N1670" s="5" t="str">
        <f>IFERROR(__xludf.DUMMYFUNCTION("IF(AND(F1670&lt;&gt;"""",REGEXMATCH(SUBSTITUTE(F1670,"" "",""""),""^-?\d+(\.\d+)?,-?\d+(\.\d+)?$""),VALUE(REGEXEXTRACT(SUBSTITUTE(F1670,"" "",""""),""^-?\d+(\.\d+)?""))&gt;=-90,VALUE(REGEXEXTRACT(SUBSTITUTE(F1670,"" "",""""),""^-?\d+(\.\d+)?""))&lt;=90,VALUE(REGEXEXT"&amp;"RACT(SUBSTITUTE(F1670,"" "",""""),""-?\d+(\.\d+)?$""))&gt;=-180,VALUE(REGEXEXTRACT(SUBSTITUTE(F1670,"" "",""""),""-?\d+(\.\d+)?$""))&lt;=180),""OK"",""REVISAR"")"),"#N/A")</f>
        <v>#N/A</v>
      </c>
    </row>
    <row r="1671" ht="15.75" customHeight="1">
      <c r="A1671" s="5" t="str">
        <f t="shared" si="1"/>
        <v>AD507-1669</v>
      </c>
      <c r="C1671" s="5"/>
      <c r="F1671" s="5"/>
      <c r="G1671" s="5" t="str">
        <f t="shared" si="2"/>
        <v/>
      </c>
      <c r="H1671" s="5" t="str">
        <f t="shared" si="3"/>
        <v/>
      </c>
      <c r="I1671" s="5" t="str">
        <f t="shared" si="4"/>
        <v/>
      </c>
      <c r="J1671" s="5" t="str">
        <f t="shared" si="5"/>
        <v/>
      </c>
      <c r="K1671" s="5" t="str">
        <f>IFERROR(__xludf.DUMMYFUNCTION("IF(C1671&lt;&gt;"""",HYPERLINK(""https://wa.me/507""&amp;REGEXREPLACE(C1671,""[^0-9]"","""")&amp;""?text=""&amp;ENCODEURL(""Ya llegue. Codigo: ""&amp;A1671&amp;"". Ubicacion: ""&amp;""https://www.google.com/maps/search/?api=1&amp;query=""&amp;SUBSTITUTE(F1671,"" "","""")),""📲 Avisar al clien"&amp;"te""),"""")"),"")</f>
        <v/>
      </c>
      <c r="L1671" s="5" t="str">
        <f>IFERROR(__xludf.DUMMYFUNCTION("IF(C1671&lt;&gt;"""",""https://api.qrserver.com/v1/create-qr-code/?size=200x200&amp;data=""&amp;ENCODEURL(""https://wa.me/507""&amp;REGEXREPLACE(C1671,""[^0-9]"","""")&amp;""?text=""&amp;ENCODEURL(""Ya llegue. Codigo: ""&amp;A1671&amp;"". Ubicacion: ""&amp;""https://www.google.com/maps/search"&amp;"/?api=1&amp;query=""&amp;SUBSTITUTE(F1671,"" "",""""))),"""")"),"")</f>
        <v/>
      </c>
      <c r="M1671" s="5" t="str">
        <f t="shared" si="6"/>
        <v/>
      </c>
      <c r="N1671" s="5" t="str">
        <f>IFERROR(__xludf.DUMMYFUNCTION("IF(AND(F1671&lt;&gt;"""",REGEXMATCH(SUBSTITUTE(F1671,"" "",""""),""^-?\d+(\.\d+)?,-?\d+(\.\d+)?$""),VALUE(REGEXEXTRACT(SUBSTITUTE(F1671,"" "",""""),""^-?\d+(\.\d+)?""))&gt;=-90,VALUE(REGEXEXTRACT(SUBSTITUTE(F1671,"" "",""""),""^-?\d+(\.\d+)?""))&lt;=90,VALUE(REGEXEXT"&amp;"RACT(SUBSTITUTE(F1671,"" "",""""),""-?\d+(\.\d+)?$""))&gt;=-180,VALUE(REGEXEXTRACT(SUBSTITUTE(F1671,"" "",""""),""-?\d+(\.\d+)?$""))&lt;=180),""OK"",""REVISAR"")"),"#N/A")</f>
        <v>#N/A</v>
      </c>
    </row>
    <row r="1672" ht="15.75" customHeight="1">
      <c r="A1672" s="5" t="str">
        <f t="shared" si="1"/>
        <v>AD507-1670</v>
      </c>
      <c r="C1672" s="5"/>
      <c r="F1672" s="5"/>
      <c r="G1672" s="5" t="str">
        <f t="shared" si="2"/>
        <v/>
      </c>
      <c r="H1672" s="5" t="str">
        <f t="shared" si="3"/>
        <v/>
      </c>
      <c r="I1672" s="5" t="str">
        <f t="shared" si="4"/>
        <v/>
      </c>
      <c r="J1672" s="5" t="str">
        <f t="shared" si="5"/>
        <v/>
      </c>
      <c r="K1672" s="5" t="str">
        <f>IFERROR(__xludf.DUMMYFUNCTION("IF(C1672&lt;&gt;"""",HYPERLINK(""https://wa.me/507""&amp;REGEXREPLACE(C1672,""[^0-9]"","""")&amp;""?text=""&amp;ENCODEURL(""Ya llegue. Codigo: ""&amp;A1672&amp;"". Ubicacion: ""&amp;""https://www.google.com/maps/search/?api=1&amp;query=""&amp;SUBSTITUTE(F1672,"" "","""")),""📲 Avisar al clien"&amp;"te""),"""")"),"")</f>
        <v/>
      </c>
      <c r="L1672" s="5" t="str">
        <f>IFERROR(__xludf.DUMMYFUNCTION("IF(C1672&lt;&gt;"""",""https://api.qrserver.com/v1/create-qr-code/?size=200x200&amp;data=""&amp;ENCODEURL(""https://wa.me/507""&amp;REGEXREPLACE(C1672,""[^0-9]"","""")&amp;""?text=""&amp;ENCODEURL(""Ya llegue. Codigo: ""&amp;A1672&amp;"". Ubicacion: ""&amp;""https://www.google.com/maps/search"&amp;"/?api=1&amp;query=""&amp;SUBSTITUTE(F1672,"" "",""""))),"""")"),"")</f>
        <v/>
      </c>
      <c r="M1672" s="5" t="str">
        <f t="shared" si="6"/>
        <v/>
      </c>
      <c r="N1672" s="5" t="str">
        <f>IFERROR(__xludf.DUMMYFUNCTION("IF(AND(F1672&lt;&gt;"""",REGEXMATCH(SUBSTITUTE(F1672,"" "",""""),""^-?\d+(\.\d+)?,-?\d+(\.\d+)?$""),VALUE(REGEXEXTRACT(SUBSTITUTE(F1672,"" "",""""),""^-?\d+(\.\d+)?""))&gt;=-90,VALUE(REGEXEXTRACT(SUBSTITUTE(F1672,"" "",""""),""^-?\d+(\.\d+)?""))&lt;=90,VALUE(REGEXEXT"&amp;"RACT(SUBSTITUTE(F1672,"" "",""""),""-?\d+(\.\d+)?$""))&gt;=-180,VALUE(REGEXEXTRACT(SUBSTITUTE(F1672,"" "",""""),""-?\d+(\.\d+)?$""))&lt;=180),""OK"",""REVISAR"")"),"#N/A")</f>
        <v>#N/A</v>
      </c>
    </row>
    <row r="1673" ht="15.75" customHeight="1">
      <c r="A1673" s="5" t="str">
        <f t="shared" si="1"/>
        <v>AD507-1671</v>
      </c>
      <c r="C1673" s="5"/>
      <c r="F1673" s="5"/>
      <c r="G1673" s="5" t="str">
        <f t="shared" si="2"/>
        <v/>
      </c>
      <c r="H1673" s="5" t="str">
        <f t="shared" si="3"/>
        <v/>
      </c>
      <c r="I1673" s="5" t="str">
        <f t="shared" si="4"/>
        <v/>
      </c>
      <c r="J1673" s="5" t="str">
        <f t="shared" si="5"/>
        <v/>
      </c>
      <c r="K1673" s="5" t="str">
        <f>IFERROR(__xludf.DUMMYFUNCTION("IF(C1673&lt;&gt;"""",HYPERLINK(""https://wa.me/507""&amp;REGEXREPLACE(C1673,""[^0-9]"","""")&amp;""?text=""&amp;ENCODEURL(""Ya llegue. Codigo: ""&amp;A1673&amp;"". Ubicacion: ""&amp;""https://www.google.com/maps/search/?api=1&amp;query=""&amp;SUBSTITUTE(F1673,"" "","""")),""📲 Avisar al clien"&amp;"te""),"""")"),"")</f>
        <v/>
      </c>
      <c r="L1673" s="5" t="str">
        <f>IFERROR(__xludf.DUMMYFUNCTION("IF(C1673&lt;&gt;"""",""https://api.qrserver.com/v1/create-qr-code/?size=200x200&amp;data=""&amp;ENCODEURL(""https://wa.me/507""&amp;REGEXREPLACE(C1673,""[^0-9]"","""")&amp;""?text=""&amp;ENCODEURL(""Ya llegue. Codigo: ""&amp;A1673&amp;"". Ubicacion: ""&amp;""https://www.google.com/maps/search"&amp;"/?api=1&amp;query=""&amp;SUBSTITUTE(F1673,"" "",""""))),"""")"),"")</f>
        <v/>
      </c>
      <c r="M1673" s="5" t="str">
        <f t="shared" si="6"/>
        <v/>
      </c>
      <c r="N1673" s="5" t="str">
        <f>IFERROR(__xludf.DUMMYFUNCTION("IF(AND(F1673&lt;&gt;"""",REGEXMATCH(SUBSTITUTE(F1673,"" "",""""),""^-?\d+(\.\d+)?,-?\d+(\.\d+)?$""),VALUE(REGEXEXTRACT(SUBSTITUTE(F1673,"" "",""""),""^-?\d+(\.\d+)?""))&gt;=-90,VALUE(REGEXEXTRACT(SUBSTITUTE(F1673,"" "",""""),""^-?\d+(\.\d+)?""))&lt;=90,VALUE(REGEXEXT"&amp;"RACT(SUBSTITUTE(F1673,"" "",""""),""-?\d+(\.\d+)?$""))&gt;=-180,VALUE(REGEXEXTRACT(SUBSTITUTE(F1673,"" "",""""),""-?\d+(\.\d+)?$""))&lt;=180),""OK"",""REVISAR"")"),"#N/A")</f>
        <v>#N/A</v>
      </c>
    </row>
    <row r="1674" ht="15.75" customHeight="1">
      <c r="A1674" s="5" t="str">
        <f t="shared" si="1"/>
        <v>AD507-1672</v>
      </c>
      <c r="C1674" s="5"/>
      <c r="F1674" s="5"/>
      <c r="G1674" s="5" t="str">
        <f t="shared" si="2"/>
        <v/>
      </c>
      <c r="H1674" s="5" t="str">
        <f t="shared" si="3"/>
        <v/>
      </c>
      <c r="I1674" s="5" t="str">
        <f t="shared" si="4"/>
        <v/>
      </c>
      <c r="J1674" s="5" t="str">
        <f t="shared" si="5"/>
        <v/>
      </c>
      <c r="K1674" s="5" t="str">
        <f>IFERROR(__xludf.DUMMYFUNCTION("IF(C1674&lt;&gt;"""",HYPERLINK(""https://wa.me/507""&amp;REGEXREPLACE(C1674,""[^0-9]"","""")&amp;""?text=""&amp;ENCODEURL(""Ya llegue. Codigo: ""&amp;A1674&amp;"". Ubicacion: ""&amp;""https://www.google.com/maps/search/?api=1&amp;query=""&amp;SUBSTITUTE(F1674,"" "","""")),""📲 Avisar al clien"&amp;"te""),"""")"),"")</f>
        <v/>
      </c>
      <c r="L1674" s="5" t="str">
        <f>IFERROR(__xludf.DUMMYFUNCTION("IF(C1674&lt;&gt;"""",""https://api.qrserver.com/v1/create-qr-code/?size=200x200&amp;data=""&amp;ENCODEURL(""https://wa.me/507""&amp;REGEXREPLACE(C1674,""[^0-9]"","""")&amp;""?text=""&amp;ENCODEURL(""Ya llegue. Codigo: ""&amp;A1674&amp;"". Ubicacion: ""&amp;""https://www.google.com/maps/search"&amp;"/?api=1&amp;query=""&amp;SUBSTITUTE(F1674,"" "",""""))),"""")"),"")</f>
        <v/>
      </c>
      <c r="M1674" s="5" t="str">
        <f t="shared" si="6"/>
        <v/>
      </c>
      <c r="N1674" s="5" t="str">
        <f>IFERROR(__xludf.DUMMYFUNCTION("IF(AND(F1674&lt;&gt;"""",REGEXMATCH(SUBSTITUTE(F1674,"" "",""""),""^-?\d+(\.\d+)?,-?\d+(\.\d+)?$""),VALUE(REGEXEXTRACT(SUBSTITUTE(F1674,"" "",""""),""^-?\d+(\.\d+)?""))&gt;=-90,VALUE(REGEXEXTRACT(SUBSTITUTE(F1674,"" "",""""),""^-?\d+(\.\d+)?""))&lt;=90,VALUE(REGEXEXT"&amp;"RACT(SUBSTITUTE(F1674,"" "",""""),""-?\d+(\.\d+)?$""))&gt;=-180,VALUE(REGEXEXTRACT(SUBSTITUTE(F1674,"" "",""""),""-?\d+(\.\d+)?$""))&lt;=180),""OK"",""REVISAR"")"),"#N/A")</f>
        <v>#N/A</v>
      </c>
    </row>
    <row r="1675" ht="15.75" customHeight="1">
      <c r="A1675" s="5" t="str">
        <f t="shared" si="1"/>
        <v>AD507-1673</v>
      </c>
      <c r="C1675" s="5"/>
      <c r="F1675" s="5"/>
      <c r="G1675" s="5" t="str">
        <f t="shared" si="2"/>
        <v/>
      </c>
      <c r="H1675" s="5" t="str">
        <f t="shared" si="3"/>
        <v/>
      </c>
      <c r="I1675" s="5" t="str">
        <f t="shared" si="4"/>
        <v/>
      </c>
      <c r="J1675" s="5" t="str">
        <f t="shared" si="5"/>
        <v/>
      </c>
      <c r="K1675" s="5" t="str">
        <f>IFERROR(__xludf.DUMMYFUNCTION("IF(C1675&lt;&gt;"""",HYPERLINK(""https://wa.me/507""&amp;REGEXREPLACE(C1675,""[^0-9]"","""")&amp;""?text=""&amp;ENCODEURL(""Ya llegue. Codigo: ""&amp;A1675&amp;"". Ubicacion: ""&amp;""https://www.google.com/maps/search/?api=1&amp;query=""&amp;SUBSTITUTE(F1675,"" "","""")),""📲 Avisar al clien"&amp;"te""),"""")"),"")</f>
        <v/>
      </c>
      <c r="L1675" s="5" t="str">
        <f>IFERROR(__xludf.DUMMYFUNCTION("IF(C1675&lt;&gt;"""",""https://api.qrserver.com/v1/create-qr-code/?size=200x200&amp;data=""&amp;ENCODEURL(""https://wa.me/507""&amp;REGEXREPLACE(C1675,""[^0-9]"","""")&amp;""?text=""&amp;ENCODEURL(""Ya llegue. Codigo: ""&amp;A1675&amp;"". Ubicacion: ""&amp;""https://www.google.com/maps/search"&amp;"/?api=1&amp;query=""&amp;SUBSTITUTE(F1675,"" "",""""))),"""")"),"")</f>
        <v/>
      </c>
      <c r="M1675" s="5" t="str">
        <f t="shared" si="6"/>
        <v/>
      </c>
      <c r="N1675" s="5" t="str">
        <f>IFERROR(__xludf.DUMMYFUNCTION("IF(AND(F1675&lt;&gt;"""",REGEXMATCH(SUBSTITUTE(F1675,"" "",""""),""^-?\d+(\.\d+)?,-?\d+(\.\d+)?$""),VALUE(REGEXEXTRACT(SUBSTITUTE(F1675,"" "",""""),""^-?\d+(\.\d+)?""))&gt;=-90,VALUE(REGEXEXTRACT(SUBSTITUTE(F1675,"" "",""""),""^-?\d+(\.\d+)?""))&lt;=90,VALUE(REGEXEXT"&amp;"RACT(SUBSTITUTE(F1675,"" "",""""),""-?\d+(\.\d+)?$""))&gt;=-180,VALUE(REGEXEXTRACT(SUBSTITUTE(F1675,"" "",""""),""-?\d+(\.\d+)?$""))&lt;=180),""OK"",""REVISAR"")"),"#N/A")</f>
        <v>#N/A</v>
      </c>
    </row>
    <row r="1676" ht="15.75" customHeight="1">
      <c r="A1676" s="5" t="str">
        <f t="shared" si="1"/>
        <v>AD507-1674</v>
      </c>
      <c r="C1676" s="5"/>
      <c r="F1676" s="5"/>
      <c r="G1676" s="5" t="str">
        <f t="shared" si="2"/>
        <v/>
      </c>
      <c r="H1676" s="5" t="str">
        <f t="shared" si="3"/>
        <v/>
      </c>
      <c r="I1676" s="5" t="str">
        <f t="shared" si="4"/>
        <v/>
      </c>
      <c r="J1676" s="5" t="str">
        <f t="shared" si="5"/>
        <v/>
      </c>
      <c r="K1676" s="5" t="str">
        <f>IFERROR(__xludf.DUMMYFUNCTION("IF(C1676&lt;&gt;"""",HYPERLINK(""https://wa.me/507""&amp;REGEXREPLACE(C1676,""[^0-9]"","""")&amp;""?text=""&amp;ENCODEURL(""Ya llegue. Codigo: ""&amp;A1676&amp;"". Ubicacion: ""&amp;""https://www.google.com/maps/search/?api=1&amp;query=""&amp;SUBSTITUTE(F1676,"" "","""")),""📲 Avisar al clien"&amp;"te""),"""")"),"")</f>
        <v/>
      </c>
      <c r="L1676" s="5" t="str">
        <f>IFERROR(__xludf.DUMMYFUNCTION("IF(C1676&lt;&gt;"""",""https://api.qrserver.com/v1/create-qr-code/?size=200x200&amp;data=""&amp;ENCODEURL(""https://wa.me/507""&amp;REGEXREPLACE(C1676,""[^0-9]"","""")&amp;""?text=""&amp;ENCODEURL(""Ya llegue. Codigo: ""&amp;A1676&amp;"". Ubicacion: ""&amp;""https://www.google.com/maps/search"&amp;"/?api=1&amp;query=""&amp;SUBSTITUTE(F1676,"" "",""""))),"""")"),"")</f>
        <v/>
      </c>
      <c r="M1676" s="5" t="str">
        <f t="shared" si="6"/>
        <v/>
      </c>
      <c r="N1676" s="5" t="str">
        <f>IFERROR(__xludf.DUMMYFUNCTION("IF(AND(F1676&lt;&gt;"""",REGEXMATCH(SUBSTITUTE(F1676,"" "",""""),""^-?\d+(\.\d+)?,-?\d+(\.\d+)?$""),VALUE(REGEXEXTRACT(SUBSTITUTE(F1676,"" "",""""),""^-?\d+(\.\d+)?""))&gt;=-90,VALUE(REGEXEXTRACT(SUBSTITUTE(F1676,"" "",""""),""^-?\d+(\.\d+)?""))&lt;=90,VALUE(REGEXEXT"&amp;"RACT(SUBSTITUTE(F1676,"" "",""""),""-?\d+(\.\d+)?$""))&gt;=-180,VALUE(REGEXEXTRACT(SUBSTITUTE(F1676,"" "",""""),""-?\d+(\.\d+)?$""))&lt;=180),""OK"",""REVISAR"")"),"#N/A")</f>
        <v>#N/A</v>
      </c>
    </row>
    <row r="1677" ht="15.75" customHeight="1">
      <c r="A1677" s="5" t="str">
        <f t="shared" si="1"/>
        <v>AD507-1675</v>
      </c>
      <c r="C1677" s="5"/>
      <c r="F1677" s="5"/>
      <c r="G1677" s="5" t="str">
        <f t="shared" si="2"/>
        <v/>
      </c>
      <c r="H1677" s="5" t="str">
        <f t="shared" si="3"/>
        <v/>
      </c>
      <c r="I1677" s="5" t="str">
        <f t="shared" si="4"/>
        <v/>
      </c>
      <c r="J1677" s="5" t="str">
        <f t="shared" si="5"/>
        <v/>
      </c>
      <c r="K1677" s="5" t="str">
        <f>IFERROR(__xludf.DUMMYFUNCTION("IF(C1677&lt;&gt;"""",HYPERLINK(""https://wa.me/507""&amp;REGEXREPLACE(C1677,""[^0-9]"","""")&amp;""?text=""&amp;ENCODEURL(""Ya llegue. Codigo: ""&amp;A1677&amp;"". Ubicacion: ""&amp;""https://www.google.com/maps/search/?api=1&amp;query=""&amp;SUBSTITUTE(F1677,"" "","""")),""📲 Avisar al clien"&amp;"te""),"""")"),"")</f>
        <v/>
      </c>
      <c r="L1677" s="5" t="str">
        <f>IFERROR(__xludf.DUMMYFUNCTION("IF(C1677&lt;&gt;"""",""https://api.qrserver.com/v1/create-qr-code/?size=200x200&amp;data=""&amp;ENCODEURL(""https://wa.me/507""&amp;REGEXREPLACE(C1677,""[^0-9]"","""")&amp;""?text=""&amp;ENCODEURL(""Ya llegue. Codigo: ""&amp;A1677&amp;"". Ubicacion: ""&amp;""https://www.google.com/maps/search"&amp;"/?api=1&amp;query=""&amp;SUBSTITUTE(F1677,"" "",""""))),"""")"),"")</f>
        <v/>
      </c>
      <c r="M1677" s="5" t="str">
        <f t="shared" si="6"/>
        <v/>
      </c>
      <c r="N1677" s="5" t="str">
        <f>IFERROR(__xludf.DUMMYFUNCTION("IF(AND(F1677&lt;&gt;"""",REGEXMATCH(SUBSTITUTE(F1677,"" "",""""),""^-?\d+(\.\d+)?,-?\d+(\.\d+)?$""),VALUE(REGEXEXTRACT(SUBSTITUTE(F1677,"" "",""""),""^-?\d+(\.\d+)?""))&gt;=-90,VALUE(REGEXEXTRACT(SUBSTITUTE(F1677,"" "",""""),""^-?\d+(\.\d+)?""))&lt;=90,VALUE(REGEXEXT"&amp;"RACT(SUBSTITUTE(F1677,"" "",""""),""-?\d+(\.\d+)?$""))&gt;=-180,VALUE(REGEXEXTRACT(SUBSTITUTE(F1677,"" "",""""),""-?\d+(\.\d+)?$""))&lt;=180),""OK"",""REVISAR"")"),"#N/A")</f>
        <v>#N/A</v>
      </c>
    </row>
    <row r="1678" ht="15.75" customHeight="1">
      <c r="A1678" s="5" t="str">
        <f t="shared" si="1"/>
        <v>AD507-1676</v>
      </c>
      <c r="C1678" s="5"/>
      <c r="F1678" s="5"/>
      <c r="G1678" s="5" t="str">
        <f t="shared" si="2"/>
        <v/>
      </c>
      <c r="H1678" s="5" t="str">
        <f t="shared" si="3"/>
        <v/>
      </c>
      <c r="I1678" s="5" t="str">
        <f t="shared" si="4"/>
        <v/>
      </c>
      <c r="J1678" s="5" t="str">
        <f t="shared" si="5"/>
        <v/>
      </c>
      <c r="K1678" s="5" t="str">
        <f>IFERROR(__xludf.DUMMYFUNCTION("IF(C1678&lt;&gt;"""",HYPERLINK(""https://wa.me/507""&amp;REGEXREPLACE(C1678,""[^0-9]"","""")&amp;""?text=""&amp;ENCODEURL(""Ya llegue. Codigo: ""&amp;A1678&amp;"". Ubicacion: ""&amp;""https://www.google.com/maps/search/?api=1&amp;query=""&amp;SUBSTITUTE(F1678,"" "","""")),""📲 Avisar al clien"&amp;"te""),"""")"),"")</f>
        <v/>
      </c>
      <c r="L1678" s="5" t="str">
        <f>IFERROR(__xludf.DUMMYFUNCTION("IF(C1678&lt;&gt;"""",""https://api.qrserver.com/v1/create-qr-code/?size=200x200&amp;data=""&amp;ENCODEURL(""https://wa.me/507""&amp;REGEXREPLACE(C1678,""[^0-9]"","""")&amp;""?text=""&amp;ENCODEURL(""Ya llegue. Codigo: ""&amp;A1678&amp;"". Ubicacion: ""&amp;""https://www.google.com/maps/search"&amp;"/?api=1&amp;query=""&amp;SUBSTITUTE(F1678,"" "",""""))),"""")"),"")</f>
        <v/>
      </c>
      <c r="M1678" s="5" t="str">
        <f t="shared" si="6"/>
        <v/>
      </c>
      <c r="N1678" s="5" t="str">
        <f>IFERROR(__xludf.DUMMYFUNCTION("IF(AND(F1678&lt;&gt;"""",REGEXMATCH(SUBSTITUTE(F1678,"" "",""""),""^-?\d+(\.\d+)?,-?\d+(\.\d+)?$""),VALUE(REGEXEXTRACT(SUBSTITUTE(F1678,"" "",""""),""^-?\d+(\.\d+)?""))&gt;=-90,VALUE(REGEXEXTRACT(SUBSTITUTE(F1678,"" "",""""),""^-?\d+(\.\d+)?""))&lt;=90,VALUE(REGEXEXT"&amp;"RACT(SUBSTITUTE(F1678,"" "",""""),""-?\d+(\.\d+)?$""))&gt;=-180,VALUE(REGEXEXTRACT(SUBSTITUTE(F1678,"" "",""""),""-?\d+(\.\d+)?$""))&lt;=180),""OK"",""REVISAR"")"),"#N/A")</f>
        <v>#N/A</v>
      </c>
    </row>
    <row r="1679" ht="15.75" customHeight="1">
      <c r="A1679" s="5" t="str">
        <f t="shared" si="1"/>
        <v>AD507-1677</v>
      </c>
      <c r="C1679" s="5"/>
      <c r="F1679" s="5"/>
      <c r="G1679" s="5" t="str">
        <f t="shared" si="2"/>
        <v/>
      </c>
      <c r="H1679" s="5" t="str">
        <f t="shared" si="3"/>
        <v/>
      </c>
      <c r="I1679" s="5" t="str">
        <f t="shared" si="4"/>
        <v/>
      </c>
      <c r="J1679" s="5" t="str">
        <f t="shared" si="5"/>
        <v/>
      </c>
      <c r="K1679" s="5" t="str">
        <f>IFERROR(__xludf.DUMMYFUNCTION("IF(C1679&lt;&gt;"""",HYPERLINK(""https://wa.me/507""&amp;REGEXREPLACE(C1679,""[^0-9]"","""")&amp;""?text=""&amp;ENCODEURL(""Ya llegue. Codigo: ""&amp;A1679&amp;"". Ubicacion: ""&amp;""https://www.google.com/maps/search/?api=1&amp;query=""&amp;SUBSTITUTE(F1679,"" "","""")),""📲 Avisar al clien"&amp;"te""),"""")"),"")</f>
        <v/>
      </c>
      <c r="L1679" s="5" t="str">
        <f>IFERROR(__xludf.DUMMYFUNCTION("IF(C1679&lt;&gt;"""",""https://api.qrserver.com/v1/create-qr-code/?size=200x200&amp;data=""&amp;ENCODEURL(""https://wa.me/507""&amp;REGEXREPLACE(C1679,""[^0-9]"","""")&amp;""?text=""&amp;ENCODEURL(""Ya llegue. Codigo: ""&amp;A1679&amp;"". Ubicacion: ""&amp;""https://www.google.com/maps/search"&amp;"/?api=1&amp;query=""&amp;SUBSTITUTE(F1679,"" "",""""))),"""")"),"")</f>
        <v/>
      </c>
      <c r="M1679" s="5" t="str">
        <f t="shared" si="6"/>
        <v/>
      </c>
      <c r="N1679" s="5" t="str">
        <f>IFERROR(__xludf.DUMMYFUNCTION("IF(AND(F1679&lt;&gt;"""",REGEXMATCH(SUBSTITUTE(F1679,"" "",""""),""^-?\d+(\.\d+)?,-?\d+(\.\d+)?$""),VALUE(REGEXEXTRACT(SUBSTITUTE(F1679,"" "",""""),""^-?\d+(\.\d+)?""))&gt;=-90,VALUE(REGEXEXTRACT(SUBSTITUTE(F1679,"" "",""""),""^-?\d+(\.\d+)?""))&lt;=90,VALUE(REGEXEXT"&amp;"RACT(SUBSTITUTE(F1679,"" "",""""),""-?\d+(\.\d+)?$""))&gt;=-180,VALUE(REGEXEXTRACT(SUBSTITUTE(F1679,"" "",""""),""-?\d+(\.\d+)?$""))&lt;=180),""OK"",""REVISAR"")"),"#N/A")</f>
        <v>#N/A</v>
      </c>
    </row>
    <row r="1680" ht="15.75" customHeight="1">
      <c r="A1680" s="5" t="str">
        <f t="shared" si="1"/>
        <v>AD507-1678</v>
      </c>
      <c r="C1680" s="5"/>
      <c r="F1680" s="5"/>
      <c r="G1680" s="5" t="str">
        <f t="shared" si="2"/>
        <v/>
      </c>
      <c r="H1680" s="5" t="str">
        <f t="shared" si="3"/>
        <v/>
      </c>
      <c r="I1680" s="5" t="str">
        <f t="shared" si="4"/>
        <v/>
      </c>
      <c r="J1680" s="5" t="str">
        <f t="shared" si="5"/>
        <v/>
      </c>
      <c r="K1680" s="5" t="str">
        <f>IFERROR(__xludf.DUMMYFUNCTION("IF(C1680&lt;&gt;"""",HYPERLINK(""https://wa.me/507""&amp;REGEXREPLACE(C1680,""[^0-9]"","""")&amp;""?text=""&amp;ENCODEURL(""Ya llegue. Codigo: ""&amp;A1680&amp;"". Ubicacion: ""&amp;""https://www.google.com/maps/search/?api=1&amp;query=""&amp;SUBSTITUTE(F1680,"" "","""")),""📲 Avisar al clien"&amp;"te""),"""")"),"")</f>
        <v/>
      </c>
      <c r="L1680" s="5" t="str">
        <f>IFERROR(__xludf.DUMMYFUNCTION("IF(C1680&lt;&gt;"""",""https://api.qrserver.com/v1/create-qr-code/?size=200x200&amp;data=""&amp;ENCODEURL(""https://wa.me/507""&amp;REGEXREPLACE(C1680,""[^0-9]"","""")&amp;""?text=""&amp;ENCODEURL(""Ya llegue. Codigo: ""&amp;A1680&amp;"". Ubicacion: ""&amp;""https://www.google.com/maps/search"&amp;"/?api=1&amp;query=""&amp;SUBSTITUTE(F1680,"" "",""""))),"""")"),"")</f>
        <v/>
      </c>
      <c r="M1680" s="5" t="str">
        <f t="shared" si="6"/>
        <v/>
      </c>
      <c r="N1680" s="5" t="str">
        <f>IFERROR(__xludf.DUMMYFUNCTION("IF(AND(F1680&lt;&gt;"""",REGEXMATCH(SUBSTITUTE(F1680,"" "",""""),""^-?\d+(\.\d+)?,-?\d+(\.\d+)?$""),VALUE(REGEXEXTRACT(SUBSTITUTE(F1680,"" "",""""),""^-?\d+(\.\d+)?""))&gt;=-90,VALUE(REGEXEXTRACT(SUBSTITUTE(F1680,"" "",""""),""^-?\d+(\.\d+)?""))&lt;=90,VALUE(REGEXEXT"&amp;"RACT(SUBSTITUTE(F1680,"" "",""""),""-?\d+(\.\d+)?$""))&gt;=-180,VALUE(REGEXEXTRACT(SUBSTITUTE(F1680,"" "",""""),""-?\d+(\.\d+)?$""))&lt;=180),""OK"",""REVISAR"")"),"#N/A")</f>
        <v>#N/A</v>
      </c>
    </row>
    <row r="1681" ht="15.75" customHeight="1">
      <c r="A1681" s="5" t="str">
        <f t="shared" si="1"/>
        <v>AD507-1679</v>
      </c>
      <c r="C1681" s="5"/>
      <c r="F1681" s="5"/>
      <c r="G1681" s="5" t="str">
        <f t="shared" si="2"/>
        <v/>
      </c>
      <c r="H1681" s="5" t="str">
        <f t="shared" si="3"/>
        <v/>
      </c>
      <c r="I1681" s="5" t="str">
        <f t="shared" si="4"/>
        <v/>
      </c>
      <c r="J1681" s="5" t="str">
        <f t="shared" si="5"/>
        <v/>
      </c>
      <c r="K1681" s="5" t="str">
        <f>IFERROR(__xludf.DUMMYFUNCTION("IF(C1681&lt;&gt;"""",HYPERLINK(""https://wa.me/507""&amp;REGEXREPLACE(C1681,""[^0-9]"","""")&amp;""?text=""&amp;ENCODEURL(""Ya llegue. Codigo: ""&amp;A1681&amp;"". Ubicacion: ""&amp;""https://www.google.com/maps/search/?api=1&amp;query=""&amp;SUBSTITUTE(F1681,"" "","""")),""📲 Avisar al clien"&amp;"te""),"""")"),"")</f>
        <v/>
      </c>
      <c r="L1681" s="5" t="str">
        <f>IFERROR(__xludf.DUMMYFUNCTION("IF(C1681&lt;&gt;"""",""https://api.qrserver.com/v1/create-qr-code/?size=200x200&amp;data=""&amp;ENCODEURL(""https://wa.me/507""&amp;REGEXREPLACE(C1681,""[^0-9]"","""")&amp;""?text=""&amp;ENCODEURL(""Ya llegue. Codigo: ""&amp;A1681&amp;"". Ubicacion: ""&amp;""https://www.google.com/maps/search"&amp;"/?api=1&amp;query=""&amp;SUBSTITUTE(F1681,"" "",""""))),"""")"),"")</f>
        <v/>
      </c>
      <c r="M1681" s="5" t="str">
        <f t="shared" si="6"/>
        <v/>
      </c>
      <c r="N1681" s="5" t="str">
        <f>IFERROR(__xludf.DUMMYFUNCTION("IF(AND(F1681&lt;&gt;"""",REGEXMATCH(SUBSTITUTE(F1681,"" "",""""),""^-?\d+(\.\d+)?,-?\d+(\.\d+)?$""),VALUE(REGEXEXTRACT(SUBSTITUTE(F1681,"" "",""""),""^-?\d+(\.\d+)?""))&gt;=-90,VALUE(REGEXEXTRACT(SUBSTITUTE(F1681,"" "",""""),""^-?\d+(\.\d+)?""))&lt;=90,VALUE(REGEXEXT"&amp;"RACT(SUBSTITUTE(F1681,"" "",""""),""-?\d+(\.\d+)?$""))&gt;=-180,VALUE(REGEXEXTRACT(SUBSTITUTE(F1681,"" "",""""),""-?\d+(\.\d+)?$""))&lt;=180),""OK"",""REVISAR"")"),"#N/A")</f>
        <v>#N/A</v>
      </c>
    </row>
    <row r="1682" ht="15.75" customHeight="1">
      <c r="A1682" s="5" t="str">
        <f t="shared" si="1"/>
        <v>AD507-1680</v>
      </c>
      <c r="C1682" s="5"/>
      <c r="F1682" s="5"/>
      <c r="G1682" s="5" t="str">
        <f t="shared" si="2"/>
        <v/>
      </c>
      <c r="H1682" s="5" t="str">
        <f t="shared" si="3"/>
        <v/>
      </c>
      <c r="I1682" s="5" t="str">
        <f t="shared" si="4"/>
        <v/>
      </c>
      <c r="J1682" s="5" t="str">
        <f t="shared" si="5"/>
        <v/>
      </c>
      <c r="K1682" s="5" t="str">
        <f>IFERROR(__xludf.DUMMYFUNCTION("IF(C1682&lt;&gt;"""",HYPERLINK(""https://wa.me/507""&amp;REGEXREPLACE(C1682,""[^0-9]"","""")&amp;""?text=""&amp;ENCODEURL(""Ya llegue. Codigo: ""&amp;A1682&amp;"". Ubicacion: ""&amp;""https://www.google.com/maps/search/?api=1&amp;query=""&amp;SUBSTITUTE(F1682,"" "","""")),""📲 Avisar al clien"&amp;"te""),"""")"),"")</f>
        <v/>
      </c>
      <c r="L1682" s="5" t="str">
        <f>IFERROR(__xludf.DUMMYFUNCTION("IF(C1682&lt;&gt;"""",""https://api.qrserver.com/v1/create-qr-code/?size=200x200&amp;data=""&amp;ENCODEURL(""https://wa.me/507""&amp;REGEXREPLACE(C1682,""[^0-9]"","""")&amp;""?text=""&amp;ENCODEURL(""Ya llegue. Codigo: ""&amp;A1682&amp;"". Ubicacion: ""&amp;""https://www.google.com/maps/search"&amp;"/?api=1&amp;query=""&amp;SUBSTITUTE(F1682,"" "",""""))),"""")"),"")</f>
        <v/>
      </c>
      <c r="M1682" s="5" t="str">
        <f t="shared" si="6"/>
        <v/>
      </c>
      <c r="N1682" s="5" t="str">
        <f>IFERROR(__xludf.DUMMYFUNCTION("IF(AND(F1682&lt;&gt;"""",REGEXMATCH(SUBSTITUTE(F1682,"" "",""""),""^-?\d+(\.\d+)?,-?\d+(\.\d+)?$""),VALUE(REGEXEXTRACT(SUBSTITUTE(F1682,"" "",""""),""^-?\d+(\.\d+)?""))&gt;=-90,VALUE(REGEXEXTRACT(SUBSTITUTE(F1682,"" "",""""),""^-?\d+(\.\d+)?""))&lt;=90,VALUE(REGEXEXT"&amp;"RACT(SUBSTITUTE(F1682,"" "",""""),""-?\d+(\.\d+)?$""))&gt;=-180,VALUE(REGEXEXTRACT(SUBSTITUTE(F1682,"" "",""""),""-?\d+(\.\d+)?$""))&lt;=180),""OK"",""REVISAR"")"),"#N/A")</f>
        <v>#N/A</v>
      </c>
    </row>
    <row r="1683" ht="15.75" customHeight="1">
      <c r="A1683" s="5" t="str">
        <f t="shared" si="1"/>
        <v>AD507-1681</v>
      </c>
      <c r="C1683" s="5"/>
      <c r="F1683" s="5"/>
      <c r="G1683" s="5" t="str">
        <f t="shared" si="2"/>
        <v/>
      </c>
      <c r="H1683" s="5" t="str">
        <f t="shared" si="3"/>
        <v/>
      </c>
      <c r="I1683" s="5" t="str">
        <f t="shared" si="4"/>
        <v/>
      </c>
      <c r="J1683" s="5" t="str">
        <f t="shared" si="5"/>
        <v/>
      </c>
      <c r="K1683" s="5" t="str">
        <f>IFERROR(__xludf.DUMMYFUNCTION("IF(C1683&lt;&gt;"""",HYPERLINK(""https://wa.me/507""&amp;REGEXREPLACE(C1683,""[^0-9]"","""")&amp;""?text=""&amp;ENCODEURL(""Ya llegue. Codigo: ""&amp;A1683&amp;"". Ubicacion: ""&amp;""https://www.google.com/maps/search/?api=1&amp;query=""&amp;SUBSTITUTE(F1683,"" "","""")),""📲 Avisar al clien"&amp;"te""),"""")"),"")</f>
        <v/>
      </c>
      <c r="L1683" s="5" t="str">
        <f>IFERROR(__xludf.DUMMYFUNCTION("IF(C1683&lt;&gt;"""",""https://api.qrserver.com/v1/create-qr-code/?size=200x200&amp;data=""&amp;ENCODEURL(""https://wa.me/507""&amp;REGEXREPLACE(C1683,""[^0-9]"","""")&amp;""?text=""&amp;ENCODEURL(""Ya llegue. Codigo: ""&amp;A1683&amp;"". Ubicacion: ""&amp;""https://www.google.com/maps/search"&amp;"/?api=1&amp;query=""&amp;SUBSTITUTE(F1683,"" "",""""))),"""")"),"")</f>
        <v/>
      </c>
      <c r="M1683" s="5" t="str">
        <f t="shared" si="6"/>
        <v/>
      </c>
      <c r="N1683" s="5" t="str">
        <f>IFERROR(__xludf.DUMMYFUNCTION("IF(AND(F1683&lt;&gt;"""",REGEXMATCH(SUBSTITUTE(F1683,"" "",""""),""^-?\d+(\.\d+)?,-?\d+(\.\d+)?$""),VALUE(REGEXEXTRACT(SUBSTITUTE(F1683,"" "",""""),""^-?\d+(\.\d+)?""))&gt;=-90,VALUE(REGEXEXTRACT(SUBSTITUTE(F1683,"" "",""""),""^-?\d+(\.\d+)?""))&lt;=90,VALUE(REGEXEXT"&amp;"RACT(SUBSTITUTE(F1683,"" "",""""),""-?\d+(\.\d+)?$""))&gt;=-180,VALUE(REGEXEXTRACT(SUBSTITUTE(F1683,"" "",""""),""-?\d+(\.\d+)?$""))&lt;=180),""OK"",""REVISAR"")"),"#N/A")</f>
        <v>#N/A</v>
      </c>
    </row>
    <row r="1684" ht="15.75" customHeight="1">
      <c r="A1684" s="5" t="str">
        <f t="shared" si="1"/>
        <v>AD507-1682</v>
      </c>
      <c r="C1684" s="5"/>
      <c r="F1684" s="5"/>
      <c r="G1684" s="5" t="str">
        <f t="shared" si="2"/>
        <v/>
      </c>
      <c r="H1684" s="5" t="str">
        <f t="shared" si="3"/>
        <v/>
      </c>
      <c r="I1684" s="5" t="str">
        <f t="shared" si="4"/>
        <v/>
      </c>
      <c r="J1684" s="5" t="str">
        <f t="shared" si="5"/>
        <v/>
      </c>
      <c r="K1684" s="5" t="str">
        <f>IFERROR(__xludf.DUMMYFUNCTION("IF(C1684&lt;&gt;"""",HYPERLINK(""https://wa.me/507""&amp;REGEXREPLACE(C1684,""[^0-9]"","""")&amp;""?text=""&amp;ENCODEURL(""Ya llegue. Codigo: ""&amp;A1684&amp;"". Ubicacion: ""&amp;""https://www.google.com/maps/search/?api=1&amp;query=""&amp;SUBSTITUTE(F1684,"" "","""")),""📲 Avisar al clien"&amp;"te""),"""")"),"")</f>
        <v/>
      </c>
      <c r="L1684" s="5" t="str">
        <f>IFERROR(__xludf.DUMMYFUNCTION("IF(C1684&lt;&gt;"""",""https://api.qrserver.com/v1/create-qr-code/?size=200x200&amp;data=""&amp;ENCODEURL(""https://wa.me/507""&amp;REGEXREPLACE(C1684,""[^0-9]"","""")&amp;""?text=""&amp;ENCODEURL(""Ya llegue. Codigo: ""&amp;A1684&amp;"". Ubicacion: ""&amp;""https://www.google.com/maps/search"&amp;"/?api=1&amp;query=""&amp;SUBSTITUTE(F1684,"" "",""""))),"""")"),"")</f>
        <v/>
      </c>
      <c r="M1684" s="5" t="str">
        <f t="shared" si="6"/>
        <v/>
      </c>
      <c r="N1684" s="5" t="str">
        <f>IFERROR(__xludf.DUMMYFUNCTION("IF(AND(F1684&lt;&gt;"""",REGEXMATCH(SUBSTITUTE(F1684,"" "",""""),""^-?\d+(\.\d+)?,-?\d+(\.\d+)?$""),VALUE(REGEXEXTRACT(SUBSTITUTE(F1684,"" "",""""),""^-?\d+(\.\d+)?""))&gt;=-90,VALUE(REGEXEXTRACT(SUBSTITUTE(F1684,"" "",""""),""^-?\d+(\.\d+)?""))&lt;=90,VALUE(REGEXEXT"&amp;"RACT(SUBSTITUTE(F1684,"" "",""""),""-?\d+(\.\d+)?$""))&gt;=-180,VALUE(REGEXEXTRACT(SUBSTITUTE(F1684,"" "",""""),""-?\d+(\.\d+)?$""))&lt;=180),""OK"",""REVISAR"")"),"#N/A")</f>
        <v>#N/A</v>
      </c>
    </row>
    <row r="1685" ht="15.75" customHeight="1">
      <c r="A1685" s="5" t="str">
        <f t="shared" si="1"/>
        <v>AD507-1683</v>
      </c>
      <c r="C1685" s="5"/>
      <c r="F1685" s="5"/>
      <c r="G1685" s="5" t="str">
        <f t="shared" si="2"/>
        <v/>
      </c>
      <c r="H1685" s="5" t="str">
        <f t="shared" si="3"/>
        <v/>
      </c>
      <c r="I1685" s="5" t="str">
        <f t="shared" si="4"/>
        <v/>
      </c>
      <c r="J1685" s="5" t="str">
        <f t="shared" si="5"/>
        <v/>
      </c>
      <c r="K1685" s="5" t="str">
        <f>IFERROR(__xludf.DUMMYFUNCTION("IF(C1685&lt;&gt;"""",HYPERLINK(""https://wa.me/507""&amp;REGEXREPLACE(C1685,""[^0-9]"","""")&amp;""?text=""&amp;ENCODEURL(""Ya llegue. Codigo: ""&amp;A1685&amp;"". Ubicacion: ""&amp;""https://www.google.com/maps/search/?api=1&amp;query=""&amp;SUBSTITUTE(F1685,"" "","""")),""📲 Avisar al clien"&amp;"te""),"""")"),"")</f>
        <v/>
      </c>
      <c r="L1685" s="5" t="str">
        <f>IFERROR(__xludf.DUMMYFUNCTION("IF(C1685&lt;&gt;"""",""https://api.qrserver.com/v1/create-qr-code/?size=200x200&amp;data=""&amp;ENCODEURL(""https://wa.me/507""&amp;REGEXREPLACE(C1685,""[^0-9]"","""")&amp;""?text=""&amp;ENCODEURL(""Ya llegue. Codigo: ""&amp;A1685&amp;"". Ubicacion: ""&amp;""https://www.google.com/maps/search"&amp;"/?api=1&amp;query=""&amp;SUBSTITUTE(F1685,"" "",""""))),"""")"),"")</f>
        <v/>
      </c>
      <c r="M1685" s="5" t="str">
        <f t="shared" si="6"/>
        <v/>
      </c>
      <c r="N1685" s="5" t="str">
        <f>IFERROR(__xludf.DUMMYFUNCTION("IF(AND(F1685&lt;&gt;"""",REGEXMATCH(SUBSTITUTE(F1685,"" "",""""),""^-?\d+(\.\d+)?,-?\d+(\.\d+)?$""),VALUE(REGEXEXTRACT(SUBSTITUTE(F1685,"" "",""""),""^-?\d+(\.\d+)?""))&gt;=-90,VALUE(REGEXEXTRACT(SUBSTITUTE(F1685,"" "",""""),""^-?\d+(\.\d+)?""))&lt;=90,VALUE(REGEXEXT"&amp;"RACT(SUBSTITUTE(F1685,"" "",""""),""-?\d+(\.\d+)?$""))&gt;=-180,VALUE(REGEXEXTRACT(SUBSTITUTE(F1685,"" "",""""),""-?\d+(\.\d+)?$""))&lt;=180),""OK"",""REVISAR"")"),"#N/A")</f>
        <v>#N/A</v>
      </c>
    </row>
    <row r="1686" ht="15.75" customHeight="1">
      <c r="A1686" s="5" t="str">
        <f t="shared" si="1"/>
        <v>AD507-1684</v>
      </c>
      <c r="C1686" s="5"/>
      <c r="F1686" s="5"/>
      <c r="G1686" s="5" t="str">
        <f t="shared" si="2"/>
        <v/>
      </c>
      <c r="H1686" s="5" t="str">
        <f t="shared" si="3"/>
        <v/>
      </c>
      <c r="I1686" s="5" t="str">
        <f t="shared" si="4"/>
        <v/>
      </c>
      <c r="J1686" s="5" t="str">
        <f t="shared" si="5"/>
        <v/>
      </c>
      <c r="K1686" s="5" t="str">
        <f>IFERROR(__xludf.DUMMYFUNCTION("IF(C1686&lt;&gt;"""",HYPERLINK(""https://wa.me/507""&amp;REGEXREPLACE(C1686,""[^0-9]"","""")&amp;""?text=""&amp;ENCODEURL(""Ya llegue. Codigo: ""&amp;A1686&amp;"". Ubicacion: ""&amp;""https://www.google.com/maps/search/?api=1&amp;query=""&amp;SUBSTITUTE(F1686,"" "","""")),""📲 Avisar al clien"&amp;"te""),"""")"),"")</f>
        <v/>
      </c>
      <c r="L1686" s="5" t="str">
        <f>IFERROR(__xludf.DUMMYFUNCTION("IF(C1686&lt;&gt;"""",""https://api.qrserver.com/v1/create-qr-code/?size=200x200&amp;data=""&amp;ENCODEURL(""https://wa.me/507""&amp;REGEXREPLACE(C1686,""[^0-9]"","""")&amp;""?text=""&amp;ENCODEURL(""Ya llegue. Codigo: ""&amp;A1686&amp;"". Ubicacion: ""&amp;""https://www.google.com/maps/search"&amp;"/?api=1&amp;query=""&amp;SUBSTITUTE(F1686,"" "",""""))),"""")"),"")</f>
        <v/>
      </c>
      <c r="M1686" s="5" t="str">
        <f t="shared" si="6"/>
        <v/>
      </c>
      <c r="N1686" s="5" t="str">
        <f>IFERROR(__xludf.DUMMYFUNCTION("IF(AND(F1686&lt;&gt;"""",REGEXMATCH(SUBSTITUTE(F1686,"" "",""""),""^-?\d+(\.\d+)?,-?\d+(\.\d+)?$""),VALUE(REGEXEXTRACT(SUBSTITUTE(F1686,"" "",""""),""^-?\d+(\.\d+)?""))&gt;=-90,VALUE(REGEXEXTRACT(SUBSTITUTE(F1686,"" "",""""),""^-?\d+(\.\d+)?""))&lt;=90,VALUE(REGEXEXT"&amp;"RACT(SUBSTITUTE(F1686,"" "",""""),""-?\d+(\.\d+)?$""))&gt;=-180,VALUE(REGEXEXTRACT(SUBSTITUTE(F1686,"" "",""""),""-?\d+(\.\d+)?$""))&lt;=180),""OK"",""REVISAR"")"),"#N/A")</f>
        <v>#N/A</v>
      </c>
    </row>
    <row r="1687" ht="15.75" customHeight="1">
      <c r="A1687" s="5" t="str">
        <f t="shared" si="1"/>
        <v>AD507-1685</v>
      </c>
      <c r="C1687" s="5"/>
      <c r="F1687" s="5"/>
      <c r="G1687" s="5" t="str">
        <f t="shared" si="2"/>
        <v/>
      </c>
      <c r="H1687" s="5" t="str">
        <f t="shared" si="3"/>
        <v/>
      </c>
      <c r="I1687" s="5" t="str">
        <f t="shared" si="4"/>
        <v/>
      </c>
      <c r="J1687" s="5" t="str">
        <f t="shared" si="5"/>
        <v/>
      </c>
      <c r="K1687" s="5" t="str">
        <f>IFERROR(__xludf.DUMMYFUNCTION("IF(C1687&lt;&gt;"""",HYPERLINK(""https://wa.me/507""&amp;REGEXREPLACE(C1687,""[^0-9]"","""")&amp;""?text=""&amp;ENCODEURL(""Ya llegue. Codigo: ""&amp;A1687&amp;"". Ubicacion: ""&amp;""https://www.google.com/maps/search/?api=1&amp;query=""&amp;SUBSTITUTE(F1687,"" "","""")),""📲 Avisar al clien"&amp;"te""),"""")"),"")</f>
        <v/>
      </c>
      <c r="L1687" s="5" t="str">
        <f>IFERROR(__xludf.DUMMYFUNCTION("IF(C1687&lt;&gt;"""",""https://api.qrserver.com/v1/create-qr-code/?size=200x200&amp;data=""&amp;ENCODEURL(""https://wa.me/507""&amp;REGEXREPLACE(C1687,""[^0-9]"","""")&amp;""?text=""&amp;ENCODEURL(""Ya llegue. Codigo: ""&amp;A1687&amp;"". Ubicacion: ""&amp;""https://www.google.com/maps/search"&amp;"/?api=1&amp;query=""&amp;SUBSTITUTE(F1687,"" "",""""))),"""")"),"")</f>
        <v/>
      </c>
      <c r="M1687" s="5" t="str">
        <f t="shared" si="6"/>
        <v/>
      </c>
      <c r="N1687" s="5" t="str">
        <f>IFERROR(__xludf.DUMMYFUNCTION("IF(AND(F1687&lt;&gt;"""",REGEXMATCH(SUBSTITUTE(F1687,"" "",""""),""^-?\d+(\.\d+)?,-?\d+(\.\d+)?$""),VALUE(REGEXEXTRACT(SUBSTITUTE(F1687,"" "",""""),""^-?\d+(\.\d+)?""))&gt;=-90,VALUE(REGEXEXTRACT(SUBSTITUTE(F1687,"" "",""""),""^-?\d+(\.\d+)?""))&lt;=90,VALUE(REGEXEXT"&amp;"RACT(SUBSTITUTE(F1687,"" "",""""),""-?\d+(\.\d+)?$""))&gt;=-180,VALUE(REGEXEXTRACT(SUBSTITUTE(F1687,"" "",""""),""-?\d+(\.\d+)?$""))&lt;=180),""OK"",""REVISAR"")"),"#N/A")</f>
        <v>#N/A</v>
      </c>
    </row>
    <row r="1688" ht="15.75" customHeight="1">
      <c r="A1688" s="5" t="str">
        <f t="shared" si="1"/>
        <v>AD507-1686</v>
      </c>
      <c r="C1688" s="5"/>
      <c r="F1688" s="5"/>
      <c r="G1688" s="5" t="str">
        <f t="shared" si="2"/>
        <v/>
      </c>
      <c r="H1688" s="5" t="str">
        <f t="shared" si="3"/>
        <v/>
      </c>
      <c r="I1688" s="5" t="str">
        <f t="shared" si="4"/>
        <v/>
      </c>
      <c r="J1688" s="5" t="str">
        <f t="shared" si="5"/>
        <v/>
      </c>
      <c r="K1688" s="5" t="str">
        <f>IFERROR(__xludf.DUMMYFUNCTION("IF(C1688&lt;&gt;"""",HYPERLINK(""https://wa.me/507""&amp;REGEXREPLACE(C1688,""[^0-9]"","""")&amp;""?text=""&amp;ENCODEURL(""Ya llegue. Codigo: ""&amp;A1688&amp;"". Ubicacion: ""&amp;""https://www.google.com/maps/search/?api=1&amp;query=""&amp;SUBSTITUTE(F1688,"" "","""")),""📲 Avisar al clien"&amp;"te""),"""")"),"")</f>
        <v/>
      </c>
      <c r="L1688" s="5" t="str">
        <f>IFERROR(__xludf.DUMMYFUNCTION("IF(C1688&lt;&gt;"""",""https://api.qrserver.com/v1/create-qr-code/?size=200x200&amp;data=""&amp;ENCODEURL(""https://wa.me/507""&amp;REGEXREPLACE(C1688,""[^0-9]"","""")&amp;""?text=""&amp;ENCODEURL(""Ya llegue. Codigo: ""&amp;A1688&amp;"". Ubicacion: ""&amp;""https://www.google.com/maps/search"&amp;"/?api=1&amp;query=""&amp;SUBSTITUTE(F1688,"" "",""""))),"""")"),"")</f>
        <v/>
      </c>
      <c r="M1688" s="5" t="str">
        <f t="shared" si="6"/>
        <v/>
      </c>
      <c r="N1688" s="5" t="str">
        <f>IFERROR(__xludf.DUMMYFUNCTION("IF(AND(F1688&lt;&gt;"""",REGEXMATCH(SUBSTITUTE(F1688,"" "",""""),""^-?\d+(\.\d+)?,-?\d+(\.\d+)?$""),VALUE(REGEXEXTRACT(SUBSTITUTE(F1688,"" "",""""),""^-?\d+(\.\d+)?""))&gt;=-90,VALUE(REGEXEXTRACT(SUBSTITUTE(F1688,"" "",""""),""^-?\d+(\.\d+)?""))&lt;=90,VALUE(REGEXEXT"&amp;"RACT(SUBSTITUTE(F1688,"" "",""""),""-?\d+(\.\d+)?$""))&gt;=-180,VALUE(REGEXEXTRACT(SUBSTITUTE(F1688,"" "",""""),""-?\d+(\.\d+)?$""))&lt;=180),""OK"",""REVISAR"")"),"#N/A")</f>
        <v>#N/A</v>
      </c>
    </row>
    <row r="1689" ht="15.75" customHeight="1">
      <c r="A1689" s="5" t="str">
        <f t="shared" si="1"/>
        <v>AD507-1687</v>
      </c>
      <c r="C1689" s="5"/>
      <c r="F1689" s="5"/>
      <c r="G1689" s="5" t="str">
        <f t="shared" si="2"/>
        <v/>
      </c>
      <c r="H1689" s="5" t="str">
        <f t="shared" si="3"/>
        <v/>
      </c>
      <c r="I1689" s="5" t="str">
        <f t="shared" si="4"/>
        <v/>
      </c>
      <c r="J1689" s="5" t="str">
        <f t="shared" si="5"/>
        <v/>
      </c>
      <c r="K1689" s="5" t="str">
        <f>IFERROR(__xludf.DUMMYFUNCTION("IF(C1689&lt;&gt;"""",HYPERLINK(""https://wa.me/507""&amp;REGEXREPLACE(C1689,""[^0-9]"","""")&amp;""?text=""&amp;ENCODEURL(""Ya llegue. Codigo: ""&amp;A1689&amp;"". Ubicacion: ""&amp;""https://www.google.com/maps/search/?api=1&amp;query=""&amp;SUBSTITUTE(F1689,"" "","""")),""📲 Avisar al clien"&amp;"te""),"""")"),"")</f>
        <v/>
      </c>
      <c r="L1689" s="5" t="str">
        <f>IFERROR(__xludf.DUMMYFUNCTION("IF(C1689&lt;&gt;"""",""https://api.qrserver.com/v1/create-qr-code/?size=200x200&amp;data=""&amp;ENCODEURL(""https://wa.me/507""&amp;REGEXREPLACE(C1689,""[^0-9]"","""")&amp;""?text=""&amp;ENCODEURL(""Ya llegue. Codigo: ""&amp;A1689&amp;"". Ubicacion: ""&amp;""https://www.google.com/maps/search"&amp;"/?api=1&amp;query=""&amp;SUBSTITUTE(F1689,"" "",""""))),"""")"),"")</f>
        <v/>
      </c>
      <c r="M1689" s="5" t="str">
        <f t="shared" si="6"/>
        <v/>
      </c>
      <c r="N1689" s="5" t="str">
        <f>IFERROR(__xludf.DUMMYFUNCTION("IF(AND(F1689&lt;&gt;"""",REGEXMATCH(SUBSTITUTE(F1689,"" "",""""),""^-?\d+(\.\d+)?,-?\d+(\.\d+)?$""),VALUE(REGEXEXTRACT(SUBSTITUTE(F1689,"" "",""""),""^-?\d+(\.\d+)?""))&gt;=-90,VALUE(REGEXEXTRACT(SUBSTITUTE(F1689,"" "",""""),""^-?\d+(\.\d+)?""))&lt;=90,VALUE(REGEXEXT"&amp;"RACT(SUBSTITUTE(F1689,"" "",""""),""-?\d+(\.\d+)?$""))&gt;=-180,VALUE(REGEXEXTRACT(SUBSTITUTE(F1689,"" "",""""),""-?\d+(\.\d+)?$""))&lt;=180),""OK"",""REVISAR"")"),"#N/A")</f>
        <v>#N/A</v>
      </c>
    </row>
    <row r="1690" ht="15.75" customHeight="1">
      <c r="A1690" s="5" t="str">
        <f t="shared" si="1"/>
        <v>AD507-1688</v>
      </c>
      <c r="C1690" s="5"/>
      <c r="F1690" s="5"/>
      <c r="G1690" s="5" t="str">
        <f t="shared" si="2"/>
        <v/>
      </c>
      <c r="H1690" s="5" t="str">
        <f t="shared" si="3"/>
        <v/>
      </c>
      <c r="I1690" s="5" t="str">
        <f t="shared" si="4"/>
        <v/>
      </c>
      <c r="J1690" s="5" t="str">
        <f t="shared" si="5"/>
        <v/>
      </c>
      <c r="K1690" s="5" t="str">
        <f>IFERROR(__xludf.DUMMYFUNCTION("IF(C1690&lt;&gt;"""",HYPERLINK(""https://wa.me/507""&amp;REGEXREPLACE(C1690,""[^0-9]"","""")&amp;""?text=""&amp;ENCODEURL(""Ya llegue. Codigo: ""&amp;A1690&amp;"". Ubicacion: ""&amp;""https://www.google.com/maps/search/?api=1&amp;query=""&amp;SUBSTITUTE(F1690,"" "","""")),""📲 Avisar al clien"&amp;"te""),"""")"),"")</f>
        <v/>
      </c>
      <c r="L1690" s="5" t="str">
        <f>IFERROR(__xludf.DUMMYFUNCTION("IF(C1690&lt;&gt;"""",""https://api.qrserver.com/v1/create-qr-code/?size=200x200&amp;data=""&amp;ENCODEURL(""https://wa.me/507""&amp;REGEXREPLACE(C1690,""[^0-9]"","""")&amp;""?text=""&amp;ENCODEURL(""Ya llegue. Codigo: ""&amp;A1690&amp;"". Ubicacion: ""&amp;""https://www.google.com/maps/search"&amp;"/?api=1&amp;query=""&amp;SUBSTITUTE(F1690,"" "",""""))),"""")"),"")</f>
        <v/>
      </c>
      <c r="M1690" s="5" t="str">
        <f t="shared" si="6"/>
        <v/>
      </c>
      <c r="N1690" s="5" t="str">
        <f>IFERROR(__xludf.DUMMYFUNCTION("IF(AND(F1690&lt;&gt;"""",REGEXMATCH(SUBSTITUTE(F1690,"" "",""""),""^-?\d+(\.\d+)?,-?\d+(\.\d+)?$""),VALUE(REGEXEXTRACT(SUBSTITUTE(F1690,"" "",""""),""^-?\d+(\.\d+)?""))&gt;=-90,VALUE(REGEXEXTRACT(SUBSTITUTE(F1690,"" "",""""),""^-?\d+(\.\d+)?""))&lt;=90,VALUE(REGEXEXT"&amp;"RACT(SUBSTITUTE(F1690,"" "",""""),""-?\d+(\.\d+)?$""))&gt;=-180,VALUE(REGEXEXTRACT(SUBSTITUTE(F1690,"" "",""""),""-?\d+(\.\d+)?$""))&lt;=180),""OK"",""REVISAR"")"),"#N/A")</f>
        <v>#N/A</v>
      </c>
    </row>
    <row r="1691" ht="15.75" customHeight="1">
      <c r="A1691" s="5" t="str">
        <f t="shared" si="1"/>
        <v>AD507-1689</v>
      </c>
      <c r="C1691" s="5"/>
      <c r="F1691" s="5"/>
      <c r="G1691" s="5" t="str">
        <f t="shared" si="2"/>
        <v/>
      </c>
      <c r="H1691" s="5" t="str">
        <f t="shared" si="3"/>
        <v/>
      </c>
      <c r="I1691" s="5" t="str">
        <f t="shared" si="4"/>
        <v/>
      </c>
      <c r="J1691" s="5" t="str">
        <f t="shared" si="5"/>
        <v/>
      </c>
      <c r="K1691" s="5" t="str">
        <f>IFERROR(__xludf.DUMMYFUNCTION("IF(C1691&lt;&gt;"""",HYPERLINK(""https://wa.me/507""&amp;REGEXREPLACE(C1691,""[^0-9]"","""")&amp;""?text=""&amp;ENCODEURL(""Ya llegue. Codigo: ""&amp;A1691&amp;"". Ubicacion: ""&amp;""https://www.google.com/maps/search/?api=1&amp;query=""&amp;SUBSTITUTE(F1691,"" "","""")),""📲 Avisar al clien"&amp;"te""),"""")"),"")</f>
        <v/>
      </c>
      <c r="L1691" s="5" t="str">
        <f>IFERROR(__xludf.DUMMYFUNCTION("IF(C1691&lt;&gt;"""",""https://api.qrserver.com/v1/create-qr-code/?size=200x200&amp;data=""&amp;ENCODEURL(""https://wa.me/507""&amp;REGEXREPLACE(C1691,""[^0-9]"","""")&amp;""?text=""&amp;ENCODEURL(""Ya llegue. Codigo: ""&amp;A1691&amp;"". Ubicacion: ""&amp;""https://www.google.com/maps/search"&amp;"/?api=1&amp;query=""&amp;SUBSTITUTE(F1691,"" "",""""))),"""")"),"")</f>
        <v/>
      </c>
      <c r="M1691" s="5" t="str">
        <f t="shared" si="6"/>
        <v/>
      </c>
      <c r="N1691" s="5" t="str">
        <f>IFERROR(__xludf.DUMMYFUNCTION("IF(AND(F1691&lt;&gt;"""",REGEXMATCH(SUBSTITUTE(F1691,"" "",""""),""^-?\d+(\.\d+)?,-?\d+(\.\d+)?$""),VALUE(REGEXEXTRACT(SUBSTITUTE(F1691,"" "",""""),""^-?\d+(\.\d+)?""))&gt;=-90,VALUE(REGEXEXTRACT(SUBSTITUTE(F1691,"" "",""""),""^-?\d+(\.\d+)?""))&lt;=90,VALUE(REGEXEXT"&amp;"RACT(SUBSTITUTE(F1691,"" "",""""),""-?\d+(\.\d+)?$""))&gt;=-180,VALUE(REGEXEXTRACT(SUBSTITUTE(F1691,"" "",""""),""-?\d+(\.\d+)?$""))&lt;=180),""OK"",""REVISAR"")"),"#N/A")</f>
        <v>#N/A</v>
      </c>
    </row>
    <row r="1692" ht="15.75" customHeight="1">
      <c r="A1692" s="5" t="str">
        <f t="shared" si="1"/>
        <v>AD507-1690</v>
      </c>
      <c r="C1692" s="5"/>
      <c r="F1692" s="5"/>
      <c r="G1692" s="5" t="str">
        <f t="shared" si="2"/>
        <v/>
      </c>
      <c r="H1692" s="5" t="str">
        <f t="shared" si="3"/>
        <v/>
      </c>
      <c r="I1692" s="5" t="str">
        <f t="shared" si="4"/>
        <v/>
      </c>
      <c r="J1692" s="5" t="str">
        <f t="shared" si="5"/>
        <v/>
      </c>
      <c r="K1692" s="5" t="str">
        <f>IFERROR(__xludf.DUMMYFUNCTION("IF(C1692&lt;&gt;"""",HYPERLINK(""https://wa.me/507""&amp;REGEXREPLACE(C1692,""[^0-9]"","""")&amp;""?text=""&amp;ENCODEURL(""Ya llegue. Codigo: ""&amp;A1692&amp;"". Ubicacion: ""&amp;""https://www.google.com/maps/search/?api=1&amp;query=""&amp;SUBSTITUTE(F1692,"" "","""")),""📲 Avisar al clien"&amp;"te""),"""")"),"")</f>
        <v/>
      </c>
      <c r="L1692" s="5" t="str">
        <f>IFERROR(__xludf.DUMMYFUNCTION("IF(C1692&lt;&gt;"""",""https://api.qrserver.com/v1/create-qr-code/?size=200x200&amp;data=""&amp;ENCODEURL(""https://wa.me/507""&amp;REGEXREPLACE(C1692,""[^0-9]"","""")&amp;""?text=""&amp;ENCODEURL(""Ya llegue. Codigo: ""&amp;A1692&amp;"". Ubicacion: ""&amp;""https://www.google.com/maps/search"&amp;"/?api=1&amp;query=""&amp;SUBSTITUTE(F1692,"" "",""""))),"""")"),"")</f>
        <v/>
      </c>
      <c r="M1692" s="5" t="str">
        <f t="shared" si="6"/>
        <v/>
      </c>
      <c r="N1692" s="5" t="str">
        <f>IFERROR(__xludf.DUMMYFUNCTION("IF(AND(F1692&lt;&gt;"""",REGEXMATCH(SUBSTITUTE(F1692,"" "",""""),""^-?\d+(\.\d+)?,-?\d+(\.\d+)?$""),VALUE(REGEXEXTRACT(SUBSTITUTE(F1692,"" "",""""),""^-?\d+(\.\d+)?""))&gt;=-90,VALUE(REGEXEXTRACT(SUBSTITUTE(F1692,"" "",""""),""^-?\d+(\.\d+)?""))&lt;=90,VALUE(REGEXEXT"&amp;"RACT(SUBSTITUTE(F1692,"" "",""""),""-?\d+(\.\d+)?$""))&gt;=-180,VALUE(REGEXEXTRACT(SUBSTITUTE(F1692,"" "",""""),""-?\d+(\.\d+)?$""))&lt;=180),""OK"",""REVISAR"")"),"#N/A")</f>
        <v>#N/A</v>
      </c>
    </row>
    <row r="1693" ht="15.75" customHeight="1">
      <c r="A1693" s="5" t="str">
        <f t="shared" si="1"/>
        <v>AD507-1691</v>
      </c>
      <c r="C1693" s="5"/>
      <c r="F1693" s="5"/>
      <c r="G1693" s="5" t="str">
        <f t="shared" si="2"/>
        <v/>
      </c>
      <c r="H1693" s="5" t="str">
        <f t="shared" si="3"/>
        <v/>
      </c>
      <c r="I1693" s="5" t="str">
        <f t="shared" si="4"/>
        <v/>
      </c>
      <c r="J1693" s="5" t="str">
        <f t="shared" si="5"/>
        <v/>
      </c>
      <c r="K1693" s="5" t="str">
        <f>IFERROR(__xludf.DUMMYFUNCTION("IF(C1693&lt;&gt;"""",HYPERLINK(""https://wa.me/507""&amp;REGEXREPLACE(C1693,""[^0-9]"","""")&amp;""?text=""&amp;ENCODEURL(""Ya llegue. Codigo: ""&amp;A1693&amp;"". Ubicacion: ""&amp;""https://www.google.com/maps/search/?api=1&amp;query=""&amp;SUBSTITUTE(F1693,"" "","""")),""📲 Avisar al clien"&amp;"te""),"""")"),"")</f>
        <v/>
      </c>
      <c r="L1693" s="5" t="str">
        <f>IFERROR(__xludf.DUMMYFUNCTION("IF(C1693&lt;&gt;"""",""https://api.qrserver.com/v1/create-qr-code/?size=200x200&amp;data=""&amp;ENCODEURL(""https://wa.me/507""&amp;REGEXREPLACE(C1693,""[^0-9]"","""")&amp;""?text=""&amp;ENCODEURL(""Ya llegue. Codigo: ""&amp;A1693&amp;"". Ubicacion: ""&amp;""https://www.google.com/maps/search"&amp;"/?api=1&amp;query=""&amp;SUBSTITUTE(F1693,"" "",""""))),"""")"),"")</f>
        <v/>
      </c>
      <c r="M1693" s="5" t="str">
        <f t="shared" si="6"/>
        <v/>
      </c>
      <c r="N1693" s="5" t="str">
        <f>IFERROR(__xludf.DUMMYFUNCTION("IF(AND(F1693&lt;&gt;"""",REGEXMATCH(SUBSTITUTE(F1693,"" "",""""),""^-?\d+(\.\d+)?,-?\d+(\.\d+)?$""),VALUE(REGEXEXTRACT(SUBSTITUTE(F1693,"" "",""""),""^-?\d+(\.\d+)?""))&gt;=-90,VALUE(REGEXEXTRACT(SUBSTITUTE(F1693,"" "",""""),""^-?\d+(\.\d+)?""))&lt;=90,VALUE(REGEXEXT"&amp;"RACT(SUBSTITUTE(F1693,"" "",""""),""-?\d+(\.\d+)?$""))&gt;=-180,VALUE(REGEXEXTRACT(SUBSTITUTE(F1693,"" "",""""),""-?\d+(\.\d+)?$""))&lt;=180),""OK"",""REVISAR"")"),"#N/A")</f>
        <v>#N/A</v>
      </c>
    </row>
    <row r="1694" ht="15.75" customHeight="1">
      <c r="A1694" s="5" t="str">
        <f t="shared" si="1"/>
        <v>AD507-1692</v>
      </c>
      <c r="C1694" s="5"/>
      <c r="F1694" s="5"/>
      <c r="G1694" s="5" t="str">
        <f t="shared" si="2"/>
        <v/>
      </c>
      <c r="H1694" s="5" t="str">
        <f t="shared" si="3"/>
        <v/>
      </c>
      <c r="I1694" s="5" t="str">
        <f t="shared" si="4"/>
        <v/>
      </c>
      <c r="J1694" s="5" t="str">
        <f t="shared" si="5"/>
        <v/>
      </c>
      <c r="K1694" s="5" t="str">
        <f>IFERROR(__xludf.DUMMYFUNCTION("IF(C1694&lt;&gt;"""",HYPERLINK(""https://wa.me/507""&amp;REGEXREPLACE(C1694,""[^0-9]"","""")&amp;""?text=""&amp;ENCODEURL(""Ya llegue. Codigo: ""&amp;A1694&amp;"". Ubicacion: ""&amp;""https://www.google.com/maps/search/?api=1&amp;query=""&amp;SUBSTITUTE(F1694,"" "","""")),""📲 Avisar al clien"&amp;"te""),"""")"),"")</f>
        <v/>
      </c>
      <c r="L1694" s="5" t="str">
        <f>IFERROR(__xludf.DUMMYFUNCTION("IF(C1694&lt;&gt;"""",""https://api.qrserver.com/v1/create-qr-code/?size=200x200&amp;data=""&amp;ENCODEURL(""https://wa.me/507""&amp;REGEXREPLACE(C1694,""[^0-9]"","""")&amp;""?text=""&amp;ENCODEURL(""Ya llegue. Codigo: ""&amp;A1694&amp;"". Ubicacion: ""&amp;""https://www.google.com/maps/search"&amp;"/?api=1&amp;query=""&amp;SUBSTITUTE(F1694,"" "",""""))),"""")"),"")</f>
        <v/>
      </c>
      <c r="M1694" s="5" t="str">
        <f t="shared" si="6"/>
        <v/>
      </c>
      <c r="N1694" s="5" t="str">
        <f>IFERROR(__xludf.DUMMYFUNCTION("IF(AND(F1694&lt;&gt;"""",REGEXMATCH(SUBSTITUTE(F1694,"" "",""""),""^-?\d+(\.\d+)?,-?\d+(\.\d+)?$""),VALUE(REGEXEXTRACT(SUBSTITUTE(F1694,"" "",""""),""^-?\d+(\.\d+)?""))&gt;=-90,VALUE(REGEXEXTRACT(SUBSTITUTE(F1694,"" "",""""),""^-?\d+(\.\d+)?""))&lt;=90,VALUE(REGEXEXT"&amp;"RACT(SUBSTITUTE(F1694,"" "",""""),""-?\d+(\.\d+)?$""))&gt;=-180,VALUE(REGEXEXTRACT(SUBSTITUTE(F1694,"" "",""""),""-?\d+(\.\d+)?$""))&lt;=180),""OK"",""REVISAR"")"),"#N/A")</f>
        <v>#N/A</v>
      </c>
    </row>
    <row r="1695" ht="15.75" customHeight="1">
      <c r="A1695" s="5" t="str">
        <f t="shared" si="1"/>
        <v>AD507-1693</v>
      </c>
      <c r="C1695" s="5"/>
      <c r="F1695" s="5"/>
      <c r="G1695" s="5" t="str">
        <f t="shared" si="2"/>
        <v/>
      </c>
      <c r="H1695" s="5" t="str">
        <f t="shared" si="3"/>
        <v/>
      </c>
      <c r="I1695" s="5" t="str">
        <f t="shared" si="4"/>
        <v/>
      </c>
      <c r="J1695" s="5" t="str">
        <f t="shared" si="5"/>
        <v/>
      </c>
      <c r="K1695" s="5" t="str">
        <f>IFERROR(__xludf.DUMMYFUNCTION("IF(C1695&lt;&gt;"""",HYPERLINK(""https://wa.me/507""&amp;REGEXREPLACE(C1695,""[^0-9]"","""")&amp;""?text=""&amp;ENCODEURL(""Ya llegue. Codigo: ""&amp;A1695&amp;"". Ubicacion: ""&amp;""https://www.google.com/maps/search/?api=1&amp;query=""&amp;SUBSTITUTE(F1695,"" "","""")),""📲 Avisar al clien"&amp;"te""),"""")"),"")</f>
        <v/>
      </c>
      <c r="L1695" s="5" t="str">
        <f>IFERROR(__xludf.DUMMYFUNCTION("IF(C1695&lt;&gt;"""",""https://api.qrserver.com/v1/create-qr-code/?size=200x200&amp;data=""&amp;ENCODEURL(""https://wa.me/507""&amp;REGEXREPLACE(C1695,""[^0-9]"","""")&amp;""?text=""&amp;ENCODEURL(""Ya llegue. Codigo: ""&amp;A1695&amp;"". Ubicacion: ""&amp;""https://www.google.com/maps/search"&amp;"/?api=1&amp;query=""&amp;SUBSTITUTE(F1695,"" "",""""))),"""")"),"")</f>
        <v/>
      </c>
      <c r="M1695" s="5" t="str">
        <f t="shared" si="6"/>
        <v/>
      </c>
      <c r="N1695" s="5" t="str">
        <f>IFERROR(__xludf.DUMMYFUNCTION("IF(AND(F1695&lt;&gt;"""",REGEXMATCH(SUBSTITUTE(F1695,"" "",""""),""^-?\d+(\.\d+)?,-?\d+(\.\d+)?$""),VALUE(REGEXEXTRACT(SUBSTITUTE(F1695,"" "",""""),""^-?\d+(\.\d+)?""))&gt;=-90,VALUE(REGEXEXTRACT(SUBSTITUTE(F1695,"" "",""""),""^-?\d+(\.\d+)?""))&lt;=90,VALUE(REGEXEXT"&amp;"RACT(SUBSTITUTE(F1695,"" "",""""),""-?\d+(\.\d+)?$""))&gt;=-180,VALUE(REGEXEXTRACT(SUBSTITUTE(F1695,"" "",""""),""-?\d+(\.\d+)?$""))&lt;=180),""OK"",""REVISAR"")"),"#N/A")</f>
        <v>#N/A</v>
      </c>
    </row>
    <row r="1696" ht="15.75" customHeight="1">
      <c r="A1696" s="5" t="str">
        <f t="shared" si="1"/>
        <v>AD507-1694</v>
      </c>
      <c r="C1696" s="5"/>
      <c r="F1696" s="5"/>
      <c r="G1696" s="5" t="str">
        <f t="shared" si="2"/>
        <v/>
      </c>
      <c r="H1696" s="5" t="str">
        <f t="shared" si="3"/>
        <v/>
      </c>
      <c r="I1696" s="5" t="str">
        <f t="shared" si="4"/>
        <v/>
      </c>
      <c r="J1696" s="5" t="str">
        <f t="shared" si="5"/>
        <v/>
      </c>
      <c r="K1696" s="5" t="str">
        <f>IFERROR(__xludf.DUMMYFUNCTION("IF(C1696&lt;&gt;"""",HYPERLINK(""https://wa.me/507""&amp;REGEXREPLACE(C1696,""[^0-9]"","""")&amp;""?text=""&amp;ENCODEURL(""Ya llegue. Codigo: ""&amp;A1696&amp;"". Ubicacion: ""&amp;""https://www.google.com/maps/search/?api=1&amp;query=""&amp;SUBSTITUTE(F1696,"" "","""")),""📲 Avisar al clien"&amp;"te""),"""")"),"")</f>
        <v/>
      </c>
      <c r="L1696" s="5" t="str">
        <f>IFERROR(__xludf.DUMMYFUNCTION("IF(C1696&lt;&gt;"""",""https://api.qrserver.com/v1/create-qr-code/?size=200x200&amp;data=""&amp;ENCODEURL(""https://wa.me/507""&amp;REGEXREPLACE(C1696,""[^0-9]"","""")&amp;""?text=""&amp;ENCODEURL(""Ya llegue. Codigo: ""&amp;A1696&amp;"". Ubicacion: ""&amp;""https://www.google.com/maps/search"&amp;"/?api=1&amp;query=""&amp;SUBSTITUTE(F1696,"" "",""""))),"""")"),"")</f>
        <v/>
      </c>
      <c r="M1696" s="5" t="str">
        <f t="shared" si="6"/>
        <v/>
      </c>
      <c r="N1696" s="5" t="str">
        <f>IFERROR(__xludf.DUMMYFUNCTION("IF(AND(F1696&lt;&gt;"""",REGEXMATCH(SUBSTITUTE(F1696,"" "",""""),""^-?\d+(\.\d+)?,-?\d+(\.\d+)?$""),VALUE(REGEXEXTRACT(SUBSTITUTE(F1696,"" "",""""),""^-?\d+(\.\d+)?""))&gt;=-90,VALUE(REGEXEXTRACT(SUBSTITUTE(F1696,"" "",""""),""^-?\d+(\.\d+)?""))&lt;=90,VALUE(REGEXEXT"&amp;"RACT(SUBSTITUTE(F1696,"" "",""""),""-?\d+(\.\d+)?$""))&gt;=-180,VALUE(REGEXEXTRACT(SUBSTITUTE(F1696,"" "",""""),""-?\d+(\.\d+)?$""))&lt;=180),""OK"",""REVISAR"")"),"#N/A")</f>
        <v>#N/A</v>
      </c>
    </row>
    <row r="1697" ht="15.75" customHeight="1">
      <c r="A1697" s="5" t="str">
        <f t="shared" si="1"/>
        <v>AD507-1695</v>
      </c>
      <c r="C1697" s="5"/>
      <c r="F1697" s="5"/>
      <c r="G1697" s="5" t="str">
        <f t="shared" si="2"/>
        <v/>
      </c>
      <c r="H1697" s="5" t="str">
        <f t="shared" si="3"/>
        <v/>
      </c>
      <c r="I1697" s="5" t="str">
        <f t="shared" si="4"/>
        <v/>
      </c>
      <c r="J1697" s="5" t="str">
        <f t="shared" si="5"/>
        <v/>
      </c>
      <c r="K1697" s="5" t="str">
        <f>IFERROR(__xludf.DUMMYFUNCTION("IF(C1697&lt;&gt;"""",HYPERLINK(""https://wa.me/507""&amp;REGEXREPLACE(C1697,""[^0-9]"","""")&amp;""?text=""&amp;ENCODEURL(""Ya llegue. Codigo: ""&amp;A1697&amp;"". Ubicacion: ""&amp;""https://www.google.com/maps/search/?api=1&amp;query=""&amp;SUBSTITUTE(F1697,"" "","""")),""📲 Avisar al clien"&amp;"te""),"""")"),"")</f>
        <v/>
      </c>
      <c r="L1697" s="5" t="str">
        <f>IFERROR(__xludf.DUMMYFUNCTION("IF(C1697&lt;&gt;"""",""https://api.qrserver.com/v1/create-qr-code/?size=200x200&amp;data=""&amp;ENCODEURL(""https://wa.me/507""&amp;REGEXREPLACE(C1697,""[^0-9]"","""")&amp;""?text=""&amp;ENCODEURL(""Ya llegue. Codigo: ""&amp;A1697&amp;"". Ubicacion: ""&amp;""https://www.google.com/maps/search"&amp;"/?api=1&amp;query=""&amp;SUBSTITUTE(F1697,"" "",""""))),"""")"),"")</f>
        <v/>
      </c>
      <c r="M1697" s="5" t="str">
        <f t="shared" si="6"/>
        <v/>
      </c>
      <c r="N1697" s="5" t="str">
        <f>IFERROR(__xludf.DUMMYFUNCTION("IF(AND(F1697&lt;&gt;"""",REGEXMATCH(SUBSTITUTE(F1697,"" "",""""),""^-?\d+(\.\d+)?,-?\d+(\.\d+)?$""),VALUE(REGEXEXTRACT(SUBSTITUTE(F1697,"" "",""""),""^-?\d+(\.\d+)?""))&gt;=-90,VALUE(REGEXEXTRACT(SUBSTITUTE(F1697,"" "",""""),""^-?\d+(\.\d+)?""))&lt;=90,VALUE(REGEXEXT"&amp;"RACT(SUBSTITUTE(F1697,"" "",""""),""-?\d+(\.\d+)?$""))&gt;=-180,VALUE(REGEXEXTRACT(SUBSTITUTE(F1697,"" "",""""),""-?\d+(\.\d+)?$""))&lt;=180),""OK"",""REVISAR"")"),"#N/A")</f>
        <v>#N/A</v>
      </c>
    </row>
    <row r="1698" ht="15.75" customHeight="1">
      <c r="A1698" s="5" t="str">
        <f t="shared" si="1"/>
        <v>AD507-1696</v>
      </c>
      <c r="C1698" s="5"/>
      <c r="F1698" s="5"/>
      <c r="G1698" s="5" t="str">
        <f t="shared" si="2"/>
        <v/>
      </c>
      <c r="H1698" s="5" t="str">
        <f t="shared" si="3"/>
        <v/>
      </c>
      <c r="I1698" s="5" t="str">
        <f t="shared" si="4"/>
        <v/>
      </c>
      <c r="J1698" s="5" t="str">
        <f t="shared" si="5"/>
        <v/>
      </c>
      <c r="K1698" s="5" t="str">
        <f>IFERROR(__xludf.DUMMYFUNCTION("IF(C1698&lt;&gt;"""",HYPERLINK(""https://wa.me/507""&amp;REGEXREPLACE(C1698,""[^0-9]"","""")&amp;""?text=""&amp;ENCODEURL(""Ya llegue. Codigo: ""&amp;A1698&amp;"". Ubicacion: ""&amp;""https://www.google.com/maps/search/?api=1&amp;query=""&amp;SUBSTITUTE(F1698,"" "","""")),""📲 Avisar al clien"&amp;"te""),"""")"),"")</f>
        <v/>
      </c>
      <c r="L1698" s="5" t="str">
        <f>IFERROR(__xludf.DUMMYFUNCTION("IF(C1698&lt;&gt;"""",""https://api.qrserver.com/v1/create-qr-code/?size=200x200&amp;data=""&amp;ENCODEURL(""https://wa.me/507""&amp;REGEXREPLACE(C1698,""[^0-9]"","""")&amp;""?text=""&amp;ENCODEURL(""Ya llegue. Codigo: ""&amp;A1698&amp;"". Ubicacion: ""&amp;""https://www.google.com/maps/search"&amp;"/?api=1&amp;query=""&amp;SUBSTITUTE(F1698,"" "",""""))),"""")"),"")</f>
        <v/>
      </c>
      <c r="M1698" s="5" t="str">
        <f t="shared" si="6"/>
        <v/>
      </c>
      <c r="N1698" s="5" t="str">
        <f>IFERROR(__xludf.DUMMYFUNCTION("IF(AND(F1698&lt;&gt;"""",REGEXMATCH(SUBSTITUTE(F1698,"" "",""""),""^-?\d+(\.\d+)?,-?\d+(\.\d+)?$""),VALUE(REGEXEXTRACT(SUBSTITUTE(F1698,"" "",""""),""^-?\d+(\.\d+)?""))&gt;=-90,VALUE(REGEXEXTRACT(SUBSTITUTE(F1698,"" "",""""),""^-?\d+(\.\d+)?""))&lt;=90,VALUE(REGEXEXT"&amp;"RACT(SUBSTITUTE(F1698,"" "",""""),""-?\d+(\.\d+)?$""))&gt;=-180,VALUE(REGEXEXTRACT(SUBSTITUTE(F1698,"" "",""""),""-?\d+(\.\d+)?$""))&lt;=180),""OK"",""REVISAR"")"),"#N/A")</f>
        <v>#N/A</v>
      </c>
    </row>
    <row r="1699" ht="15.75" customHeight="1">
      <c r="A1699" s="5" t="str">
        <f t="shared" si="1"/>
        <v>AD507-1697</v>
      </c>
      <c r="C1699" s="5"/>
      <c r="F1699" s="5"/>
      <c r="G1699" s="5" t="str">
        <f t="shared" si="2"/>
        <v/>
      </c>
      <c r="H1699" s="5" t="str">
        <f t="shared" si="3"/>
        <v/>
      </c>
      <c r="I1699" s="5" t="str">
        <f t="shared" si="4"/>
        <v/>
      </c>
      <c r="J1699" s="5" t="str">
        <f t="shared" si="5"/>
        <v/>
      </c>
      <c r="K1699" s="5" t="str">
        <f>IFERROR(__xludf.DUMMYFUNCTION("IF(C1699&lt;&gt;"""",HYPERLINK(""https://wa.me/507""&amp;REGEXREPLACE(C1699,""[^0-9]"","""")&amp;""?text=""&amp;ENCODEURL(""Ya llegue. Codigo: ""&amp;A1699&amp;"". Ubicacion: ""&amp;""https://www.google.com/maps/search/?api=1&amp;query=""&amp;SUBSTITUTE(F1699,"" "","""")),""📲 Avisar al clien"&amp;"te""),"""")"),"")</f>
        <v/>
      </c>
      <c r="L1699" s="5" t="str">
        <f>IFERROR(__xludf.DUMMYFUNCTION("IF(C1699&lt;&gt;"""",""https://api.qrserver.com/v1/create-qr-code/?size=200x200&amp;data=""&amp;ENCODEURL(""https://wa.me/507""&amp;REGEXREPLACE(C1699,""[^0-9]"","""")&amp;""?text=""&amp;ENCODEURL(""Ya llegue. Codigo: ""&amp;A1699&amp;"". Ubicacion: ""&amp;""https://www.google.com/maps/search"&amp;"/?api=1&amp;query=""&amp;SUBSTITUTE(F1699,"" "",""""))),"""")"),"")</f>
        <v/>
      </c>
      <c r="M1699" s="5" t="str">
        <f t="shared" si="6"/>
        <v/>
      </c>
      <c r="N1699" s="5" t="str">
        <f>IFERROR(__xludf.DUMMYFUNCTION("IF(AND(F1699&lt;&gt;"""",REGEXMATCH(SUBSTITUTE(F1699,"" "",""""),""^-?\d+(\.\d+)?,-?\d+(\.\d+)?$""),VALUE(REGEXEXTRACT(SUBSTITUTE(F1699,"" "",""""),""^-?\d+(\.\d+)?""))&gt;=-90,VALUE(REGEXEXTRACT(SUBSTITUTE(F1699,"" "",""""),""^-?\d+(\.\d+)?""))&lt;=90,VALUE(REGEXEXT"&amp;"RACT(SUBSTITUTE(F1699,"" "",""""),""-?\d+(\.\d+)?$""))&gt;=-180,VALUE(REGEXEXTRACT(SUBSTITUTE(F1699,"" "",""""),""-?\d+(\.\d+)?$""))&lt;=180),""OK"",""REVISAR"")"),"#N/A")</f>
        <v>#N/A</v>
      </c>
    </row>
    <row r="1700" ht="15.75" customHeight="1">
      <c r="A1700" s="5" t="str">
        <f t="shared" si="1"/>
        <v>AD507-1698</v>
      </c>
      <c r="C1700" s="5"/>
      <c r="F1700" s="5"/>
      <c r="G1700" s="5" t="str">
        <f t="shared" si="2"/>
        <v/>
      </c>
      <c r="H1700" s="5" t="str">
        <f t="shared" si="3"/>
        <v/>
      </c>
      <c r="I1700" s="5" t="str">
        <f t="shared" si="4"/>
        <v/>
      </c>
      <c r="J1700" s="5" t="str">
        <f t="shared" si="5"/>
        <v/>
      </c>
      <c r="K1700" s="5" t="str">
        <f>IFERROR(__xludf.DUMMYFUNCTION("IF(C1700&lt;&gt;"""",HYPERLINK(""https://wa.me/507""&amp;REGEXREPLACE(C1700,""[^0-9]"","""")&amp;""?text=""&amp;ENCODEURL(""Ya llegue. Codigo: ""&amp;A1700&amp;"". Ubicacion: ""&amp;""https://www.google.com/maps/search/?api=1&amp;query=""&amp;SUBSTITUTE(F1700,"" "","""")),""📲 Avisar al clien"&amp;"te""),"""")"),"")</f>
        <v/>
      </c>
      <c r="L1700" s="5" t="str">
        <f>IFERROR(__xludf.DUMMYFUNCTION("IF(C1700&lt;&gt;"""",""https://api.qrserver.com/v1/create-qr-code/?size=200x200&amp;data=""&amp;ENCODEURL(""https://wa.me/507""&amp;REGEXREPLACE(C1700,""[^0-9]"","""")&amp;""?text=""&amp;ENCODEURL(""Ya llegue. Codigo: ""&amp;A1700&amp;"". Ubicacion: ""&amp;""https://www.google.com/maps/search"&amp;"/?api=1&amp;query=""&amp;SUBSTITUTE(F1700,"" "",""""))),"""")"),"")</f>
        <v/>
      </c>
      <c r="M1700" s="5" t="str">
        <f t="shared" si="6"/>
        <v/>
      </c>
      <c r="N1700" s="5" t="str">
        <f>IFERROR(__xludf.DUMMYFUNCTION("IF(AND(F1700&lt;&gt;"""",REGEXMATCH(SUBSTITUTE(F1700,"" "",""""),""^-?\d+(\.\d+)?,-?\d+(\.\d+)?$""),VALUE(REGEXEXTRACT(SUBSTITUTE(F1700,"" "",""""),""^-?\d+(\.\d+)?""))&gt;=-90,VALUE(REGEXEXTRACT(SUBSTITUTE(F1700,"" "",""""),""^-?\d+(\.\d+)?""))&lt;=90,VALUE(REGEXEXT"&amp;"RACT(SUBSTITUTE(F1700,"" "",""""),""-?\d+(\.\d+)?$""))&gt;=-180,VALUE(REGEXEXTRACT(SUBSTITUTE(F1700,"" "",""""),""-?\d+(\.\d+)?$""))&lt;=180),""OK"",""REVISAR"")"),"#N/A")</f>
        <v>#N/A</v>
      </c>
    </row>
    <row r="1701" ht="15.75" customHeight="1">
      <c r="A1701" s="5" t="str">
        <f t="shared" si="1"/>
        <v>AD507-1699</v>
      </c>
      <c r="C1701" s="5"/>
      <c r="F1701" s="5"/>
      <c r="G1701" s="5" t="str">
        <f t="shared" si="2"/>
        <v/>
      </c>
      <c r="H1701" s="5" t="str">
        <f t="shared" si="3"/>
        <v/>
      </c>
      <c r="I1701" s="5" t="str">
        <f t="shared" si="4"/>
        <v/>
      </c>
      <c r="J1701" s="5" t="str">
        <f t="shared" si="5"/>
        <v/>
      </c>
      <c r="K1701" s="5" t="str">
        <f>IFERROR(__xludf.DUMMYFUNCTION("IF(C1701&lt;&gt;"""",HYPERLINK(""https://wa.me/507""&amp;REGEXREPLACE(C1701,""[^0-9]"","""")&amp;""?text=""&amp;ENCODEURL(""Ya llegue. Codigo: ""&amp;A1701&amp;"". Ubicacion: ""&amp;""https://www.google.com/maps/search/?api=1&amp;query=""&amp;SUBSTITUTE(F1701,"" "","""")),""📲 Avisar al clien"&amp;"te""),"""")"),"")</f>
        <v/>
      </c>
      <c r="L1701" s="5" t="str">
        <f>IFERROR(__xludf.DUMMYFUNCTION("IF(C1701&lt;&gt;"""",""https://api.qrserver.com/v1/create-qr-code/?size=200x200&amp;data=""&amp;ENCODEURL(""https://wa.me/507""&amp;REGEXREPLACE(C1701,""[^0-9]"","""")&amp;""?text=""&amp;ENCODEURL(""Ya llegue. Codigo: ""&amp;A1701&amp;"". Ubicacion: ""&amp;""https://www.google.com/maps/search"&amp;"/?api=1&amp;query=""&amp;SUBSTITUTE(F1701,"" "",""""))),"""")"),"")</f>
        <v/>
      </c>
      <c r="M1701" s="5" t="str">
        <f t="shared" si="6"/>
        <v/>
      </c>
      <c r="N1701" s="5" t="str">
        <f>IFERROR(__xludf.DUMMYFUNCTION("IF(AND(F1701&lt;&gt;"""",REGEXMATCH(SUBSTITUTE(F1701,"" "",""""),""^-?\d+(\.\d+)?,-?\d+(\.\d+)?$""),VALUE(REGEXEXTRACT(SUBSTITUTE(F1701,"" "",""""),""^-?\d+(\.\d+)?""))&gt;=-90,VALUE(REGEXEXTRACT(SUBSTITUTE(F1701,"" "",""""),""^-?\d+(\.\d+)?""))&lt;=90,VALUE(REGEXEXT"&amp;"RACT(SUBSTITUTE(F1701,"" "",""""),""-?\d+(\.\d+)?$""))&gt;=-180,VALUE(REGEXEXTRACT(SUBSTITUTE(F1701,"" "",""""),""-?\d+(\.\d+)?$""))&lt;=180),""OK"",""REVISAR"")"),"#N/A")</f>
        <v>#N/A</v>
      </c>
    </row>
    <row r="1702" ht="15.75" customHeight="1">
      <c r="A1702" s="5" t="str">
        <f t="shared" si="1"/>
        <v>AD507-1700</v>
      </c>
      <c r="C1702" s="5"/>
      <c r="F1702" s="5"/>
      <c r="G1702" s="5" t="str">
        <f t="shared" si="2"/>
        <v/>
      </c>
      <c r="H1702" s="5" t="str">
        <f t="shared" si="3"/>
        <v/>
      </c>
      <c r="I1702" s="5" t="str">
        <f t="shared" si="4"/>
        <v/>
      </c>
      <c r="J1702" s="5" t="str">
        <f t="shared" si="5"/>
        <v/>
      </c>
      <c r="K1702" s="5" t="str">
        <f>IFERROR(__xludf.DUMMYFUNCTION("IF(C1702&lt;&gt;"""",HYPERLINK(""https://wa.me/507""&amp;REGEXREPLACE(C1702,""[^0-9]"","""")&amp;""?text=""&amp;ENCODEURL(""Ya llegue. Codigo: ""&amp;A1702&amp;"". Ubicacion: ""&amp;""https://www.google.com/maps/search/?api=1&amp;query=""&amp;SUBSTITUTE(F1702,"" "","""")),""📲 Avisar al clien"&amp;"te""),"""")"),"")</f>
        <v/>
      </c>
      <c r="L1702" s="5" t="str">
        <f>IFERROR(__xludf.DUMMYFUNCTION("IF(C1702&lt;&gt;"""",""https://api.qrserver.com/v1/create-qr-code/?size=200x200&amp;data=""&amp;ENCODEURL(""https://wa.me/507""&amp;REGEXREPLACE(C1702,""[^0-9]"","""")&amp;""?text=""&amp;ENCODEURL(""Ya llegue. Codigo: ""&amp;A1702&amp;"". Ubicacion: ""&amp;""https://www.google.com/maps/search"&amp;"/?api=1&amp;query=""&amp;SUBSTITUTE(F1702,"" "",""""))),"""")"),"")</f>
        <v/>
      </c>
      <c r="M1702" s="5" t="str">
        <f t="shared" si="6"/>
        <v/>
      </c>
      <c r="N1702" s="5" t="str">
        <f>IFERROR(__xludf.DUMMYFUNCTION("IF(AND(F1702&lt;&gt;"""",REGEXMATCH(SUBSTITUTE(F1702,"" "",""""),""^-?\d+(\.\d+)?,-?\d+(\.\d+)?$""),VALUE(REGEXEXTRACT(SUBSTITUTE(F1702,"" "",""""),""^-?\d+(\.\d+)?""))&gt;=-90,VALUE(REGEXEXTRACT(SUBSTITUTE(F1702,"" "",""""),""^-?\d+(\.\d+)?""))&lt;=90,VALUE(REGEXEXT"&amp;"RACT(SUBSTITUTE(F1702,"" "",""""),""-?\d+(\.\d+)?$""))&gt;=-180,VALUE(REGEXEXTRACT(SUBSTITUTE(F1702,"" "",""""),""-?\d+(\.\d+)?$""))&lt;=180),""OK"",""REVISAR"")"),"#N/A")</f>
        <v>#N/A</v>
      </c>
    </row>
    <row r="1703" ht="15.75" customHeight="1">
      <c r="A1703" s="5" t="str">
        <f t="shared" si="1"/>
        <v>AD507-1701</v>
      </c>
      <c r="C1703" s="5"/>
      <c r="F1703" s="5"/>
      <c r="G1703" s="5" t="str">
        <f t="shared" si="2"/>
        <v/>
      </c>
      <c r="H1703" s="5" t="str">
        <f t="shared" si="3"/>
        <v/>
      </c>
      <c r="I1703" s="5" t="str">
        <f t="shared" si="4"/>
        <v/>
      </c>
      <c r="J1703" s="5" t="str">
        <f t="shared" si="5"/>
        <v/>
      </c>
      <c r="K1703" s="5" t="str">
        <f>IFERROR(__xludf.DUMMYFUNCTION("IF(C1703&lt;&gt;"""",HYPERLINK(""https://wa.me/507""&amp;REGEXREPLACE(C1703,""[^0-9]"","""")&amp;""?text=""&amp;ENCODEURL(""Ya llegue. Codigo: ""&amp;A1703&amp;"". Ubicacion: ""&amp;""https://www.google.com/maps/search/?api=1&amp;query=""&amp;SUBSTITUTE(F1703,"" "","""")),""📲 Avisar al clien"&amp;"te""),"""")"),"")</f>
        <v/>
      </c>
      <c r="L1703" s="5" t="str">
        <f>IFERROR(__xludf.DUMMYFUNCTION("IF(C1703&lt;&gt;"""",""https://api.qrserver.com/v1/create-qr-code/?size=200x200&amp;data=""&amp;ENCODEURL(""https://wa.me/507""&amp;REGEXREPLACE(C1703,""[^0-9]"","""")&amp;""?text=""&amp;ENCODEURL(""Ya llegue. Codigo: ""&amp;A1703&amp;"". Ubicacion: ""&amp;""https://www.google.com/maps/search"&amp;"/?api=1&amp;query=""&amp;SUBSTITUTE(F1703,"" "",""""))),"""")"),"")</f>
        <v/>
      </c>
      <c r="M1703" s="5" t="str">
        <f t="shared" si="6"/>
        <v/>
      </c>
      <c r="N1703" s="5" t="str">
        <f>IFERROR(__xludf.DUMMYFUNCTION("IF(AND(F1703&lt;&gt;"""",REGEXMATCH(SUBSTITUTE(F1703,"" "",""""),""^-?\d+(\.\d+)?,-?\d+(\.\d+)?$""),VALUE(REGEXEXTRACT(SUBSTITUTE(F1703,"" "",""""),""^-?\d+(\.\d+)?""))&gt;=-90,VALUE(REGEXEXTRACT(SUBSTITUTE(F1703,"" "",""""),""^-?\d+(\.\d+)?""))&lt;=90,VALUE(REGEXEXT"&amp;"RACT(SUBSTITUTE(F1703,"" "",""""),""-?\d+(\.\d+)?$""))&gt;=-180,VALUE(REGEXEXTRACT(SUBSTITUTE(F1703,"" "",""""),""-?\d+(\.\d+)?$""))&lt;=180),""OK"",""REVISAR"")"),"#N/A")</f>
        <v>#N/A</v>
      </c>
    </row>
    <row r="1704" ht="15.75" customHeight="1">
      <c r="A1704" s="5" t="str">
        <f t="shared" si="1"/>
        <v>AD507-1702</v>
      </c>
      <c r="C1704" s="5"/>
      <c r="F1704" s="5"/>
      <c r="G1704" s="5" t="str">
        <f t="shared" si="2"/>
        <v/>
      </c>
      <c r="H1704" s="5" t="str">
        <f t="shared" si="3"/>
        <v/>
      </c>
      <c r="I1704" s="5" t="str">
        <f t="shared" si="4"/>
        <v/>
      </c>
      <c r="J1704" s="5" t="str">
        <f t="shared" si="5"/>
        <v/>
      </c>
      <c r="K1704" s="5" t="str">
        <f>IFERROR(__xludf.DUMMYFUNCTION("IF(C1704&lt;&gt;"""",HYPERLINK(""https://wa.me/507""&amp;REGEXREPLACE(C1704,""[^0-9]"","""")&amp;""?text=""&amp;ENCODEURL(""Ya llegue. Codigo: ""&amp;A1704&amp;"". Ubicacion: ""&amp;""https://www.google.com/maps/search/?api=1&amp;query=""&amp;SUBSTITUTE(F1704,"" "","""")),""📲 Avisar al clien"&amp;"te""),"""")"),"")</f>
        <v/>
      </c>
      <c r="L1704" s="5" t="str">
        <f>IFERROR(__xludf.DUMMYFUNCTION("IF(C1704&lt;&gt;"""",""https://api.qrserver.com/v1/create-qr-code/?size=200x200&amp;data=""&amp;ENCODEURL(""https://wa.me/507""&amp;REGEXREPLACE(C1704,""[^0-9]"","""")&amp;""?text=""&amp;ENCODEURL(""Ya llegue. Codigo: ""&amp;A1704&amp;"". Ubicacion: ""&amp;""https://www.google.com/maps/search"&amp;"/?api=1&amp;query=""&amp;SUBSTITUTE(F1704,"" "",""""))),"""")"),"")</f>
        <v/>
      </c>
      <c r="M1704" s="5" t="str">
        <f t="shared" si="6"/>
        <v/>
      </c>
      <c r="N1704" s="5" t="str">
        <f>IFERROR(__xludf.DUMMYFUNCTION("IF(AND(F1704&lt;&gt;"""",REGEXMATCH(SUBSTITUTE(F1704,"" "",""""),""^-?\d+(\.\d+)?,-?\d+(\.\d+)?$""),VALUE(REGEXEXTRACT(SUBSTITUTE(F1704,"" "",""""),""^-?\d+(\.\d+)?""))&gt;=-90,VALUE(REGEXEXTRACT(SUBSTITUTE(F1704,"" "",""""),""^-?\d+(\.\d+)?""))&lt;=90,VALUE(REGEXEXT"&amp;"RACT(SUBSTITUTE(F1704,"" "",""""),""-?\d+(\.\d+)?$""))&gt;=-180,VALUE(REGEXEXTRACT(SUBSTITUTE(F1704,"" "",""""),""-?\d+(\.\d+)?$""))&lt;=180),""OK"",""REVISAR"")"),"#N/A")</f>
        <v>#N/A</v>
      </c>
    </row>
    <row r="1705" ht="15.75" customHeight="1">
      <c r="A1705" s="5" t="str">
        <f t="shared" si="1"/>
        <v>AD507-1703</v>
      </c>
      <c r="C1705" s="5"/>
      <c r="F1705" s="5"/>
      <c r="G1705" s="5" t="str">
        <f t="shared" si="2"/>
        <v/>
      </c>
      <c r="H1705" s="5" t="str">
        <f t="shared" si="3"/>
        <v/>
      </c>
      <c r="I1705" s="5" t="str">
        <f t="shared" si="4"/>
        <v/>
      </c>
      <c r="J1705" s="5" t="str">
        <f t="shared" si="5"/>
        <v/>
      </c>
      <c r="K1705" s="5" t="str">
        <f>IFERROR(__xludf.DUMMYFUNCTION("IF(C1705&lt;&gt;"""",HYPERLINK(""https://wa.me/507""&amp;REGEXREPLACE(C1705,""[^0-9]"","""")&amp;""?text=""&amp;ENCODEURL(""Ya llegue. Codigo: ""&amp;A1705&amp;"". Ubicacion: ""&amp;""https://www.google.com/maps/search/?api=1&amp;query=""&amp;SUBSTITUTE(F1705,"" "","""")),""📲 Avisar al clien"&amp;"te""),"""")"),"")</f>
        <v/>
      </c>
      <c r="L1705" s="5" t="str">
        <f>IFERROR(__xludf.DUMMYFUNCTION("IF(C1705&lt;&gt;"""",""https://api.qrserver.com/v1/create-qr-code/?size=200x200&amp;data=""&amp;ENCODEURL(""https://wa.me/507""&amp;REGEXREPLACE(C1705,""[^0-9]"","""")&amp;""?text=""&amp;ENCODEURL(""Ya llegue. Codigo: ""&amp;A1705&amp;"". Ubicacion: ""&amp;""https://www.google.com/maps/search"&amp;"/?api=1&amp;query=""&amp;SUBSTITUTE(F1705,"" "",""""))),"""")"),"")</f>
        <v/>
      </c>
      <c r="M1705" s="5" t="str">
        <f t="shared" si="6"/>
        <v/>
      </c>
      <c r="N1705" s="5" t="str">
        <f>IFERROR(__xludf.DUMMYFUNCTION("IF(AND(F1705&lt;&gt;"""",REGEXMATCH(SUBSTITUTE(F1705,"" "",""""),""^-?\d+(\.\d+)?,-?\d+(\.\d+)?$""),VALUE(REGEXEXTRACT(SUBSTITUTE(F1705,"" "",""""),""^-?\d+(\.\d+)?""))&gt;=-90,VALUE(REGEXEXTRACT(SUBSTITUTE(F1705,"" "",""""),""^-?\d+(\.\d+)?""))&lt;=90,VALUE(REGEXEXT"&amp;"RACT(SUBSTITUTE(F1705,"" "",""""),""-?\d+(\.\d+)?$""))&gt;=-180,VALUE(REGEXEXTRACT(SUBSTITUTE(F1705,"" "",""""),""-?\d+(\.\d+)?$""))&lt;=180),""OK"",""REVISAR"")"),"#N/A")</f>
        <v>#N/A</v>
      </c>
    </row>
    <row r="1706" ht="15.75" customHeight="1">
      <c r="A1706" s="5" t="str">
        <f t="shared" si="1"/>
        <v>AD507-1704</v>
      </c>
      <c r="C1706" s="5"/>
      <c r="F1706" s="5"/>
      <c r="G1706" s="5" t="str">
        <f t="shared" si="2"/>
        <v/>
      </c>
      <c r="H1706" s="5" t="str">
        <f t="shared" si="3"/>
        <v/>
      </c>
      <c r="I1706" s="5" t="str">
        <f t="shared" si="4"/>
        <v/>
      </c>
      <c r="J1706" s="5" t="str">
        <f t="shared" si="5"/>
        <v/>
      </c>
      <c r="K1706" s="5" t="str">
        <f>IFERROR(__xludf.DUMMYFUNCTION("IF(C1706&lt;&gt;"""",HYPERLINK(""https://wa.me/507""&amp;REGEXREPLACE(C1706,""[^0-9]"","""")&amp;""?text=""&amp;ENCODEURL(""Ya llegue. Codigo: ""&amp;A1706&amp;"". Ubicacion: ""&amp;""https://www.google.com/maps/search/?api=1&amp;query=""&amp;SUBSTITUTE(F1706,"" "","""")),""📲 Avisar al clien"&amp;"te""),"""")"),"")</f>
        <v/>
      </c>
      <c r="L1706" s="5" t="str">
        <f>IFERROR(__xludf.DUMMYFUNCTION("IF(C1706&lt;&gt;"""",""https://api.qrserver.com/v1/create-qr-code/?size=200x200&amp;data=""&amp;ENCODEURL(""https://wa.me/507""&amp;REGEXREPLACE(C1706,""[^0-9]"","""")&amp;""?text=""&amp;ENCODEURL(""Ya llegue. Codigo: ""&amp;A1706&amp;"". Ubicacion: ""&amp;""https://www.google.com/maps/search"&amp;"/?api=1&amp;query=""&amp;SUBSTITUTE(F1706,"" "",""""))),"""")"),"")</f>
        <v/>
      </c>
      <c r="M1706" s="5" t="str">
        <f t="shared" si="6"/>
        <v/>
      </c>
      <c r="N1706" s="5" t="str">
        <f>IFERROR(__xludf.DUMMYFUNCTION("IF(AND(F1706&lt;&gt;"""",REGEXMATCH(SUBSTITUTE(F1706,"" "",""""),""^-?\d+(\.\d+)?,-?\d+(\.\d+)?$""),VALUE(REGEXEXTRACT(SUBSTITUTE(F1706,"" "",""""),""^-?\d+(\.\d+)?""))&gt;=-90,VALUE(REGEXEXTRACT(SUBSTITUTE(F1706,"" "",""""),""^-?\d+(\.\d+)?""))&lt;=90,VALUE(REGEXEXT"&amp;"RACT(SUBSTITUTE(F1706,"" "",""""),""-?\d+(\.\d+)?$""))&gt;=-180,VALUE(REGEXEXTRACT(SUBSTITUTE(F1706,"" "",""""),""-?\d+(\.\d+)?$""))&lt;=180),""OK"",""REVISAR"")"),"#N/A")</f>
        <v>#N/A</v>
      </c>
    </row>
    <row r="1707" ht="15.75" customHeight="1">
      <c r="A1707" s="5" t="str">
        <f t="shared" si="1"/>
        <v>AD507-1705</v>
      </c>
      <c r="C1707" s="5"/>
      <c r="F1707" s="5"/>
      <c r="G1707" s="5" t="str">
        <f t="shared" si="2"/>
        <v/>
      </c>
      <c r="H1707" s="5" t="str">
        <f t="shared" si="3"/>
        <v/>
      </c>
      <c r="I1707" s="5" t="str">
        <f t="shared" si="4"/>
        <v/>
      </c>
      <c r="J1707" s="5" t="str">
        <f t="shared" si="5"/>
        <v/>
      </c>
      <c r="K1707" s="5" t="str">
        <f>IFERROR(__xludf.DUMMYFUNCTION("IF(C1707&lt;&gt;"""",HYPERLINK(""https://wa.me/507""&amp;REGEXREPLACE(C1707,""[^0-9]"","""")&amp;""?text=""&amp;ENCODEURL(""Ya llegue. Codigo: ""&amp;A1707&amp;"". Ubicacion: ""&amp;""https://www.google.com/maps/search/?api=1&amp;query=""&amp;SUBSTITUTE(F1707,"" "","""")),""📲 Avisar al clien"&amp;"te""),"""")"),"")</f>
        <v/>
      </c>
      <c r="L1707" s="5" t="str">
        <f>IFERROR(__xludf.DUMMYFUNCTION("IF(C1707&lt;&gt;"""",""https://api.qrserver.com/v1/create-qr-code/?size=200x200&amp;data=""&amp;ENCODEURL(""https://wa.me/507""&amp;REGEXREPLACE(C1707,""[^0-9]"","""")&amp;""?text=""&amp;ENCODEURL(""Ya llegue. Codigo: ""&amp;A1707&amp;"". Ubicacion: ""&amp;""https://www.google.com/maps/search"&amp;"/?api=1&amp;query=""&amp;SUBSTITUTE(F1707,"" "",""""))),"""")"),"")</f>
        <v/>
      </c>
      <c r="M1707" s="5" t="str">
        <f t="shared" si="6"/>
        <v/>
      </c>
      <c r="N1707" s="5" t="str">
        <f>IFERROR(__xludf.DUMMYFUNCTION("IF(AND(F1707&lt;&gt;"""",REGEXMATCH(SUBSTITUTE(F1707,"" "",""""),""^-?\d+(\.\d+)?,-?\d+(\.\d+)?$""),VALUE(REGEXEXTRACT(SUBSTITUTE(F1707,"" "",""""),""^-?\d+(\.\d+)?""))&gt;=-90,VALUE(REGEXEXTRACT(SUBSTITUTE(F1707,"" "",""""),""^-?\d+(\.\d+)?""))&lt;=90,VALUE(REGEXEXT"&amp;"RACT(SUBSTITUTE(F1707,"" "",""""),""-?\d+(\.\d+)?$""))&gt;=-180,VALUE(REGEXEXTRACT(SUBSTITUTE(F1707,"" "",""""),""-?\d+(\.\d+)?$""))&lt;=180),""OK"",""REVISAR"")"),"#N/A")</f>
        <v>#N/A</v>
      </c>
    </row>
    <row r="1708" ht="15.75" customHeight="1">
      <c r="A1708" s="5" t="str">
        <f t="shared" si="1"/>
        <v>AD507-1706</v>
      </c>
      <c r="C1708" s="5"/>
      <c r="F1708" s="5"/>
      <c r="G1708" s="5" t="str">
        <f t="shared" si="2"/>
        <v/>
      </c>
      <c r="H1708" s="5" t="str">
        <f t="shared" si="3"/>
        <v/>
      </c>
      <c r="I1708" s="5" t="str">
        <f t="shared" si="4"/>
        <v/>
      </c>
      <c r="J1708" s="5" t="str">
        <f t="shared" si="5"/>
        <v/>
      </c>
      <c r="K1708" s="5" t="str">
        <f>IFERROR(__xludf.DUMMYFUNCTION("IF(C1708&lt;&gt;"""",HYPERLINK(""https://wa.me/507""&amp;REGEXREPLACE(C1708,""[^0-9]"","""")&amp;""?text=""&amp;ENCODEURL(""Ya llegue. Codigo: ""&amp;A1708&amp;"". Ubicacion: ""&amp;""https://www.google.com/maps/search/?api=1&amp;query=""&amp;SUBSTITUTE(F1708,"" "","""")),""📲 Avisar al clien"&amp;"te""),"""")"),"")</f>
        <v/>
      </c>
      <c r="L1708" s="5" t="str">
        <f>IFERROR(__xludf.DUMMYFUNCTION("IF(C1708&lt;&gt;"""",""https://api.qrserver.com/v1/create-qr-code/?size=200x200&amp;data=""&amp;ENCODEURL(""https://wa.me/507""&amp;REGEXREPLACE(C1708,""[^0-9]"","""")&amp;""?text=""&amp;ENCODEURL(""Ya llegue. Codigo: ""&amp;A1708&amp;"". Ubicacion: ""&amp;""https://www.google.com/maps/search"&amp;"/?api=1&amp;query=""&amp;SUBSTITUTE(F1708,"" "",""""))),"""")"),"")</f>
        <v/>
      </c>
      <c r="M1708" s="5" t="str">
        <f t="shared" si="6"/>
        <v/>
      </c>
      <c r="N1708" s="5" t="str">
        <f>IFERROR(__xludf.DUMMYFUNCTION("IF(AND(F1708&lt;&gt;"""",REGEXMATCH(SUBSTITUTE(F1708,"" "",""""),""^-?\d+(\.\d+)?,-?\d+(\.\d+)?$""),VALUE(REGEXEXTRACT(SUBSTITUTE(F1708,"" "",""""),""^-?\d+(\.\d+)?""))&gt;=-90,VALUE(REGEXEXTRACT(SUBSTITUTE(F1708,"" "",""""),""^-?\d+(\.\d+)?""))&lt;=90,VALUE(REGEXEXT"&amp;"RACT(SUBSTITUTE(F1708,"" "",""""),""-?\d+(\.\d+)?$""))&gt;=-180,VALUE(REGEXEXTRACT(SUBSTITUTE(F1708,"" "",""""),""-?\d+(\.\d+)?$""))&lt;=180),""OK"",""REVISAR"")"),"#N/A")</f>
        <v>#N/A</v>
      </c>
    </row>
    <row r="1709" ht="15.75" customHeight="1">
      <c r="A1709" s="5" t="str">
        <f t="shared" si="1"/>
        <v>AD507-1707</v>
      </c>
      <c r="C1709" s="5"/>
      <c r="F1709" s="5"/>
      <c r="G1709" s="5" t="str">
        <f t="shared" si="2"/>
        <v/>
      </c>
      <c r="H1709" s="5" t="str">
        <f t="shared" si="3"/>
        <v/>
      </c>
      <c r="I1709" s="5" t="str">
        <f t="shared" si="4"/>
        <v/>
      </c>
      <c r="J1709" s="5" t="str">
        <f t="shared" si="5"/>
        <v/>
      </c>
      <c r="K1709" s="5" t="str">
        <f>IFERROR(__xludf.DUMMYFUNCTION("IF(C1709&lt;&gt;"""",HYPERLINK(""https://wa.me/507""&amp;REGEXREPLACE(C1709,""[^0-9]"","""")&amp;""?text=""&amp;ENCODEURL(""Ya llegue. Codigo: ""&amp;A1709&amp;"". Ubicacion: ""&amp;""https://www.google.com/maps/search/?api=1&amp;query=""&amp;SUBSTITUTE(F1709,"" "","""")),""📲 Avisar al clien"&amp;"te""),"""")"),"")</f>
        <v/>
      </c>
      <c r="L1709" s="5" t="str">
        <f>IFERROR(__xludf.DUMMYFUNCTION("IF(C1709&lt;&gt;"""",""https://api.qrserver.com/v1/create-qr-code/?size=200x200&amp;data=""&amp;ENCODEURL(""https://wa.me/507""&amp;REGEXREPLACE(C1709,""[^0-9]"","""")&amp;""?text=""&amp;ENCODEURL(""Ya llegue. Codigo: ""&amp;A1709&amp;"". Ubicacion: ""&amp;""https://www.google.com/maps/search"&amp;"/?api=1&amp;query=""&amp;SUBSTITUTE(F1709,"" "",""""))),"""")"),"")</f>
        <v/>
      </c>
      <c r="M1709" s="5" t="str">
        <f t="shared" si="6"/>
        <v/>
      </c>
      <c r="N1709" s="5" t="str">
        <f>IFERROR(__xludf.DUMMYFUNCTION("IF(AND(F1709&lt;&gt;"""",REGEXMATCH(SUBSTITUTE(F1709,"" "",""""),""^-?\d+(\.\d+)?,-?\d+(\.\d+)?$""),VALUE(REGEXEXTRACT(SUBSTITUTE(F1709,"" "",""""),""^-?\d+(\.\d+)?""))&gt;=-90,VALUE(REGEXEXTRACT(SUBSTITUTE(F1709,"" "",""""),""^-?\d+(\.\d+)?""))&lt;=90,VALUE(REGEXEXT"&amp;"RACT(SUBSTITUTE(F1709,"" "",""""),""-?\d+(\.\d+)?$""))&gt;=-180,VALUE(REGEXEXTRACT(SUBSTITUTE(F1709,"" "",""""),""-?\d+(\.\d+)?$""))&lt;=180),""OK"",""REVISAR"")"),"#N/A")</f>
        <v>#N/A</v>
      </c>
    </row>
    <row r="1710" ht="15.75" customHeight="1">
      <c r="A1710" s="5" t="str">
        <f t="shared" si="1"/>
        <v>AD507-1708</v>
      </c>
      <c r="C1710" s="5"/>
      <c r="F1710" s="5"/>
      <c r="G1710" s="5" t="str">
        <f t="shared" si="2"/>
        <v/>
      </c>
      <c r="H1710" s="5" t="str">
        <f t="shared" si="3"/>
        <v/>
      </c>
      <c r="I1710" s="5" t="str">
        <f t="shared" si="4"/>
        <v/>
      </c>
      <c r="J1710" s="5" t="str">
        <f t="shared" si="5"/>
        <v/>
      </c>
      <c r="K1710" s="5" t="str">
        <f>IFERROR(__xludf.DUMMYFUNCTION("IF(C1710&lt;&gt;"""",HYPERLINK(""https://wa.me/507""&amp;REGEXREPLACE(C1710,""[^0-9]"","""")&amp;""?text=""&amp;ENCODEURL(""Ya llegue. Codigo: ""&amp;A1710&amp;"". Ubicacion: ""&amp;""https://www.google.com/maps/search/?api=1&amp;query=""&amp;SUBSTITUTE(F1710,"" "","""")),""📲 Avisar al clien"&amp;"te""),"""")"),"")</f>
        <v/>
      </c>
      <c r="L1710" s="5" t="str">
        <f>IFERROR(__xludf.DUMMYFUNCTION("IF(C1710&lt;&gt;"""",""https://api.qrserver.com/v1/create-qr-code/?size=200x200&amp;data=""&amp;ENCODEURL(""https://wa.me/507""&amp;REGEXREPLACE(C1710,""[^0-9]"","""")&amp;""?text=""&amp;ENCODEURL(""Ya llegue. Codigo: ""&amp;A1710&amp;"". Ubicacion: ""&amp;""https://www.google.com/maps/search"&amp;"/?api=1&amp;query=""&amp;SUBSTITUTE(F1710,"" "",""""))),"""")"),"")</f>
        <v/>
      </c>
      <c r="M1710" s="5" t="str">
        <f t="shared" si="6"/>
        <v/>
      </c>
      <c r="N1710" s="5" t="str">
        <f>IFERROR(__xludf.DUMMYFUNCTION("IF(AND(F1710&lt;&gt;"""",REGEXMATCH(SUBSTITUTE(F1710,"" "",""""),""^-?\d+(\.\d+)?,-?\d+(\.\d+)?$""),VALUE(REGEXEXTRACT(SUBSTITUTE(F1710,"" "",""""),""^-?\d+(\.\d+)?""))&gt;=-90,VALUE(REGEXEXTRACT(SUBSTITUTE(F1710,"" "",""""),""^-?\d+(\.\d+)?""))&lt;=90,VALUE(REGEXEXT"&amp;"RACT(SUBSTITUTE(F1710,"" "",""""),""-?\d+(\.\d+)?$""))&gt;=-180,VALUE(REGEXEXTRACT(SUBSTITUTE(F1710,"" "",""""),""-?\d+(\.\d+)?$""))&lt;=180),""OK"",""REVISAR"")"),"#N/A")</f>
        <v>#N/A</v>
      </c>
    </row>
    <row r="1711" ht="15.75" customHeight="1">
      <c r="A1711" s="5" t="str">
        <f t="shared" si="1"/>
        <v>AD507-1709</v>
      </c>
      <c r="C1711" s="5"/>
      <c r="F1711" s="5"/>
      <c r="G1711" s="5" t="str">
        <f t="shared" si="2"/>
        <v/>
      </c>
      <c r="H1711" s="5" t="str">
        <f t="shared" si="3"/>
        <v/>
      </c>
      <c r="I1711" s="5" t="str">
        <f t="shared" si="4"/>
        <v/>
      </c>
      <c r="J1711" s="5" t="str">
        <f t="shared" si="5"/>
        <v/>
      </c>
      <c r="K1711" s="5" t="str">
        <f>IFERROR(__xludf.DUMMYFUNCTION("IF(C1711&lt;&gt;"""",HYPERLINK(""https://wa.me/507""&amp;REGEXREPLACE(C1711,""[^0-9]"","""")&amp;""?text=""&amp;ENCODEURL(""Ya llegue. Codigo: ""&amp;A1711&amp;"". Ubicacion: ""&amp;""https://www.google.com/maps/search/?api=1&amp;query=""&amp;SUBSTITUTE(F1711,"" "","""")),""📲 Avisar al clien"&amp;"te""),"""")"),"")</f>
        <v/>
      </c>
      <c r="L1711" s="5" t="str">
        <f>IFERROR(__xludf.DUMMYFUNCTION("IF(C1711&lt;&gt;"""",""https://api.qrserver.com/v1/create-qr-code/?size=200x200&amp;data=""&amp;ENCODEURL(""https://wa.me/507""&amp;REGEXREPLACE(C1711,""[^0-9]"","""")&amp;""?text=""&amp;ENCODEURL(""Ya llegue. Codigo: ""&amp;A1711&amp;"". Ubicacion: ""&amp;""https://www.google.com/maps/search"&amp;"/?api=1&amp;query=""&amp;SUBSTITUTE(F1711,"" "",""""))),"""")"),"")</f>
        <v/>
      </c>
      <c r="M1711" s="5" t="str">
        <f t="shared" si="6"/>
        <v/>
      </c>
      <c r="N1711" s="5" t="str">
        <f>IFERROR(__xludf.DUMMYFUNCTION("IF(AND(F1711&lt;&gt;"""",REGEXMATCH(SUBSTITUTE(F1711,"" "",""""),""^-?\d+(\.\d+)?,-?\d+(\.\d+)?$""),VALUE(REGEXEXTRACT(SUBSTITUTE(F1711,"" "",""""),""^-?\d+(\.\d+)?""))&gt;=-90,VALUE(REGEXEXTRACT(SUBSTITUTE(F1711,"" "",""""),""^-?\d+(\.\d+)?""))&lt;=90,VALUE(REGEXEXT"&amp;"RACT(SUBSTITUTE(F1711,"" "",""""),""-?\d+(\.\d+)?$""))&gt;=-180,VALUE(REGEXEXTRACT(SUBSTITUTE(F1711,"" "",""""),""-?\d+(\.\d+)?$""))&lt;=180),""OK"",""REVISAR"")"),"#N/A")</f>
        <v>#N/A</v>
      </c>
    </row>
    <row r="1712" ht="15.75" customHeight="1">
      <c r="A1712" s="5" t="str">
        <f t="shared" si="1"/>
        <v>AD507-1710</v>
      </c>
      <c r="C1712" s="5"/>
      <c r="F1712" s="5"/>
      <c r="G1712" s="5" t="str">
        <f t="shared" si="2"/>
        <v/>
      </c>
      <c r="H1712" s="5" t="str">
        <f t="shared" si="3"/>
        <v/>
      </c>
      <c r="I1712" s="5" t="str">
        <f t="shared" si="4"/>
        <v/>
      </c>
      <c r="J1712" s="5" t="str">
        <f t="shared" si="5"/>
        <v/>
      </c>
      <c r="K1712" s="5" t="str">
        <f>IFERROR(__xludf.DUMMYFUNCTION("IF(C1712&lt;&gt;"""",HYPERLINK(""https://wa.me/507""&amp;REGEXREPLACE(C1712,""[^0-9]"","""")&amp;""?text=""&amp;ENCODEURL(""Ya llegue. Codigo: ""&amp;A1712&amp;"". Ubicacion: ""&amp;""https://www.google.com/maps/search/?api=1&amp;query=""&amp;SUBSTITUTE(F1712,"" "","""")),""📲 Avisar al clien"&amp;"te""),"""")"),"")</f>
        <v/>
      </c>
      <c r="L1712" s="5" t="str">
        <f>IFERROR(__xludf.DUMMYFUNCTION("IF(C1712&lt;&gt;"""",""https://api.qrserver.com/v1/create-qr-code/?size=200x200&amp;data=""&amp;ENCODEURL(""https://wa.me/507""&amp;REGEXREPLACE(C1712,""[^0-9]"","""")&amp;""?text=""&amp;ENCODEURL(""Ya llegue. Codigo: ""&amp;A1712&amp;"". Ubicacion: ""&amp;""https://www.google.com/maps/search"&amp;"/?api=1&amp;query=""&amp;SUBSTITUTE(F1712,"" "",""""))),"""")"),"")</f>
        <v/>
      </c>
      <c r="M1712" s="5" t="str">
        <f t="shared" si="6"/>
        <v/>
      </c>
      <c r="N1712" s="5" t="str">
        <f>IFERROR(__xludf.DUMMYFUNCTION("IF(AND(F1712&lt;&gt;"""",REGEXMATCH(SUBSTITUTE(F1712,"" "",""""),""^-?\d+(\.\d+)?,-?\d+(\.\d+)?$""),VALUE(REGEXEXTRACT(SUBSTITUTE(F1712,"" "",""""),""^-?\d+(\.\d+)?""))&gt;=-90,VALUE(REGEXEXTRACT(SUBSTITUTE(F1712,"" "",""""),""^-?\d+(\.\d+)?""))&lt;=90,VALUE(REGEXEXT"&amp;"RACT(SUBSTITUTE(F1712,"" "",""""),""-?\d+(\.\d+)?$""))&gt;=-180,VALUE(REGEXEXTRACT(SUBSTITUTE(F1712,"" "",""""),""-?\d+(\.\d+)?$""))&lt;=180),""OK"",""REVISAR"")"),"#N/A")</f>
        <v>#N/A</v>
      </c>
    </row>
    <row r="1713" ht="15.75" customHeight="1">
      <c r="A1713" s="5" t="str">
        <f t="shared" si="1"/>
        <v>AD507-1711</v>
      </c>
      <c r="C1713" s="5"/>
      <c r="F1713" s="5"/>
      <c r="G1713" s="5" t="str">
        <f t="shared" si="2"/>
        <v/>
      </c>
      <c r="H1713" s="5" t="str">
        <f t="shared" si="3"/>
        <v/>
      </c>
      <c r="I1713" s="5" t="str">
        <f t="shared" si="4"/>
        <v/>
      </c>
      <c r="J1713" s="5" t="str">
        <f t="shared" si="5"/>
        <v/>
      </c>
      <c r="K1713" s="5" t="str">
        <f>IFERROR(__xludf.DUMMYFUNCTION("IF(C1713&lt;&gt;"""",HYPERLINK(""https://wa.me/507""&amp;REGEXREPLACE(C1713,""[^0-9]"","""")&amp;""?text=""&amp;ENCODEURL(""Ya llegue. Codigo: ""&amp;A1713&amp;"". Ubicacion: ""&amp;""https://www.google.com/maps/search/?api=1&amp;query=""&amp;SUBSTITUTE(F1713,"" "","""")),""📲 Avisar al clien"&amp;"te""),"""")"),"")</f>
        <v/>
      </c>
      <c r="L1713" s="5" t="str">
        <f>IFERROR(__xludf.DUMMYFUNCTION("IF(C1713&lt;&gt;"""",""https://api.qrserver.com/v1/create-qr-code/?size=200x200&amp;data=""&amp;ENCODEURL(""https://wa.me/507""&amp;REGEXREPLACE(C1713,""[^0-9]"","""")&amp;""?text=""&amp;ENCODEURL(""Ya llegue. Codigo: ""&amp;A1713&amp;"". Ubicacion: ""&amp;""https://www.google.com/maps/search"&amp;"/?api=1&amp;query=""&amp;SUBSTITUTE(F1713,"" "",""""))),"""")"),"")</f>
        <v/>
      </c>
      <c r="M1713" s="5" t="str">
        <f t="shared" si="6"/>
        <v/>
      </c>
      <c r="N1713" s="5" t="str">
        <f>IFERROR(__xludf.DUMMYFUNCTION("IF(AND(F1713&lt;&gt;"""",REGEXMATCH(SUBSTITUTE(F1713,"" "",""""),""^-?\d+(\.\d+)?,-?\d+(\.\d+)?$""),VALUE(REGEXEXTRACT(SUBSTITUTE(F1713,"" "",""""),""^-?\d+(\.\d+)?""))&gt;=-90,VALUE(REGEXEXTRACT(SUBSTITUTE(F1713,"" "",""""),""^-?\d+(\.\d+)?""))&lt;=90,VALUE(REGEXEXT"&amp;"RACT(SUBSTITUTE(F1713,"" "",""""),""-?\d+(\.\d+)?$""))&gt;=-180,VALUE(REGEXEXTRACT(SUBSTITUTE(F1713,"" "",""""),""-?\d+(\.\d+)?$""))&lt;=180),""OK"",""REVISAR"")"),"#N/A")</f>
        <v>#N/A</v>
      </c>
    </row>
    <row r="1714" ht="15.75" customHeight="1">
      <c r="A1714" s="5" t="str">
        <f t="shared" si="1"/>
        <v>AD507-1712</v>
      </c>
      <c r="C1714" s="5"/>
      <c r="F1714" s="5"/>
      <c r="G1714" s="5" t="str">
        <f t="shared" si="2"/>
        <v/>
      </c>
      <c r="H1714" s="5" t="str">
        <f t="shared" si="3"/>
        <v/>
      </c>
      <c r="I1714" s="5" t="str">
        <f t="shared" si="4"/>
        <v/>
      </c>
      <c r="J1714" s="5" t="str">
        <f t="shared" si="5"/>
        <v/>
      </c>
      <c r="K1714" s="5" t="str">
        <f>IFERROR(__xludf.DUMMYFUNCTION("IF(C1714&lt;&gt;"""",HYPERLINK(""https://wa.me/507""&amp;REGEXREPLACE(C1714,""[^0-9]"","""")&amp;""?text=""&amp;ENCODEURL(""Ya llegue. Codigo: ""&amp;A1714&amp;"". Ubicacion: ""&amp;""https://www.google.com/maps/search/?api=1&amp;query=""&amp;SUBSTITUTE(F1714,"" "","""")),""📲 Avisar al clien"&amp;"te""),"""")"),"")</f>
        <v/>
      </c>
      <c r="L1714" s="5" t="str">
        <f>IFERROR(__xludf.DUMMYFUNCTION("IF(C1714&lt;&gt;"""",""https://api.qrserver.com/v1/create-qr-code/?size=200x200&amp;data=""&amp;ENCODEURL(""https://wa.me/507""&amp;REGEXREPLACE(C1714,""[^0-9]"","""")&amp;""?text=""&amp;ENCODEURL(""Ya llegue. Codigo: ""&amp;A1714&amp;"". Ubicacion: ""&amp;""https://www.google.com/maps/search"&amp;"/?api=1&amp;query=""&amp;SUBSTITUTE(F1714,"" "",""""))),"""")"),"")</f>
        <v/>
      </c>
      <c r="M1714" s="5" t="str">
        <f t="shared" si="6"/>
        <v/>
      </c>
      <c r="N1714" s="5" t="str">
        <f>IFERROR(__xludf.DUMMYFUNCTION("IF(AND(F1714&lt;&gt;"""",REGEXMATCH(SUBSTITUTE(F1714,"" "",""""),""^-?\d+(\.\d+)?,-?\d+(\.\d+)?$""),VALUE(REGEXEXTRACT(SUBSTITUTE(F1714,"" "",""""),""^-?\d+(\.\d+)?""))&gt;=-90,VALUE(REGEXEXTRACT(SUBSTITUTE(F1714,"" "",""""),""^-?\d+(\.\d+)?""))&lt;=90,VALUE(REGEXEXT"&amp;"RACT(SUBSTITUTE(F1714,"" "",""""),""-?\d+(\.\d+)?$""))&gt;=-180,VALUE(REGEXEXTRACT(SUBSTITUTE(F1714,"" "",""""),""-?\d+(\.\d+)?$""))&lt;=180),""OK"",""REVISAR"")"),"#N/A")</f>
        <v>#N/A</v>
      </c>
    </row>
    <row r="1715" ht="15.75" customHeight="1">
      <c r="A1715" s="5" t="str">
        <f t="shared" si="1"/>
        <v>AD507-1713</v>
      </c>
      <c r="C1715" s="5"/>
      <c r="F1715" s="5"/>
      <c r="G1715" s="5" t="str">
        <f t="shared" si="2"/>
        <v/>
      </c>
      <c r="H1715" s="5" t="str">
        <f t="shared" si="3"/>
        <v/>
      </c>
      <c r="I1715" s="5" t="str">
        <f t="shared" si="4"/>
        <v/>
      </c>
      <c r="J1715" s="5" t="str">
        <f t="shared" si="5"/>
        <v/>
      </c>
      <c r="K1715" s="5" t="str">
        <f>IFERROR(__xludf.DUMMYFUNCTION("IF(C1715&lt;&gt;"""",HYPERLINK(""https://wa.me/507""&amp;REGEXREPLACE(C1715,""[^0-9]"","""")&amp;""?text=""&amp;ENCODEURL(""Ya llegue. Codigo: ""&amp;A1715&amp;"". Ubicacion: ""&amp;""https://www.google.com/maps/search/?api=1&amp;query=""&amp;SUBSTITUTE(F1715,"" "","""")),""📲 Avisar al clien"&amp;"te""),"""")"),"")</f>
        <v/>
      </c>
      <c r="L1715" s="5" t="str">
        <f>IFERROR(__xludf.DUMMYFUNCTION("IF(C1715&lt;&gt;"""",""https://api.qrserver.com/v1/create-qr-code/?size=200x200&amp;data=""&amp;ENCODEURL(""https://wa.me/507""&amp;REGEXREPLACE(C1715,""[^0-9]"","""")&amp;""?text=""&amp;ENCODEURL(""Ya llegue. Codigo: ""&amp;A1715&amp;"". Ubicacion: ""&amp;""https://www.google.com/maps/search"&amp;"/?api=1&amp;query=""&amp;SUBSTITUTE(F1715,"" "",""""))),"""")"),"")</f>
        <v/>
      </c>
      <c r="M1715" s="5" t="str">
        <f t="shared" si="6"/>
        <v/>
      </c>
      <c r="N1715" s="5" t="str">
        <f>IFERROR(__xludf.DUMMYFUNCTION("IF(AND(F1715&lt;&gt;"""",REGEXMATCH(SUBSTITUTE(F1715,"" "",""""),""^-?\d+(\.\d+)?,-?\d+(\.\d+)?$""),VALUE(REGEXEXTRACT(SUBSTITUTE(F1715,"" "",""""),""^-?\d+(\.\d+)?""))&gt;=-90,VALUE(REGEXEXTRACT(SUBSTITUTE(F1715,"" "",""""),""^-?\d+(\.\d+)?""))&lt;=90,VALUE(REGEXEXT"&amp;"RACT(SUBSTITUTE(F1715,"" "",""""),""-?\d+(\.\d+)?$""))&gt;=-180,VALUE(REGEXEXTRACT(SUBSTITUTE(F1715,"" "",""""),""-?\d+(\.\d+)?$""))&lt;=180),""OK"",""REVISAR"")"),"#N/A")</f>
        <v>#N/A</v>
      </c>
    </row>
    <row r="1716" ht="15.75" customHeight="1">
      <c r="A1716" s="5" t="str">
        <f t="shared" si="1"/>
        <v>AD507-1714</v>
      </c>
      <c r="C1716" s="5"/>
      <c r="F1716" s="5"/>
      <c r="G1716" s="5" t="str">
        <f t="shared" si="2"/>
        <v/>
      </c>
      <c r="H1716" s="5" t="str">
        <f t="shared" si="3"/>
        <v/>
      </c>
      <c r="I1716" s="5" t="str">
        <f t="shared" si="4"/>
        <v/>
      </c>
      <c r="J1716" s="5" t="str">
        <f t="shared" si="5"/>
        <v/>
      </c>
      <c r="K1716" s="5" t="str">
        <f>IFERROR(__xludf.DUMMYFUNCTION("IF(C1716&lt;&gt;"""",HYPERLINK(""https://wa.me/507""&amp;REGEXREPLACE(C1716,""[^0-9]"","""")&amp;""?text=""&amp;ENCODEURL(""Ya llegue. Codigo: ""&amp;A1716&amp;"". Ubicacion: ""&amp;""https://www.google.com/maps/search/?api=1&amp;query=""&amp;SUBSTITUTE(F1716,"" "","""")),""📲 Avisar al clien"&amp;"te""),"""")"),"")</f>
        <v/>
      </c>
      <c r="L1716" s="5" t="str">
        <f>IFERROR(__xludf.DUMMYFUNCTION("IF(C1716&lt;&gt;"""",""https://api.qrserver.com/v1/create-qr-code/?size=200x200&amp;data=""&amp;ENCODEURL(""https://wa.me/507""&amp;REGEXREPLACE(C1716,""[^0-9]"","""")&amp;""?text=""&amp;ENCODEURL(""Ya llegue. Codigo: ""&amp;A1716&amp;"". Ubicacion: ""&amp;""https://www.google.com/maps/search"&amp;"/?api=1&amp;query=""&amp;SUBSTITUTE(F1716,"" "",""""))),"""")"),"")</f>
        <v/>
      </c>
      <c r="M1716" s="5" t="str">
        <f t="shared" si="6"/>
        <v/>
      </c>
      <c r="N1716" s="5" t="str">
        <f>IFERROR(__xludf.DUMMYFUNCTION("IF(AND(F1716&lt;&gt;"""",REGEXMATCH(SUBSTITUTE(F1716,"" "",""""),""^-?\d+(\.\d+)?,-?\d+(\.\d+)?$""),VALUE(REGEXEXTRACT(SUBSTITUTE(F1716,"" "",""""),""^-?\d+(\.\d+)?""))&gt;=-90,VALUE(REGEXEXTRACT(SUBSTITUTE(F1716,"" "",""""),""^-?\d+(\.\d+)?""))&lt;=90,VALUE(REGEXEXT"&amp;"RACT(SUBSTITUTE(F1716,"" "",""""),""-?\d+(\.\d+)?$""))&gt;=-180,VALUE(REGEXEXTRACT(SUBSTITUTE(F1716,"" "",""""),""-?\d+(\.\d+)?$""))&lt;=180),""OK"",""REVISAR"")"),"#N/A")</f>
        <v>#N/A</v>
      </c>
    </row>
    <row r="1717" ht="15.75" customHeight="1">
      <c r="A1717" s="5" t="str">
        <f t="shared" si="1"/>
        <v>AD507-1715</v>
      </c>
      <c r="C1717" s="5"/>
      <c r="F1717" s="5"/>
      <c r="G1717" s="5" t="str">
        <f t="shared" si="2"/>
        <v/>
      </c>
      <c r="H1717" s="5" t="str">
        <f t="shared" si="3"/>
        <v/>
      </c>
      <c r="I1717" s="5" t="str">
        <f t="shared" si="4"/>
        <v/>
      </c>
      <c r="J1717" s="5" t="str">
        <f t="shared" si="5"/>
        <v/>
      </c>
      <c r="K1717" s="5" t="str">
        <f>IFERROR(__xludf.DUMMYFUNCTION("IF(C1717&lt;&gt;"""",HYPERLINK(""https://wa.me/507""&amp;REGEXREPLACE(C1717,""[^0-9]"","""")&amp;""?text=""&amp;ENCODEURL(""Ya llegue. Codigo: ""&amp;A1717&amp;"". Ubicacion: ""&amp;""https://www.google.com/maps/search/?api=1&amp;query=""&amp;SUBSTITUTE(F1717,"" "","""")),""📲 Avisar al clien"&amp;"te""),"""")"),"")</f>
        <v/>
      </c>
      <c r="L1717" s="5" t="str">
        <f>IFERROR(__xludf.DUMMYFUNCTION("IF(C1717&lt;&gt;"""",""https://api.qrserver.com/v1/create-qr-code/?size=200x200&amp;data=""&amp;ENCODEURL(""https://wa.me/507""&amp;REGEXREPLACE(C1717,""[^0-9]"","""")&amp;""?text=""&amp;ENCODEURL(""Ya llegue. Codigo: ""&amp;A1717&amp;"". Ubicacion: ""&amp;""https://www.google.com/maps/search"&amp;"/?api=1&amp;query=""&amp;SUBSTITUTE(F1717,"" "",""""))),"""")"),"")</f>
        <v/>
      </c>
      <c r="M1717" s="5" t="str">
        <f t="shared" si="6"/>
        <v/>
      </c>
      <c r="N1717" s="5" t="str">
        <f>IFERROR(__xludf.DUMMYFUNCTION("IF(AND(F1717&lt;&gt;"""",REGEXMATCH(SUBSTITUTE(F1717,"" "",""""),""^-?\d+(\.\d+)?,-?\d+(\.\d+)?$""),VALUE(REGEXEXTRACT(SUBSTITUTE(F1717,"" "",""""),""^-?\d+(\.\d+)?""))&gt;=-90,VALUE(REGEXEXTRACT(SUBSTITUTE(F1717,"" "",""""),""^-?\d+(\.\d+)?""))&lt;=90,VALUE(REGEXEXT"&amp;"RACT(SUBSTITUTE(F1717,"" "",""""),""-?\d+(\.\d+)?$""))&gt;=-180,VALUE(REGEXEXTRACT(SUBSTITUTE(F1717,"" "",""""),""-?\d+(\.\d+)?$""))&lt;=180),""OK"",""REVISAR"")"),"#N/A")</f>
        <v>#N/A</v>
      </c>
    </row>
    <row r="1718" ht="15.75" customHeight="1">
      <c r="A1718" s="5" t="str">
        <f t="shared" si="1"/>
        <v>AD507-1716</v>
      </c>
      <c r="C1718" s="5"/>
      <c r="F1718" s="5"/>
      <c r="G1718" s="5" t="str">
        <f t="shared" si="2"/>
        <v/>
      </c>
      <c r="H1718" s="5" t="str">
        <f t="shared" si="3"/>
        <v/>
      </c>
      <c r="I1718" s="5" t="str">
        <f t="shared" si="4"/>
        <v/>
      </c>
      <c r="J1718" s="5" t="str">
        <f t="shared" si="5"/>
        <v/>
      </c>
      <c r="K1718" s="5" t="str">
        <f>IFERROR(__xludf.DUMMYFUNCTION("IF(C1718&lt;&gt;"""",HYPERLINK(""https://wa.me/507""&amp;REGEXREPLACE(C1718,""[^0-9]"","""")&amp;""?text=""&amp;ENCODEURL(""Ya llegue. Codigo: ""&amp;A1718&amp;"". Ubicacion: ""&amp;""https://www.google.com/maps/search/?api=1&amp;query=""&amp;SUBSTITUTE(F1718,"" "","""")),""📲 Avisar al clien"&amp;"te""),"""")"),"")</f>
        <v/>
      </c>
      <c r="L1718" s="5" t="str">
        <f>IFERROR(__xludf.DUMMYFUNCTION("IF(C1718&lt;&gt;"""",""https://api.qrserver.com/v1/create-qr-code/?size=200x200&amp;data=""&amp;ENCODEURL(""https://wa.me/507""&amp;REGEXREPLACE(C1718,""[^0-9]"","""")&amp;""?text=""&amp;ENCODEURL(""Ya llegue. Codigo: ""&amp;A1718&amp;"". Ubicacion: ""&amp;""https://www.google.com/maps/search"&amp;"/?api=1&amp;query=""&amp;SUBSTITUTE(F1718,"" "",""""))),"""")"),"")</f>
        <v/>
      </c>
      <c r="M1718" s="5" t="str">
        <f t="shared" si="6"/>
        <v/>
      </c>
      <c r="N1718" s="5" t="str">
        <f>IFERROR(__xludf.DUMMYFUNCTION("IF(AND(F1718&lt;&gt;"""",REGEXMATCH(SUBSTITUTE(F1718,"" "",""""),""^-?\d+(\.\d+)?,-?\d+(\.\d+)?$""),VALUE(REGEXEXTRACT(SUBSTITUTE(F1718,"" "",""""),""^-?\d+(\.\d+)?""))&gt;=-90,VALUE(REGEXEXTRACT(SUBSTITUTE(F1718,"" "",""""),""^-?\d+(\.\d+)?""))&lt;=90,VALUE(REGEXEXT"&amp;"RACT(SUBSTITUTE(F1718,"" "",""""),""-?\d+(\.\d+)?$""))&gt;=-180,VALUE(REGEXEXTRACT(SUBSTITUTE(F1718,"" "",""""),""-?\d+(\.\d+)?$""))&lt;=180),""OK"",""REVISAR"")"),"#N/A")</f>
        <v>#N/A</v>
      </c>
    </row>
    <row r="1719" ht="15.75" customHeight="1">
      <c r="A1719" s="5" t="str">
        <f t="shared" si="1"/>
        <v>AD507-1717</v>
      </c>
      <c r="C1719" s="5"/>
      <c r="F1719" s="5"/>
      <c r="G1719" s="5" t="str">
        <f t="shared" si="2"/>
        <v/>
      </c>
      <c r="H1719" s="5" t="str">
        <f t="shared" si="3"/>
        <v/>
      </c>
      <c r="I1719" s="5" t="str">
        <f t="shared" si="4"/>
        <v/>
      </c>
      <c r="J1719" s="5" t="str">
        <f t="shared" si="5"/>
        <v/>
      </c>
      <c r="K1719" s="5" t="str">
        <f>IFERROR(__xludf.DUMMYFUNCTION("IF(C1719&lt;&gt;"""",HYPERLINK(""https://wa.me/507""&amp;REGEXREPLACE(C1719,""[^0-9]"","""")&amp;""?text=""&amp;ENCODEURL(""Ya llegue. Codigo: ""&amp;A1719&amp;"". Ubicacion: ""&amp;""https://www.google.com/maps/search/?api=1&amp;query=""&amp;SUBSTITUTE(F1719,"" "","""")),""📲 Avisar al clien"&amp;"te""),"""")"),"")</f>
        <v/>
      </c>
      <c r="L1719" s="5" t="str">
        <f>IFERROR(__xludf.DUMMYFUNCTION("IF(C1719&lt;&gt;"""",""https://api.qrserver.com/v1/create-qr-code/?size=200x200&amp;data=""&amp;ENCODEURL(""https://wa.me/507""&amp;REGEXREPLACE(C1719,""[^0-9]"","""")&amp;""?text=""&amp;ENCODEURL(""Ya llegue. Codigo: ""&amp;A1719&amp;"". Ubicacion: ""&amp;""https://www.google.com/maps/search"&amp;"/?api=1&amp;query=""&amp;SUBSTITUTE(F1719,"" "",""""))),"""")"),"")</f>
        <v/>
      </c>
      <c r="M1719" s="5" t="str">
        <f t="shared" si="6"/>
        <v/>
      </c>
      <c r="N1719" s="5" t="str">
        <f>IFERROR(__xludf.DUMMYFUNCTION("IF(AND(F1719&lt;&gt;"""",REGEXMATCH(SUBSTITUTE(F1719,"" "",""""),""^-?\d+(\.\d+)?,-?\d+(\.\d+)?$""),VALUE(REGEXEXTRACT(SUBSTITUTE(F1719,"" "",""""),""^-?\d+(\.\d+)?""))&gt;=-90,VALUE(REGEXEXTRACT(SUBSTITUTE(F1719,"" "",""""),""^-?\d+(\.\d+)?""))&lt;=90,VALUE(REGEXEXT"&amp;"RACT(SUBSTITUTE(F1719,"" "",""""),""-?\d+(\.\d+)?$""))&gt;=-180,VALUE(REGEXEXTRACT(SUBSTITUTE(F1719,"" "",""""),""-?\d+(\.\d+)?$""))&lt;=180),""OK"",""REVISAR"")"),"#N/A")</f>
        <v>#N/A</v>
      </c>
    </row>
    <row r="1720" ht="15.75" customHeight="1">
      <c r="A1720" s="5" t="str">
        <f t="shared" si="1"/>
        <v>AD507-1718</v>
      </c>
      <c r="C1720" s="5"/>
      <c r="F1720" s="5"/>
      <c r="G1720" s="5" t="str">
        <f t="shared" si="2"/>
        <v/>
      </c>
      <c r="H1720" s="5" t="str">
        <f t="shared" si="3"/>
        <v/>
      </c>
      <c r="I1720" s="5" t="str">
        <f t="shared" si="4"/>
        <v/>
      </c>
      <c r="J1720" s="5" t="str">
        <f t="shared" si="5"/>
        <v/>
      </c>
      <c r="K1720" s="5" t="str">
        <f>IFERROR(__xludf.DUMMYFUNCTION("IF(C1720&lt;&gt;"""",HYPERLINK(""https://wa.me/507""&amp;REGEXREPLACE(C1720,""[^0-9]"","""")&amp;""?text=""&amp;ENCODEURL(""Ya llegue. Codigo: ""&amp;A1720&amp;"". Ubicacion: ""&amp;""https://www.google.com/maps/search/?api=1&amp;query=""&amp;SUBSTITUTE(F1720,"" "","""")),""📲 Avisar al clien"&amp;"te""),"""")"),"")</f>
        <v/>
      </c>
      <c r="L1720" s="5" t="str">
        <f>IFERROR(__xludf.DUMMYFUNCTION("IF(C1720&lt;&gt;"""",""https://api.qrserver.com/v1/create-qr-code/?size=200x200&amp;data=""&amp;ENCODEURL(""https://wa.me/507""&amp;REGEXREPLACE(C1720,""[^0-9]"","""")&amp;""?text=""&amp;ENCODEURL(""Ya llegue. Codigo: ""&amp;A1720&amp;"". Ubicacion: ""&amp;""https://www.google.com/maps/search"&amp;"/?api=1&amp;query=""&amp;SUBSTITUTE(F1720,"" "",""""))),"""")"),"")</f>
        <v/>
      </c>
      <c r="M1720" s="5" t="str">
        <f t="shared" si="6"/>
        <v/>
      </c>
      <c r="N1720" s="5" t="str">
        <f>IFERROR(__xludf.DUMMYFUNCTION("IF(AND(F1720&lt;&gt;"""",REGEXMATCH(SUBSTITUTE(F1720,"" "",""""),""^-?\d+(\.\d+)?,-?\d+(\.\d+)?$""),VALUE(REGEXEXTRACT(SUBSTITUTE(F1720,"" "",""""),""^-?\d+(\.\d+)?""))&gt;=-90,VALUE(REGEXEXTRACT(SUBSTITUTE(F1720,"" "",""""),""^-?\d+(\.\d+)?""))&lt;=90,VALUE(REGEXEXT"&amp;"RACT(SUBSTITUTE(F1720,"" "",""""),""-?\d+(\.\d+)?$""))&gt;=-180,VALUE(REGEXEXTRACT(SUBSTITUTE(F1720,"" "",""""),""-?\d+(\.\d+)?$""))&lt;=180),""OK"",""REVISAR"")"),"#N/A")</f>
        <v>#N/A</v>
      </c>
    </row>
    <row r="1721" ht="15.75" customHeight="1">
      <c r="A1721" s="5" t="str">
        <f t="shared" si="1"/>
        <v>AD507-1719</v>
      </c>
      <c r="C1721" s="5"/>
      <c r="F1721" s="5"/>
      <c r="G1721" s="5" t="str">
        <f t="shared" si="2"/>
        <v/>
      </c>
      <c r="H1721" s="5" t="str">
        <f t="shared" si="3"/>
        <v/>
      </c>
      <c r="I1721" s="5" t="str">
        <f t="shared" si="4"/>
        <v/>
      </c>
      <c r="J1721" s="5" t="str">
        <f t="shared" si="5"/>
        <v/>
      </c>
      <c r="K1721" s="5" t="str">
        <f>IFERROR(__xludf.DUMMYFUNCTION("IF(C1721&lt;&gt;"""",HYPERLINK(""https://wa.me/507""&amp;REGEXREPLACE(C1721,""[^0-9]"","""")&amp;""?text=""&amp;ENCODEURL(""Ya llegue. Codigo: ""&amp;A1721&amp;"". Ubicacion: ""&amp;""https://www.google.com/maps/search/?api=1&amp;query=""&amp;SUBSTITUTE(F1721,"" "","""")),""📲 Avisar al clien"&amp;"te""),"""")"),"")</f>
        <v/>
      </c>
      <c r="L1721" s="5" t="str">
        <f>IFERROR(__xludf.DUMMYFUNCTION("IF(C1721&lt;&gt;"""",""https://api.qrserver.com/v1/create-qr-code/?size=200x200&amp;data=""&amp;ENCODEURL(""https://wa.me/507""&amp;REGEXREPLACE(C1721,""[^0-9]"","""")&amp;""?text=""&amp;ENCODEURL(""Ya llegue. Codigo: ""&amp;A1721&amp;"". Ubicacion: ""&amp;""https://www.google.com/maps/search"&amp;"/?api=1&amp;query=""&amp;SUBSTITUTE(F1721,"" "",""""))),"""")"),"")</f>
        <v/>
      </c>
      <c r="M1721" s="5" t="str">
        <f t="shared" si="6"/>
        <v/>
      </c>
      <c r="N1721" s="5" t="str">
        <f>IFERROR(__xludf.DUMMYFUNCTION("IF(AND(F1721&lt;&gt;"""",REGEXMATCH(SUBSTITUTE(F1721,"" "",""""),""^-?\d+(\.\d+)?,-?\d+(\.\d+)?$""),VALUE(REGEXEXTRACT(SUBSTITUTE(F1721,"" "",""""),""^-?\d+(\.\d+)?""))&gt;=-90,VALUE(REGEXEXTRACT(SUBSTITUTE(F1721,"" "",""""),""^-?\d+(\.\d+)?""))&lt;=90,VALUE(REGEXEXT"&amp;"RACT(SUBSTITUTE(F1721,"" "",""""),""-?\d+(\.\d+)?$""))&gt;=-180,VALUE(REGEXEXTRACT(SUBSTITUTE(F1721,"" "",""""),""-?\d+(\.\d+)?$""))&lt;=180),""OK"",""REVISAR"")"),"#N/A")</f>
        <v>#N/A</v>
      </c>
    </row>
    <row r="1722" ht="15.75" customHeight="1">
      <c r="A1722" s="5" t="str">
        <f t="shared" si="1"/>
        <v>AD507-1720</v>
      </c>
      <c r="C1722" s="5"/>
      <c r="F1722" s="5"/>
      <c r="G1722" s="5" t="str">
        <f t="shared" si="2"/>
        <v/>
      </c>
      <c r="H1722" s="5" t="str">
        <f t="shared" si="3"/>
        <v/>
      </c>
      <c r="I1722" s="5" t="str">
        <f t="shared" si="4"/>
        <v/>
      </c>
      <c r="J1722" s="5" t="str">
        <f t="shared" si="5"/>
        <v/>
      </c>
      <c r="K1722" s="5" t="str">
        <f>IFERROR(__xludf.DUMMYFUNCTION("IF(C1722&lt;&gt;"""",HYPERLINK(""https://wa.me/507""&amp;REGEXREPLACE(C1722,""[^0-9]"","""")&amp;""?text=""&amp;ENCODEURL(""Ya llegue. Codigo: ""&amp;A1722&amp;"". Ubicacion: ""&amp;""https://www.google.com/maps/search/?api=1&amp;query=""&amp;SUBSTITUTE(F1722,"" "","""")),""📲 Avisar al clien"&amp;"te""),"""")"),"")</f>
        <v/>
      </c>
      <c r="L1722" s="5" t="str">
        <f>IFERROR(__xludf.DUMMYFUNCTION("IF(C1722&lt;&gt;"""",""https://api.qrserver.com/v1/create-qr-code/?size=200x200&amp;data=""&amp;ENCODEURL(""https://wa.me/507""&amp;REGEXREPLACE(C1722,""[^0-9]"","""")&amp;""?text=""&amp;ENCODEURL(""Ya llegue. Codigo: ""&amp;A1722&amp;"". Ubicacion: ""&amp;""https://www.google.com/maps/search"&amp;"/?api=1&amp;query=""&amp;SUBSTITUTE(F1722,"" "",""""))),"""")"),"")</f>
        <v/>
      </c>
      <c r="M1722" s="5" t="str">
        <f t="shared" si="6"/>
        <v/>
      </c>
      <c r="N1722" s="5" t="str">
        <f>IFERROR(__xludf.DUMMYFUNCTION("IF(AND(F1722&lt;&gt;"""",REGEXMATCH(SUBSTITUTE(F1722,"" "",""""),""^-?\d+(\.\d+)?,-?\d+(\.\d+)?$""),VALUE(REGEXEXTRACT(SUBSTITUTE(F1722,"" "",""""),""^-?\d+(\.\d+)?""))&gt;=-90,VALUE(REGEXEXTRACT(SUBSTITUTE(F1722,"" "",""""),""^-?\d+(\.\d+)?""))&lt;=90,VALUE(REGEXEXT"&amp;"RACT(SUBSTITUTE(F1722,"" "",""""),""-?\d+(\.\d+)?$""))&gt;=-180,VALUE(REGEXEXTRACT(SUBSTITUTE(F1722,"" "",""""),""-?\d+(\.\d+)?$""))&lt;=180),""OK"",""REVISAR"")"),"#N/A")</f>
        <v>#N/A</v>
      </c>
    </row>
    <row r="1723" ht="15.75" customHeight="1">
      <c r="A1723" s="5" t="str">
        <f t="shared" si="1"/>
        <v>AD507-1721</v>
      </c>
      <c r="C1723" s="5"/>
      <c r="F1723" s="5"/>
      <c r="G1723" s="5" t="str">
        <f t="shared" si="2"/>
        <v/>
      </c>
      <c r="H1723" s="5" t="str">
        <f t="shared" si="3"/>
        <v/>
      </c>
      <c r="I1723" s="5" t="str">
        <f t="shared" si="4"/>
        <v/>
      </c>
      <c r="J1723" s="5" t="str">
        <f t="shared" si="5"/>
        <v/>
      </c>
      <c r="K1723" s="5" t="str">
        <f>IFERROR(__xludf.DUMMYFUNCTION("IF(C1723&lt;&gt;"""",HYPERLINK(""https://wa.me/507""&amp;REGEXREPLACE(C1723,""[^0-9]"","""")&amp;""?text=""&amp;ENCODEURL(""Ya llegue. Codigo: ""&amp;A1723&amp;"". Ubicacion: ""&amp;""https://www.google.com/maps/search/?api=1&amp;query=""&amp;SUBSTITUTE(F1723,"" "","""")),""📲 Avisar al clien"&amp;"te""),"""")"),"")</f>
        <v/>
      </c>
      <c r="L1723" s="5" t="str">
        <f>IFERROR(__xludf.DUMMYFUNCTION("IF(C1723&lt;&gt;"""",""https://api.qrserver.com/v1/create-qr-code/?size=200x200&amp;data=""&amp;ENCODEURL(""https://wa.me/507""&amp;REGEXREPLACE(C1723,""[^0-9]"","""")&amp;""?text=""&amp;ENCODEURL(""Ya llegue. Codigo: ""&amp;A1723&amp;"". Ubicacion: ""&amp;""https://www.google.com/maps/search"&amp;"/?api=1&amp;query=""&amp;SUBSTITUTE(F1723,"" "",""""))),"""")"),"")</f>
        <v/>
      </c>
      <c r="M1723" s="5" t="str">
        <f t="shared" si="6"/>
        <v/>
      </c>
      <c r="N1723" s="5" t="str">
        <f>IFERROR(__xludf.DUMMYFUNCTION("IF(AND(F1723&lt;&gt;"""",REGEXMATCH(SUBSTITUTE(F1723,"" "",""""),""^-?\d+(\.\d+)?,-?\d+(\.\d+)?$""),VALUE(REGEXEXTRACT(SUBSTITUTE(F1723,"" "",""""),""^-?\d+(\.\d+)?""))&gt;=-90,VALUE(REGEXEXTRACT(SUBSTITUTE(F1723,"" "",""""),""^-?\d+(\.\d+)?""))&lt;=90,VALUE(REGEXEXT"&amp;"RACT(SUBSTITUTE(F1723,"" "",""""),""-?\d+(\.\d+)?$""))&gt;=-180,VALUE(REGEXEXTRACT(SUBSTITUTE(F1723,"" "",""""),""-?\d+(\.\d+)?$""))&lt;=180),""OK"",""REVISAR"")"),"#N/A")</f>
        <v>#N/A</v>
      </c>
    </row>
    <row r="1724" ht="15.75" customHeight="1">
      <c r="A1724" s="5" t="str">
        <f t="shared" si="1"/>
        <v>AD507-1722</v>
      </c>
      <c r="C1724" s="5"/>
      <c r="F1724" s="5"/>
      <c r="G1724" s="5" t="str">
        <f t="shared" si="2"/>
        <v/>
      </c>
      <c r="H1724" s="5" t="str">
        <f t="shared" si="3"/>
        <v/>
      </c>
      <c r="I1724" s="5" t="str">
        <f t="shared" si="4"/>
        <v/>
      </c>
      <c r="J1724" s="5" t="str">
        <f t="shared" si="5"/>
        <v/>
      </c>
      <c r="K1724" s="5" t="str">
        <f>IFERROR(__xludf.DUMMYFUNCTION("IF(C1724&lt;&gt;"""",HYPERLINK(""https://wa.me/507""&amp;REGEXREPLACE(C1724,""[^0-9]"","""")&amp;""?text=""&amp;ENCODEURL(""Ya llegue. Codigo: ""&amp;A1724&amp;"". Ubicacion: ""&amp;""https://www.google.com/maps/search/?api=1&amp;query=""&amp;SUBSTITUTE(F1724,"" "","""")),""📲 Avisar al clien"&amp;"te""),"""")"),"")</f>
        <v/>
      </c>
      <c r="L1724" s="5" t="str">
        <f>IFERROR(__xludf.DUMMYFUNCTION("IF(C1724&lt;&gt;"""",""https://api.qrserver.com/v1/create-qr-code/?size=200x200&amp;data=""&amp;ENCODEURL(""https://wa.me/507""&amp;REGEXREPLACE(C1724,""[^0-9]"","""")&amp;""?text=""&amp;ENCODEURL(""Ya llegue. Codigo: ""&amp;A1724&amp;"". Ubicacion: ""&amp;""https://www.google.com/maps/search"&amp;"/?api=1&amp;query=""&amp;SUBSTITUTE(F1724,"" "",""""))),"""")"),"")</f>
        <v/>
      </c>
      <c r="M1724" s="5" t="str">
        <f t="shared" si="6"/>
        <v/>
      </c>
      <c r="N1724" s="5" t="str">
        <f>IFERROR(__xludf.DUMMYFUNCTION("IF(AND(F1724&lt;&gt;"""",REGEXMATCH(SUBSTITUTE(F1724,"" "",""""),""^-?\d+(\.\d+)?,-?\d+(\.\d+)?$""),VALUE(REGEXEXTRACT(SUBSTITUTE(F1724,"" "",""""),""^-?\d+(\.\d+)?""))&gt;=-90,VALUE(REGEXEXTRACT(SUBSTITUTE(F1724,"" "",""""),""^-?\d+(\.\d+)?""))&lt;=90,VALUE(REGEXEXT"&amp;"RACT(SUBSTITUTE(F1724,"" "",""""),""-?\d+(\.\d+)?$""))&gt;=-180,VALUE(REGEXEXTRACT(SUBSTITUTE(F1724,"" "",""""),""-?\d+(\.\d+)?$""))&lt;=180),""OK"",""REVISAR"")"),"#N/A")</f>
        <v>#N/A</v>
      </c>
    </row>
    <row r="1725" ht="15.75" customHeight="1">
      <c r="A1725" s="5" t="str">
        <f t="shared" si="1"/>
        <v>AD507-1723</v>
      </c>
      <c r="C1725" s="5"/>
      <c r="F1725" s="5"/>
      <c r="G1725" s="5" t="str">
        <f t="shared" si="2"/>
        <v/>
      </c>
      <c r="H1725" s="5" t="str">
        <f t="shared" si="3"/>
        <v/>
      </c>
      <c r="I1725" s="5" t="str">
        <f t="shared" si="4"/>
        <v/>
      </c>
      <c r="J1725" s="5" t="str">
        <f t="shared" si="5"/>
        <v/>
      </c>
      <c r="K1725" s="5" t="str">
        <f>IFERROR(__xludf.DUMMYFUNCTION("IF(C1725&lt;&gt;"""",HYPERLINK(""https://wa.me/507""&amp;REGEXREPLACE(C1725,""[^0-9]"","""")&amp;""?text=""&amp;ENCODEURL(""Ya llegue. Codigo: ""&amp;A1725&amp;"". Ubicacion: ""&amp;""https://www.google.com/maps/search/?api=1&amp;query=""&amp;SUBSTITUTE(F1725,"" "","""")),""📲 Avisar al clien"&amp;"te""),"""")"),"")</f>
        <v/>
      </c>
      <c r="L1725" s="5" t="str">
        <f>IFERROR(__xludf.DUMMYFUNCTION("IF(C1725&lt;&gt;"""",""https://api.qrserver.com/v1/create-qr-code/?size=200x200&amp;data=""&amp;ENCODEURL(""https://wa.me/507""&amp;REGEXREPLACE(C1725,""[^0-9]"","""")&amp;""?text=""&amp;ENCODEURL(""Ya llegue. Codigo: ""&amp;A1725&amp;"". Ubicacion: ""&amp;""https://www.google.com/maps/search"&amp;"/?api=1&amp;query=""&amp;SUBSTITUTE(F1725,"" "",""""))),"""")"),"")</f>
        <v/>
      </c>
      <c r="M1725" s="5" t="str">
        <f t="shared" si="6"/>
        <v/>
      </c>
      <c r="N1725" s="5" t="str">
        <f>IFERROR(__xludf.DUMMYFUNCTION("IF(AND(F1725&lt;&gt;"""",REGEXMATCH(SUBSTITUTE(F1725,"" "",""""),""^-?\d+(\.\d+)?,-?\d+(\.\d+)?$""),VALUE(REGEXEXTRACT(SUBSTITUTE(F1725,"" "",""""),""^-?\d+(\.\d+)?""))&gt;=-90,VALUE(REGEXEXTRACT(SUBSTITUTE(F1725,"" "",""""),""^-?\d+(\.\d+)?""))&lt;=90,VALUE(REGEXEXT"&amp;"RACT(SUBSTITUTE(F1725,"" "",""""),""-?\d+(\.\d+)?$""))&gt;=-180,VALUE(REGEXEXTRACT(SUBSTITUTE(F1725,"" "",""""),""-?\d+(\.\d+)?$""))&lt;=180),""OK"",""REVISAR"")"),"#N/A")</f>
        <v>#N/A</v>
      </c>
    </row>
    <row r="1726" ht="15.75" customHeight="1">
      <c r="A1726" s="5" t="str">
        <f t="shared" si="1"/>
        <v>AD507-1724</v>
      </c>
      <c r="C1726" s="5"/>
      <c r="F1726" s="5"/>
      <c r="G1726" s="5" t="str">
        <f t="shared" si="2"/>
        <v/>
      </c>
      <c r="H1726" s="5" t="str">
        <f t="shared" si="3"/>
        <v/>
      </c>
      <c r="I1726" s="5" t="str">
        <f t="shared" si="4"/>
        <v/>
      </c>
      <c r="J1726" s="5" t="str">
        <f t="shared" si="5"/>
        <v/>
      </c>
      <c r="K1726" s="5" t="str">
        <f>IFERROR(__xludf.DUMMYFUNCTION("IF(C1726&lt;&gt;"""",HYPERLINK(""https://wa.me/507""&amp;REGEXREPLACE(C1726,""[^0-9]"","""")&amp;""?text=""&amp;ENCODEURL(""Ya llegue. Codigo: ""&amp;A1726&amp;"". Ubicacion: ""&amp;""https://www.google.com/maps/search/?api=1&amp;query=""&amp;SUBSTITUTE(F1726,"" "","""")),""📲 Avisar al clien"&amp;"te""),"""")"),"")</f>
        <v/>
      </c>
      <c r="L1726" s="5" t="str">
        <f>IFERROR(__xludf.DUMMYFUNCTION("IF(C1726&lt;&gt;"""",""https://api.qrserver.com/v1/create-qr-code/?size=200x200&amp;data=""&amp;ENCODEURL(""https://wa.me/507""&amp;REGEXREPLACE(C1726,""[^0-9]"","""")&amp;""?text=""&amp;ENCODEURL(""Ya llegue. Codigo: ""&amp;A1726&amp;"". Ubicacion: ""&amp;""https://www.google.com/maps/search"&amp;"/?api=1&amp;query=""&amp;SUBSTITUTE(F1726,"" "",""""))),"""")"),"")</f>
        <v/>
      </c>
      <c r="M1726" s="5" t="str">
        <f t="shared" si="6"/>
        <v/>
      </c>
      <c r="N1726" s="5" t="str">
        <f>IFERROR(__xludf.DUMMYFUNCTION("IF(AND(F1726&lt;&gt;"""",REGEXMATCH(SUBSTITUTE(F1726,"" "",""""),""^-?\d+(\.\d+)?,-?\d+(\.\d+)?$""),VALUE(REGEXEXTRACT(SUBSTITUTE(F1726,"" "",""""),""^-?\d+(\.\d+)?""))&gt;=-90,VALUE(REGEXEXTRACT(SUBSTITUTE(F1726,"" "",""""),""^-?\d+(\.\d+)?""))&lt;=90,VALUE(REGEXEXT"&amp;"RACT(SUBSTITUTE(F1726,"" "",""""),""-?\d+(\.\d+)?$""))&gt;=-180,VALUE(REGEXEXTRACT(SUBSTITUTE(F1726,"" "",""""),""-?\d+(\.\d+)?$""))&lt;=180),""OK"",""REVISAR"")"),"#N/A")</f>
        <v>#N/A</v>
      </c>
    </row>
    <row r="1727" ht="15.75" customHeight="1">
      <c r="A1727" s="5" t="str">
        <f t="shared" si="1"/>
        <v>AD507-1725</v>
      </c>
      <c r="C1727" s="5"/>
      <c r="F1727" s="5"/>
      <c r="G1727" s="5" t="str">
        <f t="shared" si="2"/>
        <v/>
      </c>
      <c r="H1727" s="5" t="str">
        <f t="shared" si="3"/>
        <v/>
      </c>
      <c r="I1727" s="5" t="str">
        <f t="shared" si="4"/>
        <v/>
      </c>
      <c r="J1727" s="5" t="str">
        <f t="shared" si="5"/>
        <v/>
      </c>
      <c r="K1727" s="5" t="str">
        <f>IFERROR(__xludf.DUMMYFUNCTION("IF(C1727&lt;&gt;"""",HYPERLINK(""https://wa.me/507""&amp;REGEXREPLACE(C1727,""[^0-9]"","""")&amp;""?text=""&amp;ENCODEURL(""Ya llegue. Codigo: ""&amp;A1727&amp;"". Ubicacion: ""&amp;""https://www.google.com/maps/search/?api=1&amp;query=""&amp;SUBSTITUTE(F1727,"" "","""")),""📲 Avisar al clien"&amp;"te""),"""")"),"")</f>
        <v/>
      </c>
      <c r="L1727" s="5" t="str">
        <f>IFERROR(__xludf.DUMMYFUNCTION("IF(C1727&lt;&gt;"""",""https://api.qrserver.com/v1/create-qr-code/?size=200x200&amp;data=""&amp;ENCODEURL(""https://wa.me/507""&amp;REGEXREPLACE(C1727,""[^0-9]"","""")&amp;""?text=""&amp;ENCODEURL(""Ya llegue. Codigo: ""&amp;A1727&amp;"". Ubicacion: ""&amp;""https://www.google.com/maps/search"&amp;"/?api=1&amp;query=""&amp;SUBSTITUTE(F1727,"" "",""""))),"""")"),"")</f>
        <v/>
      </c>
      <c r="M1727" s="5" t="str">
        <f t="shared" si="6"/>
        <v/>
      </c>
      <c r="N1727" s="5" t="str">
        <f>IFERROR(__xludf.DUMMYFUNCTION("IF(AND(F1727&lt;&gt;"""",REGEXMATCH(SUBSTITUTE(F1727,"" "",""""),""^-?\d+(\.\d+)?,-?\d+(\.\d+)?$""),VALUE(REGEXEXTRACT(SUBSTITUTE(F1727,"" "",""""),""^-?\d+(\.\d+)?""))&gt;=-90,VALUE(REGEXEXTRACT(SUBSTITUTE(F1727,"" "",""""),""^-?\d+(\.\d+)?""))&lt;=90,VALUE(REGEXEXT"&amp;"RACT(SUBSTITUTE(F1727,"" "",""""),""-?\d+(\.\d+)?$""))&gt;=-180,VALUE(REGEXEXTRACT(SUBSTITUTE(F1727,"" "",""""),""-?\d+(\.\d+)?$""))&lt;=180),""OK"",""REVISAR"")"),"#N/A")</f>
        <v>#N/A</v>
      </c>
    </row>
    <row r="1728" ht="15.75" customHeight="1">
      <c r="A1728" s="5" t="str">
        <f t="shared" si="1"/>
        <v>AD507-1726</v>
      </c>
      <c r="C1728" s="5"/>
      <c r="F1728" s="5"/>
      <c r="G1728" s="5" t="str">
        <f t="shared" si="2"/>
        <v/>
      </c>
      <c r="H1728" s="5" t="str">
        <f t="shared" si="3"/>
        <v/>
      </c>
      <c r="I1728" s="5" t="str">
        <f t="shared" si="4"/>
        <v/>
      </c>
      <c r="J1728" s="5" t="str">
        <f t="shared" si="5"/>
        <v/>
      </c>
      <c r="K1728" s="5" t="str">
        <f>IFERROR(__xludf.DUMMYFUNCTION("IF(C1728&lt;&gt;"""",HYPERLINK(""https://wa.me/507""&amp;REGEXREPLACE(C1728,""[^0-9]"","""")&amp;""?text=""&amp;ENCODEURL(""Ya llegue. Codigo: ""&amp;A1728&amp;"". Ubicacion: ""&amp;""https://www.google.com/maps/search/?api=1&amp;query=""&amp;SUBSTITUTE(F1728,"" "","""")),""📲 Avisar al clien"&amp;"te""),"""")"),"")</f>
        <v/>
      </c>
      <c r="L1728" s="5" t="str">
        <f>IFERROR(__xludf.DUMMYFUNCTION("IF(C1728&lt;&gt;"""",""https://api.qrserver.com/v1/create-qr-code/?size=200x200&amp;data=""&amp;ENCODEURL(""https://wa.me/507""&amp;REGEXREPLACE(C1728,""[^0-9]"","""")&amp;""?text=""&amp;ENCODEURL(""Ya llegue. Codigo: ""&amp;A1728&amp;"". Ubicacion: ""&amp;""https://www.google.com/maps/search"&amp;"/?api=1&amp;query=""&amp;SUBSTITUTE(F1728,"" "",""""))),"""")"),"")</f>
        <v/>
      </c>
      <c r="M1728" s="5" t="str">
        <f t="shared" si="6"/>
        <v/>
      </c>
      <c r="N1728" s="5" t="str">
        <f>IFERROR(__xludf.DUMMYFUNCTION("IF(AND(F1728&lt;&gt;"""",REGEXMATCH(SUBSTITUTE(F1728,"" "",""""),""^-?\d+(\.\d+)?,-?\d+(\.\d+)?$""),VALUE(REGEXEXTRACT(SUBSTITUTE(F1728,"" "",""""),""^-?\d+(\.\d+)?""))&gt;=-90,VALUE(REGEXEXTRACT(SUBSTITUTE(F1728,"" "",""""),""^-?\d+(\.\d+)?""))&lt;=90,VALUE(REGEXEXT"&amp;"RACT(SUBSTITUTE(F1728,"" "",""""),""-?\d+(\.\d+)?$""))&gt;=-180,VALUE(REGEXEXTRACT(SUBSTITUTE(F1728,"" "",""""),""-?\d+(\.\d+)?$""))&lt;=180),""OK"",""REVISAR"")"),"#N/A")</f>
        <v>#N/A</v>
      </c>
    </row>
    <row r="1729" ht="15.75" customHeight="1">
      <c r="A1729" s="5" t="str">
        <f t="shared" si="1"/>
        <v>AD507-1727</v>
      </c>
      <c r="C1729" s="5"/>
      <c r="F1729" s="5"/>
      <c r="G1729" s="5" t="str">
        <f t="shared" si="2"/>
        <v/>
      </c>
      <c r="H1729" s="5" t="str">
        <f t="shared" si="3"/>
        <v/>
      </c>
      <c r="I1729" s="5" t="str">
        <f t="shared" si="4"/>
        <v/>
      </c>
      <c r="J1729" s="5" t="str">
        <f t="shared" si="5"/>
        <v/>
      </c>
      <c r="K1729" s="5" t="str">
        <f>IFERROR(__xludf.DUMMYFUNCTION("IF(C1729&lt;&gt;"""",HYPERLINK(""https://wa.me/507""&amp;REGEXREPLACE(C1729,""[^0-9]"","""")&amp;""?text=""&amp;ENCODEURL(""Ya llegue. Codigo: ""&amp;A1729&amp;"". Ubicacion: ""&amp;""https://www.google.com/maps/search/?api=1&amp;query=""&amp;SUBSTITUTE(F1729,"" "","""")),""📲 Avisar al clien"&amp;"te""),"""")"),"")</f>
        <v/>
      </c>
      <c r="L1729" s="5" t="str">
        <f>IFERROR(__xludf.DUMMYFUNCTION("IF(C1729&lt;&gt;"""",""https://api.qrserver.com/v1/create-qr-code/?size=200x200&amp;data=""&amp;ENCODEURL(""https://wa.me/507""&amp;REGEXREPLACE(C1729,""[^0-9]"","""")&amp;""?text=""&amp;ENCODEURL(""Ya llegue. Codigo: ""&amp;A1729&amp;"". Ubicacion: ""&amp;""https://www.google.com/maps/search"&amp;"/?api=1&amp;query=""&amp;SUBSTITUTE(F1729,"" "",""""))),"""")"),"")</f>
        <v/>
      </c>
      <c r="M1729" s="5" t="str">
        <f t="shared" si="6"/>
        <v/>
      </c>
      <c r="N1729" s="5" t="str">
        <f>IFERROR(__xludf.DUMMYFUNCTION("IF(AND(F1729&lt;&gt;"""",REGEXMATCH(SUBSTITUTE(F1729,"" "",""""),""^-?\d+(\.\d+)?,-?\d+(\.\d+)?$""),VALUE(REGEXEXTRACT(SUBSTITUTE(F1729,"" "",""""),""^-?\d+(\.\d+)?""))&gt;=-90,VALUE(REGEXEXTRACT(SUBSTITUTE(F1729,"" "",""""),""^-?\d+(\.\d+)?""))&lt;=90,VALUE(REGEXEXT"&amp;"RACT(SUBSTITUTE(F1729,"" "",""""),""-?\d+(\.\d+)?$""))&gt;=-180,VALUE(REGEXEXTRACT(SUBSTITUTE(F1729,"" "",""""),""-?\d+(\.\d+)?$""))&lt;=180),""OK"",""REVISAR"")"),"#N/A")</f>
        <v>#N/A</v>
      </c>
    </row>
    <row r="1730" ht="15.75" customHeight="1">
      <c r="A1730" s="5" t="str">
        <f t="shared" si="1"/>
        <v>AD507-1728</v>
      </c>
      <c r="C1730" s="5"/>
      <c r="F1730" s="5"/>
      <c r="G1730" s="5" t="str">
        <f t="shared" si="2"/>
        <v/>
      </c>
      <c r="H1730" s="5" t="str">
        <f t="shared" si="3"/>
        <v/>
      </c>
      <c r="I1730" s="5" t="str">
        <f t="shared" si="4"/>
        <v/>
      </c>
      <c r="J1730" s="5" t="str">
        <f t="shared" si="5"/>
        <v/>
      </c>
      <c r="K1730" s="5" t="str">
        <f>IFERROR(__xludf.DUMMYFUNCTION("IF(C1730&lt;&gt;"""",HYPERLINK(""https://wa.me/507""&amp;REGEXREPLACE(C1730,""[^0-9]"","""")&amp;""?text=""&amp;ENCODEURL(""Ya llegue. Codigo: ""&amp;A1730&amp;"". Ubicacion: ""&amp;""https://www.google.com/maps/search/?api=1&amp;query=""&amp;SUBSTITUTE(F1730,"" "","""")),""📲 Avisar al clien"&amp;"te""),"""")"),"")</f>
        <v/>
      </c>
      <c r="L1730" s="5" t="str">
        <f>IFERROR(__xludf.DUMMYFUNCTION("IF(C1730&lt;&gt;"""",""https://api.qrserver.com/v1/create-qr-code/?size=200x200&amp;data=""&amp;ENCODEURL(""https://wa.me/507""&amp;REGEXREPLACE(C1730,""[^0-9]"","""")&amp;""?text=""&amp;ENCODEURL(""Ya llegue. Codigo: ""&amp;A1730&amp;"". Ubicacion: ""&amp;""https://www.google.com/maps/search"&amp;"/?api=1&amp;query=""&amp;SUBSTITUTE(F1730,"" "",""""))),"""")"),"")</f>
        <v/>
      </c>
      <c r="M1730" s="5" t="str">
        <f t="shared" si="6"/>
        <v/>
      </c>
      <c r="N1730" s="5" t="str">
        <f>IFERROR(__xludf.DUMMYFUNCTION("IF(AND(F1730&lt;&gt;"""",REGEXMATCH(SUBSTITUTE(F1730,"" "",""""),""^-?\d+(\.\d+)?,-?\d+(\.\d+)?$""),VALUE(REGEXEXTRACT(SUBSTITUTE(F1730,"" "",""""),""^-?\d+(\.\d+)?""))&gt;=-90,VALUE(REGEXEXTRACT(SUBSTITUTE(F1730,"" "",""""),""^-?\d+(\.\d+)?""))&lt;=90,VALUE(REGEXEXT"&amp;"RACT(SUBSTITUTE(F1730,"" "",""""),""-?\d+(\.\d+)?$""))&gt;=-180,VALUE(REGEXEXTRACT(SUBSTITUTE(F1730,"" "",""""),""-?\d+(\.\d+)?$""))&lt;=180),""OK"",""REVISAR"")"),"#N/A")</f>
        <v>#N/A</v>
      </c>
    </row>
    <row r="1731" ht="15.75" customHeight="1">
      <c r="A1731" s="5" t="str">
        <f t="shared" si="1"/>
        <v>AD507-1729</v>
      </c>
      <c r="C1731" s="5"/>
      <c r="F1731" s="5"/>
      <c r="G1731" s="5" t="str">
        <f t="shared" si="2"/>
        <v/>
      </c>
      <c r="H1731" s="5" t="str">
        <f t="shared" si="3"/>
        <v/>
      </c>
      <c r="I1731" s="5" t="str">
        <f t="shared" si="4"/>
        <v/>
      </c>
      <c r="J1731" s="5" t="str">
        <f t="shared" si="5"/>
        <v/>
      </c>
      <c r="K1731" s="5" t="str">
        <f>IFERROR(__xludf.DUMMYFUNCTION("IF(C1731&lt;&gt;"""",HYPERLINK(""https://wa.me/507""&amp;REGEXREPLACE(C1731,""[^0-9]"","""")&amp;""?text=""&amp;ENCODEURL(""Ya llegue. Codigo: ""&amp;A1731&amp;"". Ubicacion: ""&amp;""https://www.google.com/maps/search/?api=1&amp;query=""&amp;SUBSTITUTE(F1731,"" "","""")),""📲 Avisar al clien"&amp;"te""),"""")"),"")</f>
        <v/>
      </c>
      <c r="L1731" s="5" t="str">
        <f>IFERROR(__xludf.DUMMYFUNCTION("IF(C1731&lt;&gt;"""",""https://api.qrserver.com/v1/create-qr-code/?size=200x200&amp;data=""&amp;ENCODEURL(""https://wa.me/507""&amp;REGEXREPLACE(C1731,""[^0-9]"","""")&amp;""?text=""&amp;ENCODEURL(""Ya llegue. Codigo: ""&amp;A1731&amp;"". Ubicacion: ""&amp;""https://www.google.com/maps/search"&amp;"/?api=1&amp;query=""&amp;SUBSTITUTE(F1731,"" "",""""))),"""")"),"")</f>
        <v/>
      </c>
      <c r="M1731" s="5" t="str">
        <f t="shared" si="6"/>
        <v/>
      </c>
      <c r="N1731" s="5" t="str">
        <f>IFERROR(__xludf.DUMMYFUNCTION("IF(AND(F1731&lt;&gt;"""",REGEXMATCH(SUBSTITUTE(F1731,"" "",""""),""^-?\d+(\.\d+)?,-?\d+(\.\d+)?$""),VALUE(REGEXEXTRACT(SUBSTITUTE(F1731,"" "",""""),""^-?\d+(\.\d+)?""))&gt;=-90,VALUE(REGEXEXTRACT(SUBSTITUTE(F1731,"" "",""""),""^-?\d+(\.\d+)?""))&lt;=90,VALUE(REGEXEXT"&amp;"RACT(SUBSTITUTE(F1731,"" "",""""),""-?\d+(\.\d+)?$""))&gt;=-180,VALUE(REGEXEXTRACT(SUBSTITUTE(F1731,"" "",""""),""-?\d+(\.\d+)?$""))&lt;=180),""OK"",""REVISAR"")"),"#N/A")</f>
        <v>#N/A</v>
      </c>
    </row>
    <row r="1732" ht="15.75" customHeight="1">
      <c r="A1732" s="5" t="str">
        <f t="shared" si="1"/>
        <v>AD507-1730</v>
      </c>
      <c r="C1732" s="5"/>
      <c r="F1732" s="5"/>
      <c r="G1732" s="5" t="str">
        <f t="shared" si="2"/>
        <v/>
      </c>
      <c r="H1732" s="5" t="str">
        <f t="shared" si="3"/>
        <v/>
      </c>
      <c r="I1732" s="5" t="str">
        <f t="shared" si="4"/>
        <v/>
      </c>
      <c r="J1732" s="5" t="str">
        <f t="shared" si="5"/>
        <v/>
      </c>
      <c r="K1732" s="5" t="str">
        <f>IFERROR(__xludf.DUMMYFUNCTION("IF(C1732&lt;&gt;"""",HYPERLINK(""https://wa.me/507""&amp;REGEXREPLACE(C1732,""[^0-9]"","""")&amp;""?text=""&amp;ENCODEURL(""Ya llegue. Codigo: ""&amp;A1732&amp;"". Ubicacion: ""&amp;""https://www.google.com/maps/search/?api=1&amp;query=""&amp;SUBSTITUTE(F1732,"" "","""")),""📲 Avisar al clien"&amp;"te""),"""")"),"")</f>
        <v/>
      </c>
      <c r="L1732" s="5" t="str">
        <f>IFERROR(__xludf.DUMMYFUNCTION("IF(C1732&lt;&gt;"""",""https://api.qrserver.com/v1/create-qr-code/?size=200x200&amp;data=""&amp;ENCODEURL(""https://wa.me/507""&amp;REGEXREPLACE(C1732,""[^0-9]"","""")&amp;""?text=""&amp;ENCODEURL(""Ya llegue. Codigo: ""&amp;A1732&amp;"". Ubicacion: ""&amp;""https://www.google.com/maps/search"&amp;"/?api=1&amp;query=""&amp;SUBSTITUTE(F1732,"" "",""""))),"""")"),"")</f>
        <v/>
      </c>
      <c r="M1732" s="5" t="str">
        <f t="shared" si="6"/>
        <v/>
      </c>
      <c r="N1732" s="5" t="str">
        <f>IFERROR(__xludf.DUMMYFUNCTION("IF(AND(F1732&lt;&gt;"""",REGEXMATCH(SUBSTITUTE(F1732,"" "",""""),""^-?\d+(\.\d+)?,-?\d+(\.\d+)?$""),VALUE(REGEXEXTRACT(SUBSTITUTE(F1732,"" "",""""),""^-?\d+(\.\d+)?""))&gt;=-90,VALUE(REGEXEXTRACT(SUBSTITUTE(F1732,"" "",""""),""^-?\d+(\.\d+)?""))&lt;=90,VALUE(REGEXEXT"&amp;"RACT(SUBSTITUTE(F1732,"" "",""""),""-?\d+(\.\d+)?$""))&gt;=-180,VALUE(REGEXEXTRACT(SUBSTITUTE(F1732,"" "",""""),""-?\d+(\.\d+)?$""))&lt;=180),""OK"",""REVISAR"")"),"#N/A")</f>
        <v>#N/A</v>
      </c>
    </row>
    <row r="1733" ht="15.75" customHeight="1">
      <c r="A1733" s="5" t="str">
        <f t="shared" si="1"/>
        <v>AD507-1731</v>
      </c>
      <c r="C1733" s="5"/>
      <c r="F1733" s="5"/>
      <c r="G1733" s="5" t="str">
        <f t="shared" si="2"/>
        <v/>
      </c>
      <c r="H1733" s="5" t="str">
        <f t="shared" si="3"/>
        <v/>
      </c>
      <c r="I1733" s="5" t="str">
        <f t="shared" si="4"/>
        <v/>
      </c>
      <c r="J1733" s="5" t="str">
        <f t="shared" si="5"/>
        <v/>
      </c>
      <c r="K1733" s="5" t="str">
        <f>IFERROR(__xludf.DUMMYFUNCTION("IF(C1733&lt;&gt;"""",HYPERLINK(""https://wa.me/507""&amp;REGEXREPLACE(C1733,""[^0-9]"","""")&amp;""?text=""&amp;ENCODEURL(""Ya llegue. Codigo: ""&amp;A1733&amp;"". Ubicacion: ""&amp;""https://www.google.com/maps/search/?api=1&amp;query=""&amp;SUBSTITUTE(F1733,"" "","""")),""📲 Avisar al clien"&amp;"te""),"""")"),"")</f>
        <v/>
      </c>
      <c r="L1733" s="5" t="str">
        <f>IFERROR(__xludf.DUMMYFUNCTION("IF(C1733&lt;&gt;"""",""https://api.qrserver.com/v1/create-qr-code/?size=200x200&amp;data=""&amp;ENCODEURL(""https://wa.me/507""&amp;REGEXREPLACE(C1733,""[^0-9]"","""")&amp;""?text=""&amp;ENCODEURL(""Ya llegue. Codigo: ""&amp;A1733&amp;"". Ubicacion: ""&amp;""https://www.google.com/maps/search"&amp;"/?api=1&amp;query=""&amp;SUBSTITUTE(F1733,"" "",""""))),"""")"),"")</f>
        <v/>
      </c>
      <c r="M1733" s="5" t="str">
        <f t="shared" si="6"/>
        <v/>
      </c>
      <c r="N1733" s="5" t="str">
        <f>IFERROR(__xludf.DUMMYFUNCTION("IF(AND(F1733&lt;&gt;"""",REGEXMATCH(SUBSTITUTE(F1733,"" "",""""),""^-?\d+(\.\d+)?,-?\d+(\.\d+)?$""),VALUE(REGEXEXTRACT(SUBSTITUTE(F1733,"" "",""""),""^-?\d+(\.\d+)?""))&gt;=-90,VALUE(REGEXEXTRACT(SUBSTITUTE(F1733,"" "",""""),""^-?\d+(\.\d+)?""))&lt;=90,VALUE(REGEXEXT"&amp;"RACT(SUBSTITUTE(F1733,"" "",""""),""-?\d+(\.\d+)?$""))&gt;=-180,VALUE(REGEXEXTRACT(SUBSTITUTE(F1733,"" "",""""),""-?\d+(\.\d+)?$""))&lt;=180),""OK"",""REVISAR"")"),"#N/A")</f>
        <v>#N/A</v>
      </c>
    </row>
    <row r="1734" ht="15.75" customHeight="1">
      <c r="A1734" s="5" t="str">
        <f t="shared" si="1"/>
        <v>AD507-1732</v>
      </c>
      <c r="C1734" s="5"/>
      <c r="F1734" s="5"/>
      <c r="G1734" s="5" t="str">
        <f t="shared" si="2"/>
        <v/>
      </c>
      <c r="H1734" s="5" t="str">
        <f t="shared" si="3"/>
        <v/>
      </c>
      <c r="I1734" s="5" t="str">
        <f t="shared" si="4"/>
        <v/>
      </c>
      <c r="J1734" s="5" t="str">
        <f t="shared" si="5"/>
        <v/>
      </c>
      <c r="K1734" s="5" t="str">
        <f>IFERROR(__xludf.DUMMYFUNCTION("IF(C1734&lt;&gt;"""",HYPERLINK(""https://wa.me/507""&amp;REGEXREPLACE(C1734,""[^0-9]"","""")&amp;""?text=""&amp;ENCODEURL(""Ya llegue. Codigo: ""&amp;A1734&amp;"". Ubicacion: ""&amp;""https://www.google.com/maps/search/?api=1&amp;query=""&amp;SUBSTITUTE(F1734,"" "","""")),""📲 Avisar al clien"&amp;"te""),"""")"),"")</f>
        <v/>
      </c>
      <c r="L1734" s="5" t="str">
        <f>IFERROR(__xludf.DUMMYFUNCTION("IF(C1734&lt;&gt;"""",""https://api.qrserver.com/v1/create-qr-code/?size=200x200&amp;data=""&amp;ENCODEURL(""https://wa.me/507""&amp;REGEXREPLACE(C1734,""[^0-9]"","""")&amp;""?text=""&amp;ENCODEURL(""Ya llegue. Codigo: ""&amp;A1734&amp;"". Ubicacion: ""&amp;""https://www.google.com/maps/search"&amp;"/?api=1&amp;query=""&amp;SUBSTITUTE(F1734,"" "",""""))),"""")"),"")</f>
        <v/>
      </c>
      <c r="M1734" s="5" t="str">
        <f t="shared" si="6"/>
        <v/>
      </c>
      <c r="N1734" s="5" t="str">
        <f>IFERROR(__xludf.DUMMYFUNCTION("IF(AND(F1734&lt;&gt;"""",REGEXMATCH(SUBSTITUTE(F1734,"" "",""""),""^-?\d+(\.\d+)?,-?\d+(\.\d+)?$""),VALUE(REGEXEXTRACT(SUBSTITUTE(F1734,"" "",""""),""^-?\d+(\.\d+)?""))&gt;=-90,VALUE(REGEXEXTRACT(SUBSTITUTE(F1734,"" "",""""),""^-?\d+(\.\d+)?""))&lt;=90,VALUE(REGEXEXT"&amp;"RACT(SUBSTITUTE(F1734,"" "",""""),""-?\d+(\.\d+)?$""))&gt;=-180,VALUE(REGEXEXTRACT(SUBSTITUTE(F1734,"" "",""""),""-?\d+(\.\d+)?$""))&lt;=180),""OK"",""REVISAR"")"),"#N/A")</f>
        <v>#N/A</v>
      </c>
    </row>
    <row r="1735" ht="15.75" customHeight="1">
      <c r="A1735" s="5" t="str">
        <f t="shared" si="1"/>
        <v>AD507-1733</v>
      </c>
      <c r="C1735" s="5"/>
      <c r="F1735" s="5"/>
      <c r="G1735" s="5" t="str">
        <f t="shared" si="2"/>
        <v/>
      </c>
      <c r="H1735" s="5" t="str">
        <f t="shared" si="3"/>
        <v/>
      </c>
      <c r="I1735" s="5" t="str">
        <f t="shared" si="4"/>
        <v/>
      </c>
      <c r="J1735" s="5" t="str">
        <f t="shared" si="5"/>
        <v/>
      </c>
      <c r="K1735" s="5" t="str">
        <f>IFERROR(__xludf.DUMMYFUNCTION("IF(C1735&lt;&gt;"""",HYPERLINK(""https://wa.me/507""&amp;REGEXREPLACE(C1735,""[^0-9]"","""")&amp;""?text=""&amp;ENCODEURL(""Ya llegue. Codigo: ""&amp;A1735&amp;"". Ubicacion: ""&amp;""https://www.google.com/maps/search/?api=1&amp;query=""&amp;SUBSTITUTE(F1735,"" "","""")),""📲 Avisar al clien"&amp;"te""),"""")"),"")</f>
        <v/>
      </c>
      <c r="L1735" s="5" t="str">
        <f>IFERROR(__xludf.DUMMYFUNCTION("IF(C1735&lt;&gt;"""",""https://api.qrserver.com/v1/create-qr-code/?size=200x200&amp;data=""&amp;ENCODEURL(""https://wa.me/507""&amp;REGEXREPLACE(C1735,""[^0-9]"","""")&amp;""?text=""&amp;ENCODEURL(""Ya llegue. Codigo: ""&amp;A1735&amp;"". Ubicacion: ""&amp;""https://www.google.com/maps/search"&amp;"/?api=1&amp;query=""&amp;SUBSTITUTE(F1735,"" "",""""))),"""")"),"")</f>
        <v/>
      </c>
      <c r="M1735" s="5" t="str">
        <f t="shared" si="6"/>
        <v/>
      </c>
      <c r="N1735" s="5" t="str">
        <f>IFERROR(__xludf.DUMMYFUNCTION("IF(AND(F1735&lt;&gt;"""",REGEXMATCH(SUBSTITUTE(F1735,"" "",""""),""^-?\d+(\.\d+)?,-?\d+(\.\d+)?$""),VALUE(REGEXEXTRACT(SUBSTITUTE(F1735,"" "",""""),""^-?\d+(\.\d+)?""))&gt;=-90,VALUE(REGEXEXTRACT(SUBSTITUTE(F1735,"" "",""""),""^-?\d+(\.\d+)?""))&lt;=90,VALUE(REGEXEXT"&amp;"RACT(SUBSTITUTE(F1735,"" "",""""),""-?\d+(\.\d+)?$""))&gt;=-180,VALUE(REGEXEXTRACT(SUBSTITUTE(F1735,"" "",""""),""-?\d+(\.\d+)?$""))&lt;=180),""OK"",""REVISAR"")"),"#N/A")</f>
        <v>#N/A</v>
      </c>
    </row>
    <row r="1736" ht="15.75" customHeight="1">
      <c r="A1736" s="5" t="str">
        <f t="shared" si="1"/>
        <v>AD507-1734</v>
      </c>
      <c r="C1736" s="5"/>
      <c r="F1736" s="5"/>
      <c r="G1736" s="5" t="str">
        <f t="shared" si="2"/>
        <v/>
      </c>
      <c r="H1736" s="5" t="str">
        <f t="shared" si="3"/>
        <v/>
      </c>
      <c r="I1736" s="5" t="str">
        <f t="shared" si="4"/>
        <v/>
      </c>
      <c r="J1736" s="5" t="str">
        <f t="shared" si="5"/>
        <v/>
      </c>
      <c r="K1736" s="5" t="str">
        <f>IFERROR(__xludf.DUMMYFUNCTION("IF(C1736&lt;&gt;"""",HYPERLINK(""https://wa.me/507""&amp;REGEXREPLACE(C1736,""[^0-9]"","""")&amp;""?text=""&amp;ENCODEURL(""Ya llegue. Codigo: ""&amp;A1736&amp;"". Ubicacion: ""&amp;""https://www.google.com/maps/search/?api=1&amp;query=""&amp;SUBSTITUTE(F1736,"" "","""")),""📲 Avisar al clien"&amp;"te""),"""")"),"")</f>
        <v/>
      </c>
      <c r="L1736" s="5" t="str">
        <f>IFERROR(__xludf.DUMMYFUNCTION("IF(C1736&lt;&gt;"""",""https://api.qrserver.com/v1/create-qr-code/?size=200x200&amp;data=""&amp;ENCODEURL(""https://wa.me/507""&amp;REGEXREPLACE(C1736,""[^0-9]"","""")&amp;""?text=""&amp;ENCODEURL(""Ya llegue. Codigo: ""&amp;A1736&amp;"". Ubicacion: ""&amp;""https://www.google.com/maps/search"&amp;"/?api=1&amp;query=""&amp;SUBSTITUTE(F1736,"" "",""""))),"""")"),"")</f>
        <v/>
      </c>
      <c r="M1736" s="5" t="str">
        <f t="shared" si="6"/>
        <v/>
      </c>
      <c r="N1736" s="5" t="str">
        <f>IFERROR(__xludf.DUMMYFUNCTION("IF(AND(F1736&lt;&gt;"""",REGEXMATCH(SUBSTITUTE(F1736,"" "",""""),""^-?\d+(\.\d+)?,-?\d+(\.\d+)?$""),VALUE(REGEXEXTRACT(SUBSTITUTE(F1736,"" "",""""),""^-?\d+(\.\d+)?""))&gt;=-90,VALUE(REGEXEXTRACT(SUBSTITUTE(F1736,"" "",""""),""^-?\d+(\.\d+)?""))&lt;=90,VALUE(REGEXEXT"&amp;"RACT(SUBSTITUTE(F1736,"" "",""""),""-?\d+(\.\d+)?$""))&gt;=-180,VALUE(REGEXEXTRACT(SUBSTITUTE(F1736,"" "",""""),""-?\d+(\.\d+)?$""))&lt;=180),""OK"",""REVISAR"")"),"#N/A")</f>
        <v>#N/A</v>
      </c>
    </row>
    <row r="1737" ht="15.75" customHeight="1">
      <c r="A1737" s="5" t="str">
        <f t="shared" si="1"/>
        <v>AD507-1735</v>
      </c>
      <c r="C1737" s="5"/>
      <c r="F1737" s="5"/>
      <c r="G1737" s="5" t="str">
        <f t="shared" si="2"/>
        <v/>
      </c>
      <c r="H1737" s="5" t="str">
        <f t="shared" si="3"/>
        <v/>
      </c>
      <c r="I1737" s="5" t="str">
        <f t="shared" si="4"/>
        <v/>
      </c>
      <c r="J1737" s="5" t="str">
        <f t="shared" si="5"/>
        <v/>
      </c>
      <c r="K1737" s="5" t="str">
        <f>IFERROR(__xludf.DUMMYFUNCTION("IF(C1737&lt;&gt;"""",HYPERLINK(""https://wa.me/507""&amp;REGEXREPLACE(C1737,""[^0-9]"","""")&amp;""?text=""&amp;ENCODEURL(""Ya llegue. Codigo: ""&amp;A1737&amp;"". Ubicacion: ""&amp;""https://www.google.com/maps/search/?api=1&amp;query=""&amp;SUBSTITUTE(F1737,"" "","""")),""📲 Avisar al clien"&amp;"te""),"""")"),"")</f>
        <v/>
      </c>
      <c r="L1737" s="5" t="str">
        <f>IFERROR(__xludf.DUMMYFUNCTION("IF(C1737&lt;&gt;"""",""https://api.qrserver.com/v1/create-qr-code/?size=200x200&amp;data=""&amp;ENCODEURL(""https://wa.me/507""&amp;REGEXREPLACE(C1737,""[^0-9]"","""")&amp;""?text=""&amp;ENCODEURL(""Ya llegue. Codigo: ""&amp;A1737&amp;"". Ubicacion: ""&amp;""https://www.google.com/maps/search"&amp;"/?api=1&amp;query=""&amp;SUBSTITUTE(F1737,"" "",""""))),"""")"),"")</f>
        <v/>
      </c>
      <c r="M1737" s="5" t="str">
        <f t="shared" si="6"/>
        <v/>
      </c>
      <c r="N1737" s="5" t="str">
        <f>IFERROR(__xludf.DUMMYFUNCTION("IF(AND(F1737&lt;&gt;"""",REGEXMATCH(SUBSTITUTE(F1737,"" "",""""),""^-?\d+(\.\d+)?,-?\d+(\.\d+)?$""),VALUE(REGEXEXTRACT(SUBSTITUTE(F1737,"" "",""""),""^-?\d+(\.\d+)?""))&gt;=-90,VALUE(REGEXEXTRACT(SUBSTITUTE(F1737,"" "",""""),""^-?\d+(\.\d+)?""))&lt;=90,VALUE(REGEXEXT"&amp;"RACT(SUBSTITUTE(F1737,"" "",""""),""-?\d+(\.\d+)?$""))&gt;=-180,VALUE(REGEXEXTRACT(SUBSTITUTE(F1737,"" "",""""),""-?\d+(\.\d+)?$""))&lt;=180),""OK"",""REVISAR"")"),"#N/A")</f>
        <v>#N/A</v>
      </c>
    </row>
    <row r="1738" ht="15.75" customHeight="1">
      <c r="A1738" s="5" t="str">
        <f t="shared" si="1"/>
        <v>AD507-1736</v>
      </c>
      <c r="C1738" s="5"/>
      <c r="F1738" s="5"/>
      <c r="G1738" s="5" t="str">
        <f t="shared" si="2"/>
        <v/>
      </c>
      <c r="H1738" s="5" t="str">
        <f t="shared" si="3"/>
        <v/>
      </c>
      <c r="I1738" s="5" t="str">
        <f t="shared" si="4"/>
        <v/>
      </c>
      <c r="J1738" s="5" t="str">
        <f t="shared" si="5"/>
        <v/>
      </c>
      <c r="K1738" s="5" t="str">
        <f>IFERROR(__xludf.DUMMYFUNCTION("IF(C1738&lt;&gt;"""",HYPERLINK(""https://wa.me/507""&amp;REGEXREPLACE(C1738,""[^0-9]"","""")&amp;""?text=""&amp;ENCODEURL(""Ya llegue. Codigo: ""&amp;A1738&amp;"". Ubicacion: ""&amp;""https://www.google.com/maps/search/?api=1&amp;query=""&amp;SUBSTITUTE(F1738,"" "","""")),""📲 Avisar al clien"&amp;"te""),"""")"),"")</f>
        <v/>
      </c>
      <c r="L1738" s="5" t="str">
        <f>IFERROR(__xludf.DUMMYFUNCTION("IF(C1738&lt;&gt;"""",""https://api.qrserver.com/v1/create-qr-code/?size=200x200&amp;data=""&amp;ENCODEURL(""https://wa.me/507""&amp;REGEXREPLACE(C1738,""[^0-9]"","""")&amp;""?text=""&amp;ENCODEURL(""Ya llegue. Codigo: ""&amp;A1738&amp;"". Ubicacion: ""&amp;""https://www.google.com/maps/search"&amp;"/?api=1&amp;query=""&amp;SUBSTITUTE(F1738,"" "",""""))),"""")"),"")</f>
        <v/>
      </c>
      <c r="M1738" s="5" t="str">
        <f t="shared" si="6"/>
        <v/>
      </c>
      <c r="N1738" s="5" t="str">
        <f>IFERROR(__xludf.DUMMYFUNCTION("IF(AND(F1738&lt;&gt;"""",REGEXMATCH(SUBSTITUTE(F1738,"" "",""""),""^-?\d+(\.\d+)?,-?\d+(\.\d+)?$""),VALUE(REGEXEXTRACT(SUBSTITUTE(F1738,"" "",""""),""^-?\d+(\.\d+)?""))&gt;=-90,VALUE(REGEXEXTRACT(SUBSTITUTE(F1738,"" "",""""),""^-?\d+(\.\d+)?""))&lt;=90,VALUE(REGEXEXT"&amp;"RACT(SUBSTITUTE(F1738,"" "",""""),""-?\d+(\.\d+)?$""))&gt;=-180,VALUE(REGEXEXTRACT(SUBSTITUTE(F1738,"" "",""""),""-?\d+(\.\d+)?$""))&lt;=180),""OK"",""REVISAR"")"),"#N/A")</f>
        <v>#N/A</v>
      </c>
    </row>
    <row r="1739" ht="15.75" customHeight="1">
      <c r="A1739" s="5" t="str">
        <f t="shared" si="1"/>
        <v>AD507-1737</v>
      </c>
      <c r="C1739" s="5"/>
      <c r="F1739" s="5"/>
      <c r="G1739" s="5" t="str">
        <f t="shared" si="2"/>
        <v/>
      </c>
      <c r="H1739" s="5" t="str">
        <f t="shared" si="3"/>
        <v/>
      </c>
      <c r="I1739" s="5" t="str">
        <f t="shared" si="4"/>
        <v/>
      </c>
      <c r="J1739" s="5" t="str">
        <f t="shared" si="5"/>
        <v/>
      </c>
      <c r="K1739" s="5" t="str">
        <f>IFERROR(__xludf.DUMMYFUNCTION("IF(C1739&lt;&gt;"""",HYPERLINK(""https://wa.me/507""&amp;REGEXREPLACE(C1739,""[^0-9]"","""")&amp;""?text=""&amp;ENCODEURL(""Ya llegue. Codigo: ""&amp;A1739&amp;"". Ubicacion: ""&amp;""https://www.google.com/maps/search/?api=1&amp;query=""&amp;SUBSTITUTE(F1739,"" "","""")),""📲 Avisar al clien"&amp;"te""),"""")"),"")</f>
        <v/>
      </c>
      <c r="L1739" s="5" t="str">
        <f>IFERROR(__xludf.DUMMYFUNCTION("IF(C1739&lt;&gt;"""",""https://api.qrserver.com/v1/create-qr-code/?size=200x200&amp;data=""&amp;ENCODEURL(""https://wa.me/507""&amp;REGEXREPLACE(C1739,""[^0-9]"","""")&amp;""?text=""&amp;ENCODEURL(""Ya llegue. Codigo: ""&amp;A1739&amp;"". Ubicacion: ""&amp;""https://www.google.com/maps/search"&amp;"/?api=1&amp;query=""&amp;SUBSTITUTE(F1739,"" "",""""))),"""")"),"")</f>
        <v/>
      </c>
      <c r="M1739" s="5" t="str">
        <f t="shared" si="6"/>
        <v/>
      </c>
      <c r="N1739" s="5" t="str">
        <f>IFERROR(__xludf.DUMMYFUNCTION("IF(AND(F1739&lt;&gt;"""",REGEXMATCH(SUBSTITUTE(F1739,"" "",""""),""^-?\d+(\.\d+)?,-?\d+(\.\d+)?$""),VALUE(REGEXEXTRACT(SUBSTITUTE(F1739,"" "",""""),""^-?\d+(\.\d+)?""))&gt;=-90,VALUE(REGEXEXTRACT(SUBSTITUTE(F1739,"" "",""""),""^-?\d+(\.\d+)?""))&lt;=90,VALUE(REGEXEXT"&amp;"RACT(SUBSTITUTE(F1739,"" "",""""),""-?\d+(\.\d+)?$""))&gt;=-180,VALUE(REGEXEXTRACT(SUBSTITUTE(F1739,"" "",""""),""-?\d+(\.\d+)?$""))&lt;=180),""OK"",""REVISAR"")"),"#N/A")</f>
        <v>#N/A</v>
      </c>
    </row>
    <row r="1740" ht="15.75" customHeight="1">
      <c r="A1740" s="5" t="str">
        <f t="shared" si="1"/>
        <v>AD507-1738</v>
      </c>
      <c r="C1740" s="5"/>
      <c r="F1740" s="5"/>
      <c r="G1740" s="5" t="str">
        <f t="shared" si="2"/>
        <v/>
      </c>
      <c r="H1740" s="5" t="str">
        <f t="shared" si="3"/>
        <v/>
      </c>
      <c r="I1740" s="5" t="str">
        <f t="shared" si="4"/>
        <v/>
      </c>
      <c r="J1740" s="5" t="str">
        <f t="shared" si="5"/>
        <v/>
      </c>
      <c r="K1740" s="5" t="str">
        <f>IFERROR(__xludf.DUMMYFUNCTION("IF(C1740&lt;&gt;"""",HYPERLINK(""https://wa.me/507""&amp;REGEXREPLACE(C1740,""[^0-9]"","""")&amp;""?text=""&amp;ENCODEURL(""Ya llegue. Codigo: ""&amp;A1740&amp;"". Ubicacion: ""&amp;""https://www.google.com/maps/search/?api=1&amp;query=""&amp;SUBSTITUTE(F1740,"" "","""")),""📲 Avisar al clien"&amp;"te""),"""")"),"")</f>
        <v/>
      </c>
      <c r="L1740" s="5" t="str">
        <f>IFERROR(__xludf.DUMMYFUNCTION("IF(C1740&lt;&gt;"""",""https://api.qrserver.com/v1/create-qr-code/?size=200x200&amp;data=""&amp;ENCODEURL(""https://wa.me/507""&amp;REGEXREPLACE(C1740,""[^0-9]"","""")&amp;""?text=""&amp;ENCODEURL(""Ya llegue. Codigo: ""&amp;A1740&amp;"". Ubicacion: ""&amp;""https://www.google.com/maps/search"&amp;"/?api=1&amp;query=""&amp;SUBSTITUTE(F1740,"" "",""""))),"""")"),"")</f>
        <v/>
      </c>
      <c r="M1740" s="5" t="str">
        <f t="shared" si="6"/>
        <v/>
      </c>
      <c r="N1740" s="5" t="str">
        <f>IFERROR(__xludf.DUMMYFUNCTION("IF(AND(F1740&lt;&gt;"""",REGEXMATCH(SUBSTITUTE(F1740,"" "",""""),""^-?\d+(\.\d+)?,-?\d+(\.\d+)?$""),VALUE(REGEXEXTRACT(SUBSTITUTE(F1740,"" "",""""),""^-?\d+(\.\d+)?""))&gt;=-90,VALUE(REGEXEXTRACT(SUBSTITUTE(F1740,"" "",""""),""^-?\d+(\.\d+)?""))&lt;=90,VALUE(REGEXEXT"&amp;"RACT(SUBSTITUTE(F1740,"" "",""""),""-?\d+(\.\d+)?$""))&gt;=-180,VALUE(REGEXEXTRACT(SUBSTITUTE(F1740,"" "",""""),""-?\d+(\.\d+)?$""))&lt;=180),""OK"",""REVISAR"")"),"#N/A")</f>
        <v>#N/A</v>
      </c>
    </row>
    <row r="1741" ht="15.75" customHeight="1">
      <c r="A1741" s="5" t="str">
        <f t="shared" si="1"/>
        <v>AD507-1739</v>
      </c>
      <c r="C1741" s="5"/>
      <c r="F1741" s="5"/>
      <c r="G1741" s="5" t="str">
        <f t="shared" si="2"/>
        <v/>
      </c>
      <c r="H1741" s="5" t="str">
        <f t="shared" si="3"/>
        <v/>
      </c>
      <c r="I1741" s="5" t="str">
        <f t="shared" si="4"/>
        <v/>
      </c>
      <c r="J1741" s="5" t="str">
        <f t="shared" si="5"/>
        <v/>
      </c>
      <c r="K1741" s="5" t="str">
        <f>IFERROR(__xludf.DUMMYFUNCTION("IF(C1741&lt;&gt;"""",HYPERLINK(""https://wa.me/507""&amp;REGEXREPLACE(C1741,""[^0-9]"","""")&amp;""?text=""&amp;ENCODEURL(""Ya llegue. Codigo: ""&amp;A1741&amp;"". Ubicacion: ""&amp;""https://www.google.com/maps/search/?api=1&amp;query=""&amp;SUBSTITUTE(F1741,"" "","""")),""📲 Avisar al clien"&amp;"te""),"""")"),"")</f>
        <v/>
      </c>
      <c r="L1741" s="5" t="str">
        <f>IFERROR(__xludf.DUMMYFUNCTION("IF(C1741&lt;&gt;"""",""https://api.qrserver.com/v1/create-qr-code/?size=200x200&amp;data=""&amp;ENCODEURL(""https://wa.me/507""&amp;REGEXREPLACE(C1741,""[^0-9]"","""")&amp;""?text=""&amp;ENCODEURL(""Ya llegue. Codigo: ""&amp;A1741&amp;"". Ubicacion: ""&amp;""https://www.google.com/maps/search"&amp;"/?api=1&amp;query=""&amp;SUBSTITUTE(F1741,"" "",""""))),"""")"),"")</f>
        <v/>
      </c>
      <c r="M1741" s="5" t="str">
        <f t="shared" si="6"/>
        <v/>
      </c>
      <c r="N1741" s="5" t="str">
        <f>IFERROR(__xludf.DUMMYFUNCTION("IF(AND(F1741&lt;&gt;"""",REGEXMATCH(SUBSTITUTE(F1741,"" "",""""),""^-?\d+(\.\d+)?,-?\d+(\.\d+)?$""),VALUE(REGEXEXTRACT(SUBSTITUTE(F1741,"" "",""""),""^-?\d+(\.\d+)?""))&gt;=-90,VALUE(REGEXEXTRACT(SUBSTITUTE(F1741,"" "",""""),""^-?\d+(\.\d+)?""))&lt;=90,VALUE(REGEXEXT"&amp;"RACT(SUBSTITUTE(F1741,"" "",""""),""-?\d+(\.\d+)?$""))&gt;=-180,VALUE(REGEXEXTRACT(SUBSTITUTE(F1741,"" "",""""),""-?\d+(\.\d+)?$""))&lt;=180),""OK"",""REVISAR"")"),"#N/A")</f>
        <v>#N/A</v>
      </c>
    </row>
    <row r="1742" ht="15.75" customHeight="1">
      <c r="A1742" s="5" t="str">
        <f t="shared" si="1"/>
        <v>AD507-1740</v>
      </c>
      <c r="C1742" s="5"/>
      <c r="F1742" s="5"/>
      <c r="G1742" s="5" t="str">
        <f t="shared" si="2"/>
        <v/>
      </c>
      <c r="H1742" s="5" t="str">
        <f t="shared" si="3"/>
        <v/>
      </c>
      <c r="I1742" s="5" t="str">
        <f t="shared" si="4"/>
        <v/>
      </c>
      <c r="J1742" s="5" t="str">
        <f t="shared" si="5"/>
        <v/>
      </c>
      <c r="K1742" s="5" t="str">
        <f>IFERROR(__xludf.DUMMYFUNCTION("IF(C1742&lt;&gt;"""",HYPERLINK(""https://wa.me/507""&amp;REGEXREPLACE(C1742,""[^0-9]"","""")&amp;""?text=""&amp;ENCODEURL(""Ya llegue. Codigo: ""&amp;A1742&amp;"". Ubicacion: ""&amp;""https://www.google.com/maps/search/?api=1&amp;query=""&amp;SUBSTITUTE(F1742,"" "","""")),""📲 Avisar al clien"&amp;"te""),"""")"),"")</f>
        <v/>
      </c>
      <c r="L1742" s="5" t="str">
        <f>IFERROR(__xludf.DUMMYFUNCTION("IF(C1742&lt;&gt;"""",""https://api.qrserver.com/v1/create-qr-code/?size=200x200&amp;data=""&amp;ENCODEURL(""https://wa.me/507""&amp;REGEXREPLACE(C1742,""[^0-9]"","""")&amp;""?text=""&amp;ENCODEURL(""Ya llegue. Codigo: ""&amp;A1742&amp;"". Ubicacion: ""&amp;""https://www.google.com/maps/search"&amp;"/?api=1&amp;query=""&amp;SUBSTITUTE(F1742,"" "",""""))),"""")"),"")</f>
        <v/>
      </c>
      <c r="M1742" s="5" t="str">
        <f t="shared" si="6"/>
        <v/>
      </c>
      <c r="N1742" s="5" t="str">
        <f>IFERROR(__xludf.DUMMYFUNCTION("IF(AND(F1742&lt;&gt;"""",REGEXMATCH(SUBSTITUTE(F1742,"" "",""""),""^-?\d+(\.\d+)?,-?\d+(\.\d+)?$""),VALUE(REGEXEXTRACT(SUBSTITUTE(F1742,"" "",""""),""^-?\d+(\.\d+)?""))&gt;=-90,VALUE(REGEXEXTRACT(SUBSTITUTE(F1742,"" "",""""),""^-?\d+(\.\d+)?""))&lt;=90,VALUE(REGEXEXT"&amp;"RACT(SUBSTITUTE(F1742,"" "",""""),""-?\d+(\.\d+)?$""))&gt;=-180,VALUE(REGEXEXTRACT(SUBSTITUTE(F1742,"" "",""""),""-?\d+(\.\d+)?$""))&lt;=180),""OK"",""REVISAR"")"),"#N/A")</f>
        <v>#N/A</v>
      </c>
    </row>
    <row r="1743" ht="15.75" customHeight="1">
      <c r="A1743" s="5" t="str">
        <f t="shared" si="1"/>
        <v>AD507-1741</v>
      </c>
      <c r="C1743" s="5"/>
      <c r="F1743" s="5"/>
      <c r="G1743" s="5" t="str">
        <f t="shared" si="2"/>
        <v/>
      </c>
      <c r="H1743" s="5" t="str">
        <f t="shared" si="3"/>
        <v/>
      </c>
      <c r="I1743" s="5" t="str">
        <f t="shared" si="4"/>
        <v/>
      </c>
      <c r="J1743" s="5" t="str">
        <f t="shared" si="5"/>
        <v/>
      </c>
      <c r="K1743" s="5" t="str">
        <f>IFERROR(__xludf.DUMMYFUNCTION("IF(C1743&lt;&gt;"""",HYPERLINK(""https://wa.me/507""&amp;REGEXREPLACE(C1743,""[^0-9]"","""")&amp;""?text=""&amp;ENCODEURL(""Ya llegue. Codigo: ""&amp;A1743&amp;"". Ubicacion: ""&amp;""https://www.google.com/maps/search/?api=1&amp;query=""&amp;SUBSTITUTE(F1743,"" "","""")),""📲 Avisar al clien"&amp;"te""),"""")"),"")</f>
        <v/>
      </c>
      <c r="L1743" s="5" t="str">
        <f>IFERROR(__xludf.DUMMYFUNCTION("IF(C1743&lt;&gt;"""",""https://api.qrserver.com/v1/create-qr-code/?size=200x200&amp;data=""&amp;ENCODEURL(""https://wa.me/507""&amp;REGEXREPLACE(C1743,""[^0-9]"","""")&amp;""?text=""&amp;ENCODEURL(""Ya llegue. Codigo: ""&amp;A1743&amp;"". Ubicacion: ""&amp;""https://www.google.com/maps/search"&amp;"/?api=1&amp;query=""&amp;SUBSTITUTE(F1743,"" "",""""))),"""")"),"")</f>
        <v/>
      </c>
      <c r="M1743" s="5" t="str">
        <f t="shared" si="6"/>
        <v/>
      </c>
      <c r="N1743" s="5" t="str">
        <f>IFERROR(__xludf.DUMMYFUNCTION("IF(AND(F1743&lt;&gt;"""",REGEXMATCH(SUBSTITUTE(F1743,"" "",""""),""^-?\d+(\.\d+)?,-?\d+(\.\d+)?$""),VALUE(REGEXEXTRACT(SUBSTITUTE(F1743,"" "",""""),""^-?\d+(\.\d+)?""))&gt;=-90,VALUE(REGEXEXTRACT(SUBSTITUTE(F1743,"" "",""""),""^-?\d+(\.\d+)?""))&lt;=90,VALUE(REGEXEXT"&amp;"RACT(SUBSTITUTE(F1743,"" "",""""),""-?\d+(\.\d+)?$""))&gt;=-180,VALUE(REGEXEXTRACT(SUBSTITUTE(F1743,"" "",""""),""-?\d+(\.\d+)?$""))&lt;=180),""OK"",""REVISAR"")"),"#N/A")</f>
        <v>#N/A</v>
      </c>
    </row>
    <row r="1744" ht="15.75" customHeight="1">
      <c r="A1744" s="5" t="str">
        <f t="shared" si="1"/>
        <v>AD507-1742</v>
      </c>
      <c r="C1744" s="5"/>
      <c r="F1744" s="5"/>
      <c r="G1744" s="5" t="str">
        <f t="shared" si="2"/>
        <v/>
      </c>
      <c r="H1744" s="5" t="str">
        <f t="shared" si="3"/>
        <v/>
      </c>
      <c r="I1744" s="5" t="str">
        <f t="shared" si="4"/>
        <v/>
      </c>
      <c r="J1744" s="5" t="str">
        <f t="shared" si="5"/>
        <v/>
      </c>
      <c r="K1744" s="5" t="str">
        <f>IFERROR(__xludf.DUMMYFUNCTION("IF(C1744&lt;&gt;"""",HYPERLINK(""https://wa.me/507""&amp;REGEXREPLACE(C1744,""[^0-9]"","""")&amp;""?text=""&amp;ENCODEURL(""Ya llegue. Codigo: ""&amp;A1744&amp;"". Ubicacion: ""&amp;""https://www.google.com/maps/search/?api=1&amp;query=""&amp;SUBSTITUTE(F1744,"" "","""")),""📲 Avisar al clien"&amp;"te""),"""")"),"")</f>
        <v/>
      </c>
      <c r="L1744" s="5" t="str">
        <f>IFERROR(__xludf.DUMMYFUNCTION("IF(C1744&lt;&gt;"""",""https://api.qrserver.com/v1/create-qr-code/?size=200x200&amp;data=""&amp;ENCODEURL(""https://wa.me/507""&amp;REGEXREPLACE(C1744,""[^0-9]"","""")&amp;""?text=""&amp;ENCODEURL(""Ya llegue. Codigo: ""&amp;A1744&amp;"". Ubicacion: ""&amp;""https://www.google.com/maps/search"&amp;"/?api=1&amp;query=""&amp;SUBSTITUTE(F1744,"" "",""""))),"""")"),"")</f>
        <v/>
      </c>
      <c r="M1744" s="5" t="str">
        <f t="shared" si="6"/>
        <v/>
      </c>
      <c r="N1744" s="5" t="str">
        <f>IFERROR(__xludf.DUMMYFUNCTION("IF(AND(F1744&lt;&gt;"""",REGEXMATCH(SUBSTITUTE(F1744,"" "",""""),""^-?\d+(\.\d+)?,-?\d+(\.\d+)?$""),VALUE(REGEXEXTRACT(SUBSTITUTE(F1744,"" "",""""),""^-?\d+(\.\d+)?""))&gt;=-90,VALUE(REGEXEXTRACT(SUBSTITUTE(F1744,"" "",""""),""^-?\d+(\.\d+)?""))&lt;=90,VALUE(REGEXEXT"&amp;"RACT(SUBSTITUTE(F1744,"" "",""""),""-?\d+(\.\d+)?$""))&gt;=-180,VALUE(REGEXEXTRACT(SUBSTITUTE(F1744,"" "",""""),""-?\d+(\.\d+)?$""))&lt;=180),""OK"",""REVISAR"")"),"#N/A")</f>
        <v>#N/A</v>
      </c>
    </row>
    <row r="1745" ht="15.75" customHeight="1">
      <c r="A1745" s="5" t="str">
        <f t="shared" si="1"/>
        <v>AD507-1743</v>
      </c>
      <c r="C1745" s="5"/>
      <c r="F1745" s="5"/>
      <c r="G1745" s="5" t="str">
        <f t="shared" si="2"/>
        <v/>
      </c>
      <c r="H1745" s="5" t="str">
        <f t="shared" si="3"/>
        <v/>
      </c>
      <c r="I1745" s="5" t="str">
        <f t="shared" si="4"/>
        <v/>
      </c>
      <c r="J1745" s="5" t="str">
        <f t="shared" si="5"/>
        <v/>
      </c>
      <c r="K1745" s="5" t="str">
        <f>IFERROR(__xludf.DUMMYFUNCTION("IF(C1745&lt;&gt;"""",HYPERLINK(""https://wa.me/507""&amp;REGEXREPLACE(C1745,""[^0-9]"","""")&amp;""?text=""&amp;ENCODEURL(""Ya llegue. Codigo: ""&amp;A1745&amp;"". Ubicacion: ""&amp;""https://www.google.com/maps/search/?api=1&amp;query=""&amp;SUBSTITUTE(F1745,"" "","""")),""📲 Avisar al clien"&amp;"te""),"""")"),"")</f>
        <v/>
      </c>
      <c r="L1745" s="5" t="str">
        <f>IFERROR(__xludf.DUMMYFUNCTION("IF(C1745&lt;&gt;"""",""https://api.qrserver.com/v1/create-qr-code/?size=200x200&amp;data=""&amp;ENCODEURL(""https://wa.me/507""&amp;REGEXREPLACE(C1745,""[^0-9]"","""")&amp;""?text=""&amp;ENCODEURL(""Ya llegue. Codigo: ""&amp;A1745&amp;"". Ubicacion: ""&amp;""https://www.google.com/maps/search"&amp;"/?api=1&amp;query=""&amp;SUBSTITUTE(F1745,"" "",""""))),"""")"),"")</f>
        <v/>
      </c>
      <c r="M1745" s="5" t="str">
        <f t="shared" si="6"/>
        <v/>
      </c>
      <c r="N1745" s="5" t="str">
        <f>IFERROR(__xludf.DUMMYFUNCTION("IF(AND(F1745&lt;&gt;"""",REGEXMATCH(SUBSTITUTE(F1745,"" "",""""),""^-?\d+(\.\d+)?,-?\d+(\.\d+)?$""),VALUE(REGEXEXTRACT(SUBSTITUTE(F1745,"" "",""""),""^-?\d+(\.\d+)?""))&gt;=-90,VALUE(REGEXEXTRACT(SUBSTITUTE(F1745,"" "",""""),""^-?\d+(\.\d+)?""))&lt;=90,VALUE(REGEXEXT"&amp;"RACT(SUBSTITUTE(F1745,"" "",""""),""-?\d+(\.\d+)?$""))&gt;=-180,VALUE(REGEXEXTRACT(SUBSTITUTE(F1745,"" "",""""),""-?\d+(\.\d+)?$""))&lt;=180),""OK"",""REVISAR"")"),"#N/A")</f>
        <v>#N/A</v>
      </c>
    </row>
    <row r="1746" ht="15.75" customHeight="1">
      <c r="A1746" s="5" t="str">
        <f t="shared" si="1"/>
        <v>AD507-1744</v>
      </c>
      <c r="C1746" s="5"/>
      <c r="F1746" s="5"/>
      <c r="G1746" s="5" t="str">
        <f t="shared" si="2"/>
        <v/>
      </c>
      <c r="H1746" s="5" t="str">
        <f t="shared" si="3"/>
        <v/>
      </c>
      <c r="I1746" s="5" t="str">
        <f t="shared" si="4"/>
        <v/>
      </c>
      <c r="J1746" s="5" t="str">
        <f t="shared" si="5"/>
        <v/>
      </c>
      <c r="K1746" s="5" t="str">
        <f>IFERROR(__xludf.DUMMYFUNCTION("IF(C1746&lt;&gt;"""",HYPERLINK(""https://wa.me/507""&amp;REGEXREPLACE(C1746,""[^0-9]"","""")&amp;""?text=""&amp;ENCODEURL(""Ya llegue. Codigo: ""&amp;A1746&amp;"". Ubicacion: ""&amp;""https://www.google.com/maps/search/?api=1&amp;query=""&amp;SUBSTITUTE(F1746,"" "","""")),""📲 Avisar al clien"&amp;"te""),"""")"),"")</f>
        <v/>
      </c>
      <c r="L1746" s="5" t="str">
        <f>IFERROR(__xludf.DUMMYFUNCTION("IF(C1746&lt;&gt;"""",""https://api.qrserver.com/v1/create-qr-code/?size=200x200&amp;data=""&amp;ENCODEURL(""https://wa.me/507""&amp;REGEXREPLACE(C1746,""[^0-9]"","""")&amp;""?text=""&amp;ENCODEURL(""Ya llegue. Codigo: ""&amp;A1746&amp;"". Ubicacion: ""&amp;""https://www.google.com/maps/search"&amp;"/?api=1&amp;query=""&amp;SUBSTITUTE(F1746,"" "",""""))),"""")"),"")</f>
        <v/>
      </c>
      <c r="M1746" s="5" t="str">
        <f t="shared" si="6"/>
        <v/>
      </c>
      <c r="N1746" s="5" t="str">
        <f>IFERROR(__xludf.DUMMYFUNCTION("IF(AND(F1746&lt;&gt;"""",REGEXMATCH(SUBSTITUTE(F1746,"" "",""""),""^-?\d+(\.\d+)?,-?\d+(\.\d+)?$""),VALUE(REGEXEXTRACT(SUBSTITUTE(F1746,"" "",""""),""^-?\d+(\.\d+)?""))&gt;=-90,VALUE(REGEXEXTRACT(SUBSTITUTE(F1746,"" "",""""),""^-?\d+(\.\d+)?""))&lt;=90,VALUE(REGEXEXT"&amp;"RACT(SUBSTITUTE(F1746,"" "",""""),""-?\d+(\.\d+)?$""))&gt;=-180,VALUE(REGEXEXTRACT(SUBSTITUTE(F1746,"" "",""""),""-?\d+(\.\d+)?$""))&lt;=180),""OK"",""REVISAR"")"),"#N/A")</f>
        <v>#N/A</v>
      </c>
    </row>
    <row r="1747" ht="15.75" customHeight="1">
      <c r="A1747" s="5" t="str">
        <f t="shared" si="1"/>
        <v>AD507-1745</v>
      </c>
      <c r="C1747" s="5"/>
      <c r="F1747" s="5"/>
      <c r="G1747" s="5" t="str">
        <f t="shared" si="2"/>
        <v/>
      </c>
      <c r="H1747" s="5" t="str">
        <f t="shared" si="3"/>
        <v/>
      </c>
      <c r="I1747" s="5" t="str">
        <f t="shared" si="4"/>
        <v/>
      </c>
      <c r="J1747" s="5" t="str">
        <f t="shared" si="5"/>
        <v/>
      </c>
      <c r="K1747" s="5" t="str">
        <f>IFERROR(__xludf.DUMMYFUNCTION("IF(C1747&lt;&gt;"""",HYPERLINK(""https://wa.me/507""&amp;REGEXREPLACE(C1747,""[^0-9]"","""")&amp;""?text=""&amp;ENCODEURL(""Ya llegue. Codigo: ""&amp;A1747&amp;"". Ubicacion: ""&amp;""https://www.google.com/maps/search/?api=1&amp;query=""&amp;SUBSTITUTE(F1747,"" "","""")),""📲 Avisar al clien"&amp;"te""),"""")"),"")</f>
        <v/>
      </c>
      <c r="L1747" s="5" t="str">
        <f>IFERROR(__xludf.DUMMYFUNCTION("IF(C1747&lt;&gt;"""",""https://api.qrserver.com/v1/create-qr-code/?size=200x200&amp;data=""&amp;ENCODEURL(""https://wa.me/507""&amp;REGEXREPLACE(C1747,""[^0-9]"","""")&amp;""?text=""&amp;ENCODEURL(""Ya llegue. Codigo: ""&amp;A1747&amp;"". Ubicacion: ""&amp;""https://www.google.com/maps/search"&amp;"/?api=1&amp;query=""&amp;SUBSTITUTE(F1747,"" "",""""))),"""")"),"")</f>
        <v/>
      </c>
      <c r="M1747" s="5" t="str">
        <f t="shared" si="6"/>
        <v/>
      </c>
      <c r="N1747" s="5" t="str">
        <f>IFERROR(__xludf.DUMMYFUNCTION("IF(AND(F1747&lt;&gt;"""",REGEXMATCH(SUBSTITUTE(F1747,"" "",""""),""^-?\d+(\.\d+)?,-?\d+(\.\d+)?$""),VALUE(REGEXEXTRACT(SUBSTITUTE(F1747,"" "",""""),""^-?\d+(\.\d+)?""))&gt;=-90,VALUE(REGEXEXTRACT(SUBSTITUTE(F1747,"" "",""""),""^-?\d+(\.\d+)?""))&lt;=90,VALUE(REGEXEXT"&amp;"RACT(SUBSTITUTE(F1747,"" "",""""),""-?\d+(\.\d+)?$""))&gt;=-180,VALUE(REGEXEXTRACT(SUBSTITUTE(F1747,"" "",""""),""-?\d+(\.\d+)?$""))&lt;=180),""OK"",""REVISAR"")"),"#N/A")</f>
        <v>#N/A</v>
      </c>
    </row>
    <row r="1748" ht="15.75" customHeight="1">
      <c r="A1748" s="5" t="str">
        <f t="shared" si="1"/>
        <v>AD507-1746</v>
      </c>
      <c r="C1748" s="5"/>
      <c r="F1748" s="5"/>
      <c r="G1748" s="5" t="str">
        <f t="shared" si="2"/>
        <v/>
      </c>
      <c r="H1748" s="5" t="str">
        <f t="shared" si="3"/>
        <v/>
      </c>
      <c r="I1748" s="5" t="str">
        <f t="shared" si="4"/>
        <v/>
      </c>
      <c r="J1748" s="5" t="str">
        <f t="shared" si="5"/>
        <v/>
      </c>
      <c r="K1748" s="5" t="str">
        <f>IFERROR(__xludf.DUMMYFUNCTION("IF(C1748&lt;&gt;"""",HYPERLINK(""https://wa.me/507""&amp;REGEXREPLACE(C1748,""[^0-9]"","""")&amp;""?text=""&amp;ENCODEURL(""Ya llegue. Codigo: ""&amp;A1748&amp;"". Ubicacion: ""&amp;""https://www.google.com/maps/search/?api=1&amp;query=""&amp;SUBSTITUTE(F1748,"" "","""")),""📲 Avisar al clien"&amp;"te""),"""")"),"")</f>
        <v/>
      </c>
      <c r="L1748" s="5" t="str">
        <f>IFERROR(__xludf.DUMMYFUNCTION("IF(C1748&lt;&gt;"""",""https://api.qrserver.com/v1/create-qr-code/?size=200x200&amp;data=""&amp;ENCODEURL(""https://wa.me/507""&amp;REGEXREPLACE(C1748,""[^0-9]"","""")&amp;""?text=""&amp;ENCODEURL(""Ya llegue. Codigo: ""&amp;A1748&amp;"". Ubicacion: ""&amp;""https://www.google.com/maps/search"&amp;"/?api=1&amp;query=""&amp;SUBSTITUTE(F1748,"" "",""""))),"""")"),"")</f>
        <v/>
      </c>
      <c r="M1748" s="5" t="str">
        <f t="shared" si="6"/>
        <v/>
      </c>
      <c r="N1748" s="5" t="str">
        <f>IFERROR(__xludf.DUMMYFUNCTION("IF(AND(F1748&lt;&gt;"""",REGEXMATCH(SUBSTITUTE(F1748,"" "",""""),""^-?\d+(\.\d+)?,-?\d+(\.\d+)?$""),VALUE(REGEXEXTRACT(SUBSTITUTE(F1748,"" "",""""),""^-?\d+(\.\d+)?""))&gt;=-90,VALUE(REGEXEXTRACT(SUBSTITUTE(F1748,"" "",""""),""^-?\d+(\.\d+)?""))&lt;=90,VALUE(REGEXEXT"&amp;"RACT(SUBSTITUTE(F1748,"" "",""""),""-?\d+(\.\d+)?$""))&gt;=-180,VALUE(REGEXEXTRACT(SUBSTITUTE(F1748,"" "",""""),""-?\d+(\.\d+)?$""))&lt;=180),""OK"",""REVISAR"")"),"#N/A")</f>
        <v>#N/A</v>
      </c>
    </row>
    <row r="1749" ht="15.75" customHeight="1">
      <c r="A1749" s="5" t="str">
        <f t="shared" si="1"/>
        <v>AD507-1747</v>
      </c>
      <c r="C1749" s="5"/>
      <c r="F1749" s="5"/>
      <c r="G1749" s="5" t="str">
        <f t="shared" si="2"/>
        <v/>
      </c>
      <c r="H1749" s="5" t="str">
        <f t="shared" si="3"/>
        <v/>
      </c>
      <c r="I1749" s="5" t="str">
        <f t="shared" si="4"/>
        <v/>
      </c>
      <c r="J1749" s="5" t="str">
        <f t="shared" si="5"/>
        <v/>
      </c>
      <c r="K1749" s="5" t="str">
        <f>IFERROR(__xludf.DUMMYFUNCTION("IF(C1749&lt;&gt;"""",HYPERLINK(""https://wa.me/507""&amp;REGEXREPLACE(C1749,""[^0-9]"","""")&amp;""?text=""&amp;ENCODEURL(""Ya llegue. Codigo: ""&amp;A1749&amp;"". Ubicacion: ""&amp;""https://www.google.com/maps/search/?api=1&amp;query=""&amp;SUBSTITUTE(F1749,"" "","""")),""📲 Avisar al clien"&amp;"te""),"""")"),"")</f>
        <v/>
      </c>
      <c r="L1749" s="5" t="str">
        <f>IFERROR(__xludf.DUMMYFUNCTION("IF(C1749&lt;&gt;"""",""https://api.qrserver.com/v1/create-qr-code/?size=200x200&amp;data=""&amp;ENCODEURL(""https://wa.me/507""&amp;REGEXREPLACE(C1749,""[^0-9]"","""")&amp;""?text=""&amp;ENCODEURL(""Ya llegue. Codigo: ""&amp;A1749&amp;"". Ubicacion: ""&amp;""https://www.google.com/maps/search"&amp;"/?api=1&amp;query=""&amp;SUBSTITUTE(F1749,"" "",""""))),"""")"),"")</f>
        <v/>
      </c>
      <c r="M1749" s="5" t="str">
        <f t="shared" si="6"/>
        <v/>
      </c>
      <c r="N1749" s="5" t="str">
        <f>IFERROR(__xludf.DUMMYFUNCTION("IF(AND(F1749&lt;&gt;"""",REGEXMATCH(SUBSTITUTE(F1749,"" "",""""),""^-?\d+(\.\d+)?,-?\d+(\.\d+)?$""),VALUE(REGEXEXTRACT(SUBSTITUTE(F1749,"" "",""""),""^-?\d+(\.\d+)?""))&gt;=-90,VALUE(REGEXEXTRACT(SUBSTITUTE(F1749,"" "",""""),""^-?\d+(\.\d+)?""))&lt;=90,VALUE(REGEXEXT"&amp;"RACT(SUBSTITUTE(F1749,"" "",""""),""-?\d+(\.\d+)?$""))&gt;=-180,VALUE(REGEXEXTRACT(SUBSTITUTE(F1749,"" "",""""),""-?\d+(\.\d+)?$""))&lt;=180),""OK"",""REVISAR"")"),"#N/A")</f>
        <v>#N/A</v>
      </c>
    </row>
    <row r="1750" ht="15.75" customHeight="1">
      <c r="A1750" s="5" t="str">
        <f t="shared" si="1"/>
        <v>AD507-1748</v>
      </c>
      <c r="C1750" s="5"/>
      <c r="F1750" s="5"/>
      <c r="G1750" s="5" t="str">
        <f t="shared" si="2"/>
        <v/>
      </c>
      <c r="H1750" s="5" t="str">
        <f t="shared" si="3"/>
        <v/>
      </c>
      <c r="I1750" s="5" t="str">
        <f t="shared" si="4"/>
        <v/>
      </c>
      <c r="J1750" s="5" t="str">
        <f t="shared" si="5"/>
        <v/>
      </c>
      <c r="K1750" s="5" t="str">
        <f>IFERROR(__xludf.DUMMYFUNCTION("IF(C1750&lt;&gt;"""",HYPERLINK(""https://wa.me/507""&amp;REGEXREPLACE(C1750,""[^0-9]"","""")&amp;""?text=""&amp;ENCODEURL(""Ya llegue. Codigo: ""&amp;A1750&amp;"". Ubicacion: ""&amp;""https://www.google.com/maps/search/?api=1&amp;query=""&amp;SUBSTITUTE(F1750,"" "","""")),""📲 Avisar al clien"&amp;"te""),"""")"),"")</f>
        <v/>
      </c>
      <c r="L1750" s="5" t="str">
        <f>IFERROR(__xludf.DUMMYFUNCTION("IF(C1750&lt;&gt;"""",""https://api.qrserver.com/v1/create-qr-code/?size=200x200&amp;data=""&amp;ENCODEURL(""https://wa.me/507""&amp;REGEXREPLACE(C1750,""[^0-9]"","""")&amp;""?text=""&amp;ENCODEURL(""Ya llegue. Codigo: ""&amp;A1750&amp;"". Ubicacion: ""&amp;""https://www.google.com/maps/search"&amp;"/?api=1&amp;query=""&amp;SUBSTITUTE(F1750,"" "",""""))),"""")"),"")</f>
        <v/>
      </c>
      <c r="M1750" s="5" t="str">
        <f t="shared" si="6"/>
        <v/>
      </c>
      <c r="N1750" s="5" t="str">
        <f>IFERROR(__xludf.DUMMYFUNCTION("IF(AND(F1750&lt;&gt;"""",REGEXMATCH(SUBSTITUTE(F1750,"" "",""""),""^-?\d+(\.\d+)?,-?\d+(\.\d+)?$""),VALUE(REGEXEXTRACT(SUBSTITUTE(F1750,"" "",""""),""^-?\d+(\.\d+)?""))&gt;=-90,VALUE(REGEXEXTRACT(SUBSTITUTE(F1750,"" "",""""),""^-?\d+(\.\d+)?""))&lt;=90,VALUE(REGEXEXT"&amp;"RACT(SUBSTITUTE(F1750,"" "",""""),""-?\d+(\.\d+)?$""))&gt;=-180,VALUE(REGEXEXTRACT(SUBSTITUTE(F1750,"" "",""""),""-?\d+(\.\d+)?$""))&lt;=180),""OK"",""REVISAR"")"),"#N/A")</f>
        <v>#N/A</v>
      </c>
    </row>
    <row r="1751" ht="15.75" customHeight="1">
      <c r="A1751" s="5" t="str">
        <f t="shared" si="1"/>
        <v>AD507-1749</v>
      </c>
      <c r="C1751" s="5"/>
      <c r="F1751" s="5"/>
      <c r="G1751" s="5" t="str">
        <f t="shared" si="2"/>
        <v/>
      </c>
      <c r="H1751" s="5" t="str">
        <f t="shared" si="3"/>
        <v/>
      </c>
      <c r="I1751" s="5" t="str">
        <f t="shared" si="4"/>
        <v/>
      </c>
      <c r="J1751" s="5" t="str">
        <f t="shared" si="5"/>
        <v/>
      </c>
      <c r="K1751" s="5" t="str">
        <f>IFERROR(__xludf.DUMMYFUNCTION("IF(C1751&lt;&gt;"""",HYPERLINK(""https://wa.me/507""&amp;REGEXREPLACE(C1751,""[^0-9]"","""")&amp;""?text=""&amp;ENCODEURL(""Ya llegue. Codigo: ""&amp;A1751&amp;"". Ubicacion: ""&amp;""https://www.google.com/maps/search/?api=1&amp;query=""&amp;SUBSTITUTE(F1751,"" "","""")),""📲 Avisar al clien"&amp;"te""),"""")"),"")</f>
        <v/>
      </c>
      <c r="L1751" s="5" t="str">
        <f>IFERROR(__xludf.DUMMYFUNCTION("IF(C1751&lt;&gt;"""",""https://api.qrserver.com/v1/create-qr-code/?size=200x200&amp;data=""&amp;ENCODEURL(""https://wa.me/507""&amp;REGEXREPLACE(C1751,""[^0-9]"","""")&amp;""?text=""&amp;ENCODEURL(""Ya llegue. Codigo: ""&amp;A1751&amp;"". Ubicacion: ""&amp;""https://www.google.com/maps/search"&amp;"/?api=1&amp;query=""&amp;SUBSTITUTE(F1751,"" "",""""))),"""")"),"")</f>
        <v/>
      </c>
      <c r="M1751" s="5" t="str">
        <f t="shared" si="6"/>
        <v/>
      </c>
      <c r="N1751" s="5" t="str">
        <f>IFERROR(__xludf.DUMMYFUNCTION("IF(AND(F1751&lt;&gt;"""",REGEXMATCH(SUBSTITUTE(F1751,"" "",""""),""^-?\d+(\.\d+)?,-?\d+(\.\d+)?$""),VALUE(REGEXEXTRACT(SUBSTITUTE(F1751,"" "",""""),""^-?\d+(\.\d+)?""))&gt;=-90,VALUE(REGEXEXTRACT(SUBSTITUTE(F1751,"" "",""""),""^-?\d+(\.\d+)?""))&lt;=90,VALUE(REGEXEXT"&amp;"RACT(SUBSTITUTE(F1751,"" "",""""),""-?\d+(\.\d+)?$""))&gt;=-180,VALUE(REGEXEXTRACT(SUBSTITUTE(F1751,"" "",""""),""-?\d+(\.\d+)?$""))&lt;=180),""OK"",""REVISAR"")"),"#N/A")</f>
        <v>#N/A</v>
      </c>
    </row>
    <row r="1752" ht="15.75" customHeight="1">
      <c r="A1752" s="5" t="str">
        <f t="shared" si="1"/>
        <v>AD507-1750</v>
      </c>
      <c r="C1752" s="5"/>
      <c r="F1752" s="5"/>
      <c r="G1752" s="5" t="str">
        <f t="shared" si="2"/>
        <v/>
      </c>
      <c r="H1752" s="5" t="str">
        <f t="shared" si="3"/>
        <v/>
      </c>
      <c r="I1752" s="5" t="str">
        <f t="shared" si="4"/>
        <v/>
      </c>
      <c r="J1752" s="5" t="str">
        <f t="shared" si="5"/>
        <v/>
      </c>
      <c r="K1752" s="5" t="str">
        <f>IFERROR(__xludf.DUMMYFUNCTION("IF(C1752&lt;&gt;"""",HYPERLINK(""https://wa.me/507""&amp;REGEXREPLACE(C1752,""[^0-9]"","""")&amp;""?text=""&amp;ENCODEURL(""Ya llegue. Codigo: ""&amp;A1752&amp;"". Ubicacion: ""&amp;""https://www.google.com/maps/search/?api=1&amp;query=""&amp;SUBSTITUTE(F1752,"" "","""")),""📲 Avisar al clien"&amp;"te""),"""")"),"")</f>
        <v/>
      </c>
      <c r="L1752" s="5" t="str">
        <f>IFERROR(__xludf.DUMMYFUNCTION("IF(C1752&lt;&gt;"""",""https://api.qrserver.com/v1/create-qr-code/?size=200x200&amp;data=""&amp;ENCODEURL(""https://wa.me/507""&amp;REGEXREPLACE(C1752,""[^0-9]"","""")&amp;""?text=""&amp;ENCODEURL(""Ya llegue. Codigo: ""&amp;A1752&amp;"". Ubicacion: ""&amp;""https://www.google.com/maps/search"&amp;"/?api=1&amp;query=""&amp;SUBSTITUTE(F1752,"" "",""""))),"""")"),"")</f>
        <v/>
      </c>
      <c r="M1752" s="5" t="str">
        <f t="shared" si="6"/>
        <v/>
      </c>
      <c r="N1752" s="5" t="str">
        <f>IFERROR(__xludf.DUMMYFUNCTION("IF(AND(F1752&lt;&gt;"""",REGEXMATCH(SUBSTITUTE(F1752,"" "",""""),""^-?\d+(\.\d+)?,-?\d+(\.\d+)?$""),VALUE(REGEXEXTRACT(SUBSTITUTE(F1752,"" "",""""),""^-?\d+(\.\d+)?""))&gt;=-90,VALUE(REGEXEXTRACT(SUBSTITUTE(F1752,"" "",""""),""^-?\d+(\.\d+)?""))&lt;=90,VALUE(REGEXEXT"&amp;"RACT(SUBSTITUTE(F1752,"" "",""""),""-?\d+(\.\d+)?$""))&gt;=-180,VALUE(REGEXEXTRACT(SUBSTITUTE(F1752,"" "",""""),""-?\d+(\.\d+)?$""))&lt;=180),""OK"",""REVISAR"")"),"#N/A")</f>
        <v>#N/A</v>
      </c>
    </row>
    <row r="1753" ht="15.75" customHeight="1">
      <c r="A1753" s="5" t="str">
        <f t="shared" si="1"/>
        <v>AD507-1751</v>
      </c>
      <c r="C1753" s="5"/>
      <c r="F1753" s="5"/>
      <c r="G1753" s="5" t="str">
        <f t="shared" si="2"/>
        <v/>
      </c>
      <c r="H1753" s="5" t="str">
        <f t="shared" si="3"/>
        <v/>
      </c>
      <c r="I1753" s="5" t="str">
        <f t="shared" si="4"/>
        <v/>
      </c>
      <c r="J1753" s="5" t="str">
        <f t="shared" si="5"/>
        <v/>
      </c>
      <c r="K1753" s="5" t="str">
        <f>IFERROR(__xludf.DUMMYFUNCTION("IF(C1753&lt;&gt;"""",HYPERLINK(""https://wa.me/507""&amp;REGEXREPLACE(C1753,""[^0-9]"","""")&amp;""?text=""&amp;ENCODEURL(""Ya llegue. Codigo: ""&amp;A1753&amp;"". Ubicacion: ""&amp;""https://www.google.com/maps/search/?api=1&amp;query=""&amp;SUBSTITUTE(F1753,"" "","""")),""📲 Avisar al clien"&amp;"te""),"""")"),"")</f>
        <v/>
      </c>
      <c r="L1753" s="5" t="str">
        <f>IFERROR(__xludf.DUMMYFUNCTION("IF(C1753&lt;&gt;"""",""https://api.qrserver.com/v1/create-qr-code/?size=200x200&amp;data=""&amp;ENCODEURL(""https://wa.me/507""&amp;REGEXREPLACE(C1753,""[^0-9]"","""")&amp;""?text=""&amp;ENCODEURL(""Ya llegue. Codigo: ""&amp;A1753&amp;"". Ubicacion: ""&amp;""https://www.google.com/maps/search"&amp;"/?api=1&amp;query=""&amp;SUBSTITUTE(F1753,"" "",""""))),"""")"),"")</f>
        <v/>
      </c>
      <c r="M1753" s="5" t="str">
        <f t="shared" si="6"/>
        <v/>
      </c>
      <c r="N1753" s="5" t="str">
        <f>IFERROR(__xludf.DUMMYFUNCTION("IF(AND(F1753&lt;&gt;"""",REGEXMATCH(SUBSTITUTE(F1753,"" "",""""),""^-?\d+(\.\d+)?,-?\d+(\.\d+)?$""),VALUE(REGEXEXTRACT(SUBSTITUTE(F1753,"" "",""""),""^-?\d+(\.\d+)?""))&gt;=-90,VALUE(REGEXEXTRACT(SUBSTITUTE(F1753,"" "",""""),""^-?\d+(\.\d+)?""))&lt;=90,VALUE(REGEXEXT"&amp;"RACT(SUBSTITUTE(F1753,"" "",""""),""-?\d+(\.\d+)?$""))&gt;=-180,VALUE(REGEXEXTRACT(SUBSTITUTE(F1753,"" "",""""),""-?\d+(\.\d+)?$""))&lt;=180),""OK"",""REVISAR"")"),"#N/A")</f>
        <v>#N/A</v>
      </c>
    </row>
    <row r="1754" ht="15.75" customHeight="1">
      <c r="A1754" s="5" t="str">
        <f t="shared" si="1"/>
        <v>AD507-1752</v>
      </c>
      <c r="C1754" s="5"/>
      <c r="F1754" s="5"/>
      <c r="G1754" s="5" t="str">
        <f t="shared" si="2"/>
        <v/>
      </c>
      <c r="H1754" s="5" t="str">
        <f t="shared" si="3"/>
        <v/>
      </c>
      <c r="I1754" s="5" t="str">
        <f t="shared" si="4"/>
        <v/>
      </c>
      <c r="J1754" s="5" t="str">
        <f t="shared" si="5"/>
        <v/>
      </c>
      <c r="K1754" s="5" t="str">
        <f>IFERROR(__xludf.DUMMYFUNCTION("IF(C1754&lt;&gt;"""",HYPERLINK(""https://wa.me/507""&amp;REGEXREPLACE(C1754,""[^0-9]"","""")&amp;""?text=""&amp;ENCODEURL(""Ya llegue. Codigo: ""&amp;A1754&amp;"". Ubicacion: ""&amp;""https://www.google.com/maps/search/?api=1&amp;query=""&amp;SUBSTITUTE(F1754,"" "","""")),""📲 Avisar al clien"&amp;"te""),"""")"),"")</f>
        <v/>
      </c>
      <c r="L1754" s="5" t="str">
        <f>IFERROR(__xludf.DUMMYFUNCTION("IF(C1754&lt;&gt;"""",""https://api.qrserver.com/v1/create-qr-code/?size=200x200&amp;data=""&amp;ENCODEURL(""https://wa.me/507""&amp;REGEXREPLACE(C1754,""[^0-9]"","""")&amp;""?text=""&amp;ENCODEURL(""Ya llegue. Codigo: ""&amp;A1754&amp;"". Ubicacion: ""&amp;""https://www.google.com/maps/search"&amp;"/?api=1&amp;query=""&amp;SUBSTITUTE(F1754,"" "",""""))),"""")"),"")</f>
        <v/>
      </c>
      <c r="M1754" s="5" t="str">
        <f t="shared" si="6"/>
        <v/>
      </c>
      <c r="N1754" s="5" t="str">
        <f>IFERROR(__xludf.DUMMYFUNCTION("IF(AND(F1754&lt;&gt;"""",REGEXMATCH(SUBSTITUTE(F1754,"" "",""""),""^-?\d+(\.\d+)?,-?\d+(\.\d+)?$""),VALUE(REGEXEXTRACT(SUBSTITUTE(F1754,"" "",""""),""^-?\d+(\.\d+)?""))&gt;=-90,VALUE(REGEXEXTRACT(SUBSTITUTE(F1754,"" "",""""),""^-?\d+(\.\d+)?""))&lt;=90,VALUE(REGEXEXT"&amp;"RACT(SUBSTITUTE(F1754,"" "",""""),""-?\d+(\.\d+)?$""))&gt;=-180,VALUE(REGEXEXTRACT(SUBSTITUTE(F1754,"" "",""""),""-?\d+(\.\d+)?$""))&lt;=180),""OK"",""REVISAR"")"),"#N/A")</f>
        <v>#N/A</v>
      </c>
    </row>
    <row r="1755" ht="15.75" customHeight="1">
      <c r="A1755" s="5" t="str">
        <f t="shared" si="1"/>
        <v>AD507-1753</v>
      </c>
      <c r="C1755" s="5"/>
      <c r="F1755" s="5"/>
      <c r="G1755" s="5" t="str">
        <f t="shared" si="2"/>
        <v/>
      </c>
      <c r="H1755" s="5" t="str">
        <f t="shared" si="3"/>
        <v/>
      </c>
      <c r="I1755" s="5" t="str">
        <f t="shared" si="4"/>
        <v/>
      </c>
      <c r="J1755" s="5" t="str">
        <f t="shared" si="5"/>
        <v/>
      </c>
      <c r="K1755" s="5" t="str">
        <f>IFERROR(__xludf.DUMMYFUNCTION("IF(C1755&lt;&gt;"""",HYPERLINK(""https://wa.me/507""&amp;REGEXREPLACE(C1755,""[^0-9]"","""")&amp;""?text=""&amp;ENCODEURL(""Ya llegue. Codigo: ""&amp;A1755&amp;"". Ubicacion: ""&amp;""https://www.google.com/maps/search/?api=1&amp;query=""&amp;SUBSTITUTE(F1755,"" "","""")),""📲 Avisar al clien"&amp;"te""),"""")"),"")</f>
        <v/>
      </c>
      <c r="L1755" s="5" t="str">
        <f>IFERROR(__xludf.DUMMYFUNCTION("IF(C1755&lt;&gt;"""",""https://api.qrserver.com/v1/create-qr-code/?size=200x200&amp;data=""&amp;ENCODEURL(""https://wa.me/507""&amp;REGEXREPLACE(C1755,""[^0-9]"","""")&amp;""?text=""&amp;ENCODEURL(""Ya llegue. Codigo: ""&amp;A1755&amp;"". Ubicacion: ""&amp;""https://www.google.com/maps/search"&amp;"/?api=1&amp;query=""&amp;SUBSTITUTE(F1755,"" "",""""))),"""")"),"")</f>
        <v/>
      </c>
      <c r="M1755" s="5" t="str">
        <f t="shared" si="6"/>
        <v/>
      </c>
      <c r="N1755" s="5" t="str">
        <f>IFERROR(__xludf.DUMMYFUNCTION("IF(AND(F1755&lt;&gt;"""",REGEXMATCH(SUBSTITUTE(F1755,"" "",""""),""^-?\d+(\.\d+)?,-?\d+(\.\d+)?$""),VALUE(REGEXEXTRACT(SUBSTITUTE(F1755,"" "",""""),""^-?\d+(\.\d+)?""))&gt;=-90,VALUE(REGEXEXTRACT(SUBSTITUTE(F1755,"" "",""""),""^-?\d+(\.\d+)?""))&lt;=90,VALUE(REGEXEXT"&amp;"RACT(SUBSTITUTE(F1755,"" "",""""),""-?\d+(\.\d+)?$""))&gt;=-180,VALUE(REGEXEXTRACT(SUBSTITUTE(F1755,"" "",""""),""-?\d+(\.\d+)?$""))&lt;=180),""OK"",""REVISAR"")"),"#N/A")</f>
        <v>#N/A</v>
      </c>
    </row>
    <row r="1756" ht="15.75" customHeight="1">
      <c r="A1756" s="5" t="str">
        <f t="shared" si="1"/>
        <v>AD507-1754</v>
      </c>
      <c r="C1756" s="5"/>
      <c r="F1756" s="5"/>
      <c r="G1756" s="5" t="str">
        <f t="shared" si="2"/>
        <v/>
      </c>
      <c r="H1756" s="5" t="str">
        <f t="shared" si="3"/>
        <v/>
      </c>
      <c r="I1756" s="5" t="str">
        <f t="shared" si="4"/>
        <v/>
      </c>
      <c r="J1756" s="5" t="str">
        <f t="shared" si="5"/>
        <v/>
      </c>
      <c r="K1756" s="5" t="str">
        <f>IFERROR(__xludf.DUMMYFUNCTION("IF(C1756&lt;&gt;"""",HYPERLINK(""https://wa.me/507""&amp;REGEXREPLACE(C1756,""[^0-9]"","""")&amp;""?text=""&amp;ENCODEURL(""Ya llegue. Codigo: ""&amp;A1756&amp;"". Ubicacion: ""&amp;""https://www.google.com/maps/search/?api=1&amp;query=""&amp;SUBSTITUTE(F1756,"" "","""")),""📲 Avisar al clien"&amp;"te""),"""")"),"")</f>
        <v/>
      </c>
      <c r="L1756" s="5" t="str">
        <f>IFERROR(__xludf.DUMMYFUNCTION("IF(C1756&lt;&gt;"""",""https://api.qrserver.com/v1/create-qr-code/?size=200x200&amp;data=""&amp;ENCODEURL(""https://wa.me/507""&amp;REGEXREPLACE(C1756,""[^0-9]"","""")&amp;""?text=""&amp;ENCODEURL(""Ya llegue. Codigo: ""&amp;A1756&amp;"". Ubicacion: ""&amp;""https://www.google.com/maps/search"&amp;"/?api=1&amp;query=""&amp;SUBSTITUTE(F1756,"" "",""""))),"""")"),"")</f>
        <v/>
      </c>
      <c r="M1756" s="5" t="str">
        <f t="shared" si="6"/>
        <v/>
      </c>
      <c r="N1756" s="5" t="str">
        <f>IFERROR(__xludf.DUMMYFUNCTION("IF(AND(F1756&lt;&gt;"""",REGEXMATCH(SUBSTITUTE(F1756,"" "",""""),""^-?\d+(\.\d+)?,-?\d+(\.\d+)?$""),VALUE(REGEXEXTRACT(SUBSTITUTE(F1756,"" "",""""),""^-?\d+(\.\d+)?""))&gt;=-90,VALUE(REGEXEXTRACT(SUBSTITUTE(F1756,"" "",""""),""^-?\d+(\.\d+)?""))&lt;=90,VALUE(REGEXEXT"&amp;"RACT(SUBSTITUTE(F1756,"" "",""""),""-?\d+(\.\d+)?$""))&gt;=-180,VALUE(REGEXEXTRACT(SUBSTITUTE(F1756,"" "",""""),""-?\d+(\.\d+)?$""))&lt;=180),""OK"",""REVISAR"")"),"#N/A")</f>
        <v>#N/A</v>
      </c>
    </row>
    <row r="1757" ht="15.75" customHeight="1">
      <c r="A1757" s="5" t="str">
        <f t="shared" si="1"/>
        <v>AD507-1755</v>
      </c>
      <c r="C1757" s="5"/>
      <c r="F1757" s="5"/>
      <c r="G1757" s="5" t="str">
        <f t="shared" si="2"/>
        <v/>
      </c>
      <c r="H1757" s="5" t="str">
        <f t="shared" si="3"/>
        <v/>
      </c>
      <c r="I1757" s="5" t="str">
        <f t="shared" si="4"/>
        <v/>
      </c>
      <c r="J1757" s="5" t="str">
        <f t="shared" si="5"/>
        <v/>
      </c>
      <c r="K1757" s="5" t="str">
        <f>IFERROR(__xludf.DUMMYFUNCTION("IF(C1757&lt;&gt;"""",HYPERLINK(""https://wa.me/507""&amp;REGEXREPLACE(C1757,""[^0-9]"","""")&amp;""?text=""&amp;ENCODEURL(""Ya llegue. Codigo: ""&amp;A1757&amp;"". Ubicacion: ""&amp;""https://www.google.com/maps/search/?api=1&amp;query=""&amp;SUBSTITUTE(F1757,"" "","""")),""📲 Avisar al clien"&amp;"te""),"""")"),"")</f>
        <v/>
      </c>
      <c r="L1757" s="5" t="str">
        <f>IFERROR(__xludf.DUMMYFUNCTION("IF(C1757&lt;&gt;"""",""https://api.qrserver.com/v1/create-qr-code/?size=200x200&amp;data=""&amp;ENCODEURL(""https://wa.me/507""&amp;REGEXREPLACE(C1757,""[^0-9]"","""")&amp;""?text=""&amp;ENCODEURL(""Ya llegue. Codigo: ""&amp;A1757&amp;"". Ubicacion: ""&amp;""https://www.google.com/maps/search"&amp;"/?api=1&amp;query=""&amp;SUBSTITUTE(F1757,"" "",""""))),"""")"),"")</f>
        <v/>
      </c>
      <c r="M1757" s="5" t="str">
        <f t="shared" si="6"/>
        <v/>
      </c>
      <c r="N1757" s="5" t="str">
        <f>IFERROR(__xludf.DUMMYFUNCTION("IF(AND(F1757&lt;&gt;"""",REGEXMATCH(SUBSTITUTE(F1757,"" "",""""),""^-?\d+(\.\d+)?,-?\d+(\.\d+)?$""),VALUE(REGEXEXTRACT(SUBSTITUTE(F1757,"" "",""""),""^-?\d+(\.\d+)?""))&gt;=-90,VALUE(REGEXEXTRACT(SUBSTITUTE(F1757,"" "",""""),""^-?\d+(\.\d+)?""))&lt;=90,VALUE(REGEXEXT"&amp;"RACT(SUBSTITUTE(F1757,"" "",""""),""-?\d+(\.\d+)?$""))&gt;=-180,VALUE(REGEXEXTRACT(SUBSTITUTE(F1757,"" "",""""),""-?\d+(\.\d+)?$""))&lt;=180),""OK"",""REVISAR"")"),"#N/A")</f>
        <v>#N/A</v>
      </c>
    </row>
    <row r="1758" ht="15.75" customHeight="1">
      <c r="A1758" s="5" t="str">
        <f t="shared" si="1"/>
        <v>AD507-1756</v>
      </c>
      <c r="C1758" s="5"/>
      <c r="F1758" s="5"/>
      <c r="G1758" s="5" t="str">
        <f t="shared" si="2"/>
        <v/>
      </c>
      <c r="H1758" s="5" t="str">
        <f t="shared" si="3"/>
        <v/>
      </c>
      <c r="I1758" s="5" t="str">
        <f t="shared" si="4"/>
        <v/>
      </c>
      <c r="J1758" s="5" t="str">
        <f t="shared" si="5"/>
        <v/>
      </c>
      <c r="K1758" s="5" t="str">
        <f>IFERROR(__xludf.DUMMYFUNCTION("IF(C1758&lt;&gt;"""",HYPERLINK(""https://wa.me/507""&amp;REGEXREPLACE(C1758,""[^0-9]"","""")&amp;""?text=""&amp;ENCODEURL(""Ya llegue. Codigo: ""&amp;A1758&amp;"". Ubicacion: ""&amp;""https://www.google.com/maps/search/?api=1&amp;query=""&amp;SUBSTITUTE(F1758,"" "","""")),""📲 Avisar al clien"&amp;"te""),"""")"),"")</f>
        <v/>
      </c>
      <c r="L1758" s="5" t="str">
        <f>IFERROR(__xludf.DUMMYFUNCTION("IF(C1758&lt;&gt;"""",""https://api.qrserver.com/v1/create-qr-code/?size=200x200&amp;data=""&amp;ENCODEURL(""https://wa.me/507""&amp;REGEXREPLACE(C1758,""[^0-9]"","""")&amp;""?text=""&amp;ENCODEURL(""Ya llegue. Codigo: ""&amp;A1758&amp;"". Ubicacion: ""&amp;""https://www.google.com/maps/search"&amp;"/?api=1&amp;query=""&amp;SUBSTITUTE(F1758,"" "",""""))),"""")"),"")</f>
        <v/>
      </c>
      <c r="M1758" s="5" t="str">
        <f t="shared" si="6"/>
        <v/>
      </c>
      <c r="N1758" s="5" t="str">
        <f>IFERROR(__xludf.DUMMYFUNCTION("IF(AND(F1758&lt;&gt;"""",REGEXMATCH(SUBSTITUTE(F1758,"" "",""""),""^-?\d+(\.\d+)?,-?\d+(\.\d+)?$""),VALUE(REGEXEXTRACT(SUBSTITUTE(F1758,"" "",""""),""^-?\d+(\.\d+)?""))&gt;=-90,VALUE(REGEXEXTRACT(SUBSTITUTE(F1758,"" "",""""),""^-?\d+(\.\d+)?""))&lt;=90,VALUE(REGEXEXT"&amp;"RACT(SUBSTITUTE(F1758,"" "",""""),""-?\d+(\.\d+)?$""))&gt;=-180,VALUE(REGEXEXTRACT(SUBSTITUTE(F1758,"" "",""""),""-?\d+(\.\d+)?$""))&lt;=180),""OK"",""REVISAR"")"),"#N/A")</f>
        <v>#N/A</v>
      </c>
    </row>
    <row r="1759" ht="15.75" customHeight="1">
      <c r="A1759" s="5" t="str">
        <f t="shared" si="1"/>
        <v>AD507-1757</v>
      </c>
      <c r="C1759" s="5"/>
      <c r="F1759" s="5"/>
      <c r="G1759" s="5" t="str">
        <f t="shared" si="2"/>
        <v/>
      </c>
      <c r="H1759" s="5" t="str">
        <f t="shared" si="3"/>
        <v/>
      </c>
      <c r="I1759" s="5" t="str">
        <f t="shared" si="4"/>
        <v/>
      </c>
      <c r="J1759" s="5" t="str">
        <f t="shared" si="5"/>
        <v/>
      </c>
      <c r="K1759" s="5" t="str">
        <f>IFERROR(__xludf.DUMMYFUNCTION("IF(C1759&lt;&gt;"""",HYPERLINK(""https://wa.me/507""&amp;REGEXREPLACE(C1759,""[^0-9]"","""")&amp;""?text=""&amp;ENCODEURL(""Ya llegue. Codigo: ""&amp;A1759&amp;"". Ubicacion: ""&amp;""https://www.google.com/maps/search/?api=1&amp;query=""&amp;SUBSTITUTE(F1759,"" "","""")),""📲 Avisar al clien"&amp;"te""),"""")"),"")</f>
        <v/>
      </c>
      <c r="L1759" s="5" t="str">
        <f>IFERROR(__xludf.DUMMYFUNCTION("IF(C1759&lt;&gt;"""",""https://api.qrserver.com/v1/create-qr-code/?size=200x200&amp;data=""&amp;ENCODEURL(""https://wa.me/507""&amp;REGEXREPLACE(C1759,""[^0-9]"","""")&amp;""?text=""&amp;ENCODEURL(""Ya llegue. Codigo: ""&amp;A1759&amp;"". Ubicacion: ""&amp;""https://www.google.com/maps/search"&amp;"/?api=1&amp;query=""&amp;SUBSTITUTE(F1759,"" "",""""))),"""")"),"")</f>
        <v/>
      </c>
      <c r="M1759" s="5" t="str">
        <f t="shared" si="6"/>
        <v/>
      </c>
      <c r="N1759" s="5" t="str">
        <f>IFERROR(__xludf.DUMMYFUNCTION("IF(AND(F1759&lt;&gt;"""",REGEXMATCH(SUBSTITUTE(F1759,"" "",""""),""^-?\d+(\.\d+)?,-?\d+(\.\d+)?$""),VALUE(REGEXEXTRACT(SUBSTITUTE(F1759,"" "",""""),""^-?\d+(\.\d+)?""))&gt;=-90,VALUE(REGEXEXTRACT(SUBSTITUTE(F1759,"" "",""""),""^-?\d+(\.\d+)?""))&lt;=90,VALUE(REGEXEXT"&amp;"RACT(SUBSTITUTE(F1759,"" "",""""),""-?\d+(\.\d+)?$""))&gt;=-180,VALUE(REGEXEXTRACT(SUBSTITUTE(F1759,"" "",""""),""-?\d+(\.\d+)?$""))&lt;=180),""OK"",""REVISAR"")"),"#N/A")</f>
        <v>#N/A</v>
      </c>
    </row>
    <row r="1760" ht="15.75" customHeight="1">
      <c r="A1760" s="5" t="str">
        <f t="shared" si="1"/>
        <v>AD507-1758</v>
      </c>
      <c r="C1760" s="5"/>
      <c r="F1760" s="5"/>
      <c r="G1760" s="5" t="str">
        <f t="shared" si="2"/>
        <v/>
      </c>
      <c r="H1760" s="5" t="str">
        <f t="shared" si="3"/>
        <v/>
      </c>
      <c r="I1760" s="5" t="str">
        <f t="shared" si="4"/>
        <v/>
      </c>
      <c r="J1760" s="5" t="str">
        <f t="shared" si="5"/>
        <v/>
      </c>
      <c r="K1760" s="5" t="str">
        <f>IFERROR(__xludf.DUMMYFUNCTION("IF(C1760&lt;&gt;"""",HYPERLINK(""https://wa.me/507""&amp;REGEXREPLACE(C1760,""[^0-9]"","""")&amp;""?text=""&amp;ENCODEURL(""Ya llegue. Codigo: ""&amp;A1760&amp;"". Ubicacion: ""&amp;""https://www.google.com/maps/search/?api=1&amp;query=""&amp;SUBSTITUTE(F1760,"" "","""")),""📲 Avisar al clien"&amp;"te""),"""")"),"")</f>
        <v/>
      </c>
      <c r="L1760" s="5" t="str">
        <f>IFERROR(__xludf.DUMMYFUNCTION("IF(C1760&lt;&gt;"""",""https://api.qrserver.com/v1/create-qr-code/?size=200x200&amp;data=""&amp;ENCODEURL(""https://wa.me/507""&amp;REGEXREPLACE(C1760,""[^0-9]"","""")&amp;""?text=""&amp;ENCODEURL(""Ya llegue. Codigo: ""&amp;A1760&amp;"". Ubicacion: ""&amp;""https://www.google.com/maps/search"&amp;"/?api=1&amp;query=""&amp;SUBSTITUTE(F1760,"" "",""""))),"""")"),"")</f>
        <v/>
      </c>
      <c r="M1760" s="5" t="str">
        <f t="shared" si="6"/>
        <v/>
      </c>
      <c r="N1760" s="5" t="str">
        <f>IFERROR(__xludf.DUMMYFUNCTION("IF(AND(F1760&lt;&gt;"""",REGEXMATCH(SUBSTITUTE(F1760,"" "",""""),""^-?\d+(\.\d+)?,-?\d+(\.\d+)?$""),VALUE(REGEXEXTRACT(SUBSTITUTE(F1760,"" "",""""),""^-?\d+(\.\d+)?""))&gt;=-90,VALUE(REGEXEXTRACT(SUBSTITUTE(F1760,"" "",""""),""^-?\d+(\.\d+)?""))&lt;=90,VALUE(REGEXEXT"&amp;"RACT(SUBSTITUTE(F1760,"" "",""""),""-?\d+(\.\d+)?$""))&gt;=-180,VALUE(REGEXEXTRACT(SUBSTITUTE(F1760,"" "",""""),""-?\d+(\.\d+)?$""))&lt;=180),""OK"",""REVISAR"")"),"#N/A")</f>
        <v>#N/A</v>
      </c>
    </row>
    <row r="1761" ht="15.75" customHeight="1">
      <c r="A1761" s="5" t="str">
        <f t="shared" si="1"/>
        <v>AD507-1759</v>
      </c>
      <c r="C1761" s="5"/>
      <c r="F1761" s="5"/>
      <c r="G1761" s="5" t="str">
        <f t="shared" si="2"/>
        <v/>
      </c>
      <c r="H1761" s="5" t="str">
        <f t="shared" si="3"/>
        <v/>
      </c>
      <c r="I1761" s="5" t="str">
        <f t="shared" si="4"/>
        <v/>
      </c>
      <c r="J1761" s="5" t="str">
        <f t="shared" si="5"/>
        <v/>
      </c>
      <c r="K1761" s="5" t="str">
        <f>IFERROR(__xludf.DUMMYFUNCTION("IF(C1761&lt;&gt;"""",HYPERLINK(""https://wa.me/507""&amp;REGEXREPLACE(C1761,""[^0-9]"","""")&amp;""?text=""&amp;ENCODEURL(""Ya llegue. Codigo: ""&amp;A1761&amp;"". Ubicacion: ""&amp;""https://www.google.com/maps/search/?api=1&amp;query=""&amp;SUBSTITUTE(F1761,"" "","""")),""📲 Avisar al clien"&amp;"te""),"""")"),"")</f>
        <v/>
      </c>
      <c r="L1761" s="5" t="str">
        <f>IFERROR(__xludf.DUMMYFUNCTION("IF(C1761&lt;&gt;"""",""https://api.qrserver.com/v1/create-qr-code/?size=200x200&amp;data=""&amp;ENCODEURL(""https://wa.me/507""&amp;REGEXREPLACE(C1761,""[^0-9]"","""")&amp;""?text=""&amp;ENCODEURL(""Ya llegue. Codigo: ""&amp;A1761&amp;"". Ubicacion: ""&amp;""https://www.google.com/maps/search"&amp;"/?api=1&amp;query=""&amp;SUBSTITUTE(F1761,"" "",""""))),"""")"),"")</f>
        <v/>
      </c>
      <c r="M1761" s="5" t="str">
        <f t="shared" si="6"/>
        <v/>
      </c>
      <c r="N1761" s="5" t="str">
        <f>IFERROR(__xludf.DUMMYFUNCTION("IF(AND(F1761&lt;&gt;"""",REGEXMATCH(SUBSTITUTE(F1761,"" "",""""),""^-?\d+(\.\d+)?,-?\d+(\.\d+)?$""),VALUE(REGEXEXTRACT(SUBSTITUTE(F1761,"" "",""""),""^-?\d+(\.\d+)?""))&gt;=-90,VALUE(REGEXEXTRACT(SUBSTITUTE(F1761,"" "",""""),""^-?\d+(\.\d+)?""))&lt;=90,VALUE(REGEXEXT"&amp;"RACT(SUBSTITUTE(F1761,"" "",""""),""-?\d+(\.\d+)?$""))&gt;=-180,VALUE(REGEXEXTRACT(SUBSTITUTE(F1761,"" "",""""),""-?\d+(\.\d+)?$""))&lt;=180),""OK"",""REVISAR"")"),"#N/A")</f>
        <v>#N/A</v>
      </c>
    </row>
    <row r="1762" ht="15.75" customHeight="1">
      <c r="A1762" s="5" t="str">
        <f t="shared" si="1"/>
        <v>AD507-1760</v>
      </c>
      <c r="C1762" s="5"/>
      <c r="F1762" s="5"/>
      <c r="G1762" s="5" t="str">
        <f t="shared" si="2"/>
        <v/>
      </c>
      <c r="H1762" s="5" t="str">
        <f t="shared" si="3"/>
        <v/>
      </c>
      <c r="I1762" s="5" t="str">
        <f t="shared" si="4"/>
        <v/>
      </c>
      <c r="J1762" s="5" t="str">
        <f t="shared" si="5"/>
        <v/>
      </c>
      <c r="K1762" s="5" t="str">
        <f>IFERROR(__xludf.DUMMYFUNCTION("IF(C1762&lt;&gt;"""",HYPERLINK(""https://wa.me/507""&amp;REGEXREPLACE(C1762,""[^0-9]"","""")&amp;""?text=""&amp;ENCODEURL(""Ya llegue. Codigo: ""&amp;A1762&amp;"". Ubicacion: ""&amp;""https://www.google.com/maps/search/?api=1&amp;query=""&amp;SUBSTITUTE(F1762,"" "","""")),""📲 Avisar al clien"&amp;"te""),"""")"),"")</f>
        <v/>
      </c>
      <c r="L1762" s="5" t="str">
        <f>IFERROR(__xludf.DUMMYFUNCTION("IF(C1762&lt;&gt;"""",""https://api.qrserver.com/v1/create-qr-code/?size=200x200&amp;data=""&amp;ENCODEURL(""https://wa.me/507""&amp;REGEXREPLACE(C1762,""[^0-9]"","""")&amp;""?text=""&amp;ENCODEURL(""Ya llegue. Codigo: ""&amp;A1762&amp;"". Ubicacion: ""&amp;""https://www.google.com/maps/search"&amp;"/?api=1&amp;query=""&amp;SUBSTITUTE(F1762,"" "",""""))),"""")"),"")</f>
        <v/>
      </c>
      <c r="M1762" s="5" t="str">
        <f t="shared" si="6"/>
        <v/>
      </c>
      <c r="N1762" s="5" t="str">
        <f>IFERROR(__xludf.DUMMYFUNCTION("IF(AND(F1762&lt;&gt;"""",REGEXMATCH(SUBSTITUTE(F1762,"" "",""""),""^-?\d+(\.\d+)?,-?\d+(\.\d+)?$""),VALUE(REGEXEXTRACT(SUBSTITUTE(F1762,"" "",""""),""^-?\d+(\.\d+)?""))&gt;=-90,VALUE(REGEXEXTRACT(SUBSTITUTE(F1762,"" "",""""),""^-?\d+(\.\d+)?""))&lt;=90,VALUE(REGEXEXT"&amp;"RACT(SUBSTITUTE(F1762,"" "",""""),""-?\d+(\.\d+)?$""))&gt;=-180,VALUE(REGEXEXTRACT(SUBSTITUTE(F1762,"" "",""""),""-?\d+(\.\d+)?$""))&lt;=180),""OK"",""REVISAR"")"),"#N/A")</f>
        <v>#N/A</v>
      </c>
    </row>
    <row r="1763" ht="15.75" customHeight="1">
      <c r="A1763" s="5" t="str">
        <f t="shared" si="1"/>
        <v>AD507-1761</v>
      </c>
      <c r="C1763" s="5"/>
      <c r="F1763" s="5"/>
      <c r="G1763" s="5" t="str">
        <f t="shared" si="2"/>
        <v/>
      </c>
      <c r="H1763" s="5" t="str">
        <f t="shared" si="3"/>
        <v/>
      </c>
      <c r="I1763" s="5" t="str">
        <f t="shared" si="4"/>
        <v/>
      </c>
      <c r="J1763" s="5" t="str">
        <f t="shared" si="5"/>
        <v/>
      </c>
      <c r="K1763" s="5" t="str">
        <f>IFERROR(__xludf.DUMMYFUNCTION("IF(C1763&lt;&gt;"""",HYPERLINK(""https://wa.me/507""&amp;REGEXREPLACE(C1763,""[^0-9]"","""")&amp;""?text=""&amp;ENCODEURL(""Ya llegue. Codigo: ""&amp;A1763&amp;"". Ubicacion: ""&amp;""https://www.google.com/maps/search/?api=1&amp;query=""&amp;SUBSTITUTE(F1763,"" "","""")),""📲 Avisar al clien"&amp;"te""),"""")"),"")</f>
        <v/>
      </c>
      <c r="L1763" s="5" t="str">
        <f>IFERROR(__xludf.DUMMYFUNCTION("IF(C1763&lt;&gt;"""",""https://api.qrserver.com/v1/create-qr-code/?size=200x200&amp;data=""&amp;ENCODEURL(""https://wa.me/507""&amp;REGEXREPLACE(C1763,""[^0-9]"","""")&amp;""?text=""&amp;ENCODEURL(""Ya llegue. Codigo: ""&amp;A1763&amp;"". Ubicacion: ""&amp;""https://www.google.com/maps/search"&amp;"/?api=1&amp;query=""&amp;SUBSTITUTE(F1763,"" "",""""))),"""")"),"")</f>
        <v/>
      </c>
      <c r="M1763" s="5" t="str">
        <f t="shared" si="6"/>
        <v/>
      </c>
      <c r="N1763" s="5" t="str">
        <f>IFERROR(__xludf.DUMMYFUNCTION("IF(AND(F1763&lt;&gt;"""",REGEXMATCH(SUBSTITUTE(F1763,"" "",""""),""^-?\d+(\.\d+)?,-?\d+(\.\d+)?$""),VALUE(REGEXEXTRACT(SUBSTITUTE(F1763,"" "",""""),""^-?\d+(\.\d+)?""))&gt;=-90,VALUE(REGEXEXTRACT(SUBSTITUTE(F1763,"" "",""""),""^-?\d+(\.\d+)?""))&lt;=90,VALUE(REGEXEXT"&amp;"RACT(SUBSTITUTE(F1763,"" "",""""),""-?\d+(\.\d+)?$""))&gt;=-180,VALUE(REGEXEXTRACT(SUBSTITUTE(F1763,"" "",""""),""-?\d+(\.\d+)?$""))&lt;=180),""OK"",""REVISAR"")"),"#N/A")</f>
        <v>#N/A</v>
      </c>
    </row>
    <row r="1764" ht="15.75" customHeight="1">
      <c r="A1764" s="5" t="str">
        <f t="shared" si="1"/>
        <v>AD507-1762</v>
      </c>
      <c r="C1764" s="5"/>
      <c r="F1764" s="5"/>
      <c r="G1764" s="5" t="str">
        <f t="shared" si="2"/>
        <v/>
      </c>
      <c r="H1764" s="5" t="str">
        <f t="shared" si="3"/>
        <v/>
      </c>
      <c r="I1764" s="5" t="str">
        <f t="shared" si="4"/>
        <v/>
      </c>
      <c r="J1764" s="5" t="str">
        <f t="shared" si="5"/>
        <v/>
      </c>
      <c r="K1764" s="5" t="str">
        <f>IFERROR(__xludf.DUMMYFUNCTION("IF(C1764&lt;&gt;"""",HYPERLINK(""https://wa.me/507""&amp;REGEXREPLACE(C1764,""[^0-9]"","""")&amp;""?text=""&amp;ENCODEURL(""Ya llegue. Codigo: ""&amp;A1764&amp;"". Ubicacion: ""&amp;""https://www.google.com/maps/search/?api=1&amp;query=""&amp;SUBSTITUTE(F1764,"" "","""")),""📲 Avisar al clien"&amp;"te""),"""")"),"")</f>
        <v/>
      </c>
      <c r="L1764" s="5" t="str">
        <f>IFERROR(__xludf.DUMMYFUNCTION("IF(C1764&lt;&gt;"""",""https://api.qrserver.com/v1/create-qr-code/?size=200x200&amp;data=""&amp;ENCODEURL(""https://wa.me/507""&amp;REGEXREPLACE(C1764,""[^0-9]"","""")&amp;""?text=""&amp;ENCODEURL(""Ya llegue. Codigo: ""&amp;A1764&amp;"". Ubicacion: ""&amp;""https://www.google.com/maps/search"&amp;"/?api=1&amp;query=""&amp;SUBSTITUTE(F1764,"" "",""""))),"""")"),"")</f>
        <v/>
      </c>
      <c r="M1764" s="5" t="str">
        <f t="shared" si="6"/>
        <v/>
      </c>
      <c r="N1764" s="5" t="str">
        <f>IFERROR(__xludf.DUMMYFUNCTION("IF(AND(F1764&lt;&gt;"""",REGEXMATCH(SUBSTITUTE(F1764,"" "",""""),""^-?\d+(\.\d+)?,-?\d+(\.\d+)?$""),VALUE(REGEXEXTRACT(SUBSTITUTE(F1764,"" "",""""),""^-?\d+(\.\d+)?""))&gt;=-90,VALUE(REGEXEXTRACT(SUBSTITUTE(F1764,"" "",""""),""^-?\d+(\.\d+)?""))&lt;=90,VALUE(REGEXEXT"&amp;"RACT(SUBSTITUTE(F1764,"" "",""""),""-?\d+(\.\d+)?$""))&gt;=-180,VALUE(REGEXEXTRACT(SUBSTITUTE(F1764,"" "",""""),""-?\d+(\.\d+)?$""))&lt;=180),""OK"",""REVISAR"")"),"#N/A")</f>
        <v>#N/A</v>
      </c>
    </row>
    <row r="1765" ht="15.75" customHeight="1">
      <c r="A1765" s="5" t="str">
        <f t="shared" si="1"/>
        <v>AD507-1763</v>
      </c>
      <c r="C1765" s="5"/>
      <c r="F1765" s="5"/>
      <c r="G1765" s="5" t="str">
        <f t="shared" si="2"/>
        <v/>
      </c>
      <c r="H1765" s="5" t="str">
        <f t="shared" si="3"/>
        <v/>
      </c>
      <c r="I1765" s="5" t="str">
        <f t="shared" si="4"/>
        <v/>
      </c>
      <c r="J1765" s="5" t="str">
        <f t="shared" si="5"/>
        <v/>
      </c>
      <c r="K1765" s="5" t="str">
        <f>IFERROR(__xludf.DUMMYFUNCTION("IF(C1765&lt;&gt;"""",HYPERLINK(""https://wa.me/507""&amp;REGEXREPLACE(C1765,""[^0-9]"","""")&amp;""?text=""&amp;ENCODEURL(""Ya llegue. Codigo: ""&amp;A1765&amp;"". Ubicacion: ""&amp;""https://www.google.com/maps/search/?api=1&amp;query=""&amp;SUBSTITUTE(F1765,"" "","""")),""📲 Avisar al clien"&amp;"te""),"""")"),"")</f>
        <v/>
      </c>
      <c r="L1765" s="5" t="str">
        <f>IFERROR(__xludf.DUMMYFUNCTION("IF(C1765&lt;&gt;"""",""https://api.qrserver.com/v1/create-qr-code/?size=200x200&amp;data=""&amp;ENCODEURL(""https://wa.me/507""&amp;REGEXREPLACE(C1765,""[^0-9]"","""")&amp;""?text=""&amp;ENCODEURL(""Ya llegue. Codigo: ""&amp;A1765&amp;"". Ubicacion: ""&amp;""https://www.google.com/maps/search"&amp;"/?api=1&amp;query=""&amp;SUBSTITUTE(F1765,"" "",""""))),"""")"),"")</f>
        <v/>
      </c>
      <c r="M1765" s="5" t="str">
        <f t="shared" si="6"/>
        <v/>
      </c>
      <c r="N1765" s="5" t="str">
        <f>IFERROR(__xludf.DUMMYFUNCTION("IF(AND(F1765&lt;&gt;"""",REGEXMATCH(SUBSTITUTE(F1765,"" "",""""),""^-?\d+(\.\d+)?,-?\d+(\.\d+)?$""),VALUE(REGEXEXTRACT(SUBSTITUTE(F1765,"" "",""""),""^-?\d+(\.\d+)?""))&gt;=-90,VALUE(REGEXEXTRACT(SUBSTITUTE(F1765,"" "",""""),""^-?\d+(\.\d+)?""))&lt;=90,VALUE(REGEXEXT"&amp;"RACT(SUBSTITUTE(F1765,"" "",""""),""-?\d+(\.\d+)?$""))&gt;=-180,VALUE(REGEXEXTRACT(SUBSTITUTE(F1765,"" "",""""),""-?\d+(\.\d+)?$""))&lt;=180),""OK"",""REVISAR"")"),"#N/A")</f>
        <v>#N/A</v>
      </c>
    </row>
    <row r="1766" ht="15.75" customHeight="1">
      <c r="A1766" s="5" t="str">
        <f t="shared" si="1"/>
        <v>AD507-1764</v>
      </c>
      <c r="C1766" s="5"/>
      <c r="F1766" s="5"/>
      <c r="G1766" s="5" t="str">
        <f t="shared" si="2"/>
        <v/>
      </c>
      <c r="H1766" s="5" t="str">
        <f t="shared" si="3"/>
        <v/>
      </c>
      <c r="I1766" s="5" t="str">
        <f t="shared" si="4"/>
        <v/>
      </c>
      <c r="J1766" s="5" t="str">
        <f t="shared" si="5"/>
        <v/>
      </c>
      <c r="K1766" s="5" t="str">
        <f>IFERROR(__xludf.DUMMYFUNCTION("IF(C1766&lt;&gt;"""",HYPERLINK(""https://wa.me/507""&amp;REGEXREPLACE(C1766,""[^0-9]"","""")&amp;""?text=""&amp;ENCODEURL(""Ya llegue. Codigo: ""&amp;A1766&amp;"". Ubicacion: ""&amp;""https://www.google.com/maps/search/?api=1&amp;query=""&amp;SUBSTITUTE(F1766,"" "","""")),""📲 Avisar al clien"&amp;"te""),"""")"),"")</f>
        <v/>
      </c>
      <c r="L1766" s="5" t="str">
        <f>IFERROR(__xludf.DUMMYFUNCTION("IF(C1766&lt;&gt;"""",""https://api.qrserver.com/v1/create-qr-code/?size=200x200&amp;data=""&amp;ENCODEURL(""https://wa.me/507""&amp;REGEXREPLACE(C1766,""[^0-9]"","""")&amp;""?text=""&amp;ENCODEURL(""Ya llegue. Codigo: ""&amp;A1766&amp;"". Ubicacion: ""&amp;""https://www.google.com/maps/search"&amp;"/?api=1&amp;query=""&amp;SUBSTITUTE(F1766,"" "",""""))),"""")"),"")</f>
        <v/>
      </c>
      <c r="M1766" s="5" t="str">
        <f t="shared" si="6"/>
        <v/>
      </c>
      <c r="N1766" s="5" t="str">
        <f>IFERROR(__xludf.DUMMYFUNCTION("IF(AND(F1766&lt;&gt;"""",REGEXMATCH(SUBSTITUTE(F1766,"" "",""""),""^-?\d+(\.\d+)?,-?\d+(\.\d+)?$""),VALUE(REGEXEXTRACT(SUBSTITUTE(F1766,"" "",""""),""^-?\d+(\.\d+)?""))&gt;=-90,VALUE(REGEXEXTRACT(SUBSTITUTE(F1766,"" "",""""),""^-?\d+(\.\d+)?""))&lt;=90,VALUE(REGEXEXT"&amp;"RACT(SUBSTITUTE(F1766,"" "",""""),""-?\d+(\.\d+)?$""))&gt;=-180,VALUE(REGEXEXTRACT(SUBSTITUTE(F1766,"" "",""""),""-?\d+(\.\d+)?$""))&lt;=180),""OK"",""REVISAR"")"),"#N/A")</f>
        <v>#N/A</v>
      </c>
    </row>
    <row r="1767" ht="15.75" customHeight="1">
      <c r="A1767" s="5" t="str">
        <f t="shared" si="1"/>
        <v>AD507-1765</v>
      </c>
      <c r="C1767" s="5"/>
      <c r="F1767" s="5"/>
      <c r="G1767" s="5" t="str">
        <f t="shared" si="2"/>
        <v/>
      </c>
      <c r="H1767" s="5" t="str">
        <f t="shared" si="3"/>
        <v/>
      </c>
      <c r="I1767" s="5" t="str">
        <f t="shared" si="4"/>
        <v/>
      </c>
      <c r="J1767" s="5" t="str">
        <f t="shared" si="5"/>
        <v/>
      </c>
      <c r="K1767" s="5" t="str">
        <f>IFERROR(__xludf.DUMMYFUNCTION("IF(C1767&lt;&gt;"""",HYPERLINK(""https://wa.me/507""&amp;REGEXREPLACE(C1767,""[^0-9]"","""")&amp;""?text=""&amp;ENCODEURL(""Ya llegue. Codigo: ""&amp;A1767&amp;"". Ubicacion: ""&amp;""https://www.google.com/maps/search/?api=1&amp;query=""&amp;SUBSTITUTE(F1767,"" "","""")),""📲 Avisar al clien"&amp;"te""),"""")"),"")</f>
        <v/>
      </c>
      <c r="L1767" s="5" t="str">
        <f>IFERROR(__xludf.DUMMYFUNCTION("IF(C1767&lt;&gt;"""",""https://api.qrserver.com/v1/create-qr-code/?size=200x200&amp;data=""&amp;ENCODEURL(""https://wa.me/507""&amp;REGEXREPLACE(C1767,""[^0-9]"","""")&amp;""?text=""&amp;ENCODEURL(""Ya llegue. Codigo: ""&amp;A1767&amp;"". Ubicacion: ""&amp;""https://www.google.com/maps/search"&amp;"/?api=1&amp;query=""&amp;SUBSTITUTE(F1767,"" "",""""))),"""")"),"")</f>
        <v/>
      </c>
      <c r="M1767" s="5" t="str">
        <f t="shared" si="6"/>
        <v/>
      </c>
      <c r="N1767" s="5" t="str">
        <f>IFERROR(__xludf.DUMMYFUNCTION("IF(AND(F1767&lt;&gt;"""",REGEXMATCH(SUBSTITUTE(F1767,"" "",""""),""^-?\d+(\.\d+)?,-?\d+(\.\d+)?$""),VALUE(REGEXEXTRACT(SUBSTITUTE(F1767,"" "",""""),""^-?\d+(\.\d+)?""))&gt;=-90,VALUE(REGEXEXTRACT(SUBSTITUTE(F1767,"" "",""""),""^-?\d+(\.\d+)?""))&lt;=90,VALUE(REGEXEXT"&amp;"RACT(SUBSTITUTE(F1767,"" "",""""),""-?\d+(\.\d+)?$""))&gt;=-180,VALUE(REGEXEXTRACT(SUBSTITUTE(F1767,"" "",""""),""-?\d+(\.\d+)?$""))&lt;=180),""OK"",""REVISAR"")"),"#N/A")</f>
        <v>#N/A</v>
      </c>
    </row>
    <row r="1768" ht="15.75" customHeight="1">
      <c r="A1768" s="5" t="str">
        <f t="shared" si="1"/>
        <v>AD507-1766</v>
      </c>
      <c r="C1768" s="5"/>
      <c r="F1768" s="5"/>
      <c r="G1768" s="5" t="str">
        <f t="shared" si="2"/>
        <v/>
      </c>
      <c r="H1768" s="5" t="str">
        <f t="shared" si="3"/>
        <v/>
      </c>
      <c r="I1768" s="5" t="str">
        <f t="shared" si="4"/>
        <v/>
      </c>
      <c r="J1768" s="5" t="str">
        <f t="shared" si="5"/>
        <v/>
      </c>
      <c r="K1768" s="5" t="str">
        <f>IFERROR(__xludf.DUMMYFUNCTION("IF(C1768&lt;&gt;"""",HYPERLINK(""https://wa.me/507""&amp;REGEXREPLACE(C1768,""[^0-9]"","""")&amp;""?text=""&amp;ENCODEURL(""Ya llegue. Codigo: ""&amp;A1768&amp;"". Ubicacion: ""&amp;""https://www.google.com/maps/search/?api=1&amp;query=""&amp;SUBSTITUTE(F1768,"" "","""")),""📲 Avisar al clien"&amp;"te""),"""")"),"")</f>
        <v/>
      </c>
      <c r="L1768" s="5" t="str">
        <f>IFERROR(__xludf.DUMMYFUNCTION("IF(C1768&lt;&gt;"""",""https://api.qrserver.com/v1/create-qr-code/?size=200x200&amp;data=""&amp;ENCODEURL(""https://wa.me/507""&amp;REGEXREPLACE(C1768,""[^0-9]"","""")&amp;""?text=""&amp;ENCODEURL(""Ya llegue. Codigo: ""&amp;A1768&amp;"". Ubicacion: ""&amp;""https://www.google.com/maps/search"&amp;"/?api=1&amp;query=""&amp;SUBSTITUTE(F1768,"" "",""""))),"""")"),"")</f>
        <v/>
      </c>
      <c r="M1768" s="5" t="str">
        <f t="shared" si="6"/>
        <v/>
      </c>
      <c r="N1768" s="5" t="str">
        <f>IFERROR(__xludf.DUMMYFUNCTION("IF(AND(F1768&lt;&gt;"""",REGEXMATCH(SUBSTITUTE(F1768,"" "",""""),""^-?\d+(\.\d+)?,-?\d+(\.\d+)?$""),VALUE(REGEXEXTRACT(SUBSTITUTE(F1768,"" "",""""),""^-?\d+(\.\d+)?""))&gt;=-90,VALUE(REGEXEXTRACT(SUBSTITUTE(F1768,"" "",""""),""^-?\d+(\.\d+)?""))&lt;=90,VALUE(REGEXEXT"&amp;"RACT(SUBSTITUTE(F1768,"" "",""""),""-?\d+(\.\d+)?$""))&gt;=-180,VALUE(REGEXEXTRACT(SUBSTITUTE(F1768,"" "",""""),""-?\d+(\.\d+)?$""))&lt;=180),""OK"",""REVISAR"")"),"#N/A")</f>
        <v>#N/A</v>
      </c>
    </row>
    <row r="1769" ht="15.75" customHeight="1">
      <c r="A1769" s="5" t="str">
        <f t="shared" si="1"/>
        <v>AD507-1767</v>
      </c>
      <c r="C1769" s="5"/>
      <c r="F1769" s="5"/>
      <c r="G1769" s="5" t="str">
        <f t="shared" si="2"/>
        <v/>
      </c>
      <c r="H1769" s="5" t="str">
        <f t="shared" si="3"/>
        <v/>
      </c>
      <c r="I1769" s="5" t="str">
        <f t="shared" si="4"/>
        <v/>
      </c>
      <c r="J1769" s="5" t="str">
        <f t="shared" si="5"/>
        <v/>
      </c>
      <c r="K1769" s="5" t="str">
        <f>IFERROR(__xludf.DUMMYFUNCTION("IF(C1769&lt;&gt;"""",HYPERLINK(""https://wa.me/507""&amp;REGEXREPLACE(C1769,""[^0-9]"","""")&amp;""?text=""&amp;ENCODEURL(""Ya llegue. Codigo: ""&amp;A1769&amp;"". Ubicacion: ""&amp;""https://www.google.com/maps/search/?api=1&amp;query=""&amp;SUBSTITUTE(F1769,"" "","""")),""📲 Avisar al clien"&amp;"te""),"""")"),"")</f>
        <v/>
      </c>
      <c r="L1769" s="5" t="str">
        <f>IFERROR(__xludf.DUMMYFUNCTION("IF(C1769&lt;&gt;"""",""https://api.qrserver.com/v1/create-qr-code/?size=200x200&amp;data=""&amp;ENCODEURL(""https://wa.me/507""&amp;REGEXREPLACE(C1769,""[^0-9]"","""")&amp;""?text=""&amp;ENCODEURL(""Ya llegue. Codigo: ""&amp;A1769&amp;"". Ubicacion: ""&amp;""https://www.google.com/maps/search"&amp;"/?api=1&amp;query=""&amp;SUBSTITUTE(F1769,"" "",""""))),"""")"),"")</f>
        <v/>
      </c>
      <c r="M1769" s="5" t="str">
        <f t="shared" si="6"/>
        <v/>
      </c>
      <c r="N1769" s="5" t="str">
        <f>IFERROR(__xludf.DUMMYFUNCTION("IF(AND(F1769&lt;&gt;"""",REGEXMATCH(SUBSTITUTE(F1769,"" "",""""),""^-?\d+(\.\d+)?,-?\d+(\.\d+)?$""),VALUE(REGEXEXTRACT(SUBSTITUTE(F1769,"" "",""""),""^-?\d+(\.\d+)?""))&gt;=-90,VALUE(REGEXEXTRACT(SUBSTITUTE(F1769,"" "",""""),""^-?\d+(\.\d+)?""))&lt;=90,VALUE(REGEXEXT"&amp;"RACT(SUBSTITUTE(F1769,"" "",""""),""-?\d+(\.\d+)?$""))&gt;=-180,VALUE(REGEXEXTRACT(SUBSTITUTE(F1769,"" "",""""),""-?\d+(\.\d+)?$""))&lt;=180),""OK"",""REVISAR"")"),"#N/A")</f>
        <v>#N/A</v>
      </c>
    </row>
    <row r="1770" ht="15.75" customHeight="1">
      <c r="A1770" s="5" t="str">
        <f t="shared" si="1"/>
        <v>AD507-1768</v>
      </c>
      <c r="C1770" s="5"/>
      <c r="F1770" s="5"/>
      <c r="G1770" s="5" t="str">
        <f t="shared" si="2"/>
        <v/>
      </c>
      <c r="H1770" s="5" t="str">
        <f t="shared" si="3"/>
        <v/>
      </c>
      <c r="I1770" s="5" t="str">
        <f t="shared" si="4"/>
        <v/>
      </c>
      <c r="J1770" s="5" t="str">
        <f t="shared" si="5"/>
        <v/>
      </c>
      <c r="K1770" s="5" t="str">
        <f>IFERROR(__xludf.DUMMYFUNCTION("IF(C1770&lt;&gt;"""",HYPERLINK(""https://wa.me/507""&amp;REGEXREPLACE(C1770,""[^0-9]"","""")&amp;""?text=""&amp;ENCODEURL(""Ya llegue. Codigo: ""&amp;A1770&amp;"". Ubicacion: ""&amp;""https://www.google.com/maps/search/?api=1&amp;query=""&amp;SUBSTITUTE(F1770,"" "","""")),""📲 Avisar al clien"&amp;"te""),"""")"),"")</f>
        <v/>
      </c>
      <c r="L1770" s="5" t="str">
        <f>IFERROR(__xludf.DUMMYFUNCTION("IF(C1770&lt;&gt;"""",""https://api.qrserver.com/v1/create-qr-code/?size=200x200&amp;data=""&amp;ENCODEURL(""https://wa.me/507""&amp;REGEXREPLACE(C1770,""[^0-9]"","""")&amp;""?text=""&amp;ENCODEURL(""Ya llegue. Codigo: ""&amp;A1770&amp;"". Ubicacion: ""&amp;""https://www.google.com/maps/search"&amp;"/?api=1&amp;query=""&amp;SUBSTITUTE(F1770,"" "",""""))),"""")"),"")</f>
        <v/>
      </c>
      <c r="M1770" s="5" t="str">
        <f t="shared" si="6"/>
        <v/>
      </c>
      <c r="N1770" s="5" t="str">
        <f>IFERROR(__xludf.DUMMYFUNCTION("IF(AND(F1770&lt;&gt;"""",REGEXMATCH(SUBSTITUTE(F1770,"" "",""""),""^-?\d+(\.\d+)?,-?\d+(\.\d+)?$""),VALUE(REGEXEXTRACT(SUBSTITUTE(F1770,"" "",""""),""^-?\d+(\.\d+)?""))&gt;=-90,VALUE(REGEXEXTRACT(SUBSTITUTE(F1770,"" "",""""),""^-?\d+(\.\d+)?""))&lt;=90,VALUE(REGEXEXT"&amp;"RACT(SUBSTITUTE(F1770,"" "",""""),""-?\d+(\.\d+)?$""))&gt;=-180,VALUE(REGEXEXTRACT(SUBSTITUTE(F1770,"" "",""""),""-?\d+(\.\d+)?$""))&lt;=180),""OK"",""REVISAR"")"),"#N/A")</f>
        <v>#N/A</v>
      </c>
    </row>
    <row r="1771" ht="15.75" customHeight="1">
      <c r="A1771" s="5" t="str">
        <f t="shared" si="1"/>
        <v>AD507-1769</v>
      </c>
      <c r="C1771" s="5"/>
      <c r="F1771" s="5"/>
      <c r="G1771" s="5" t="str">
        <f t="shared" si="2"/>
        <v/>
      </c>
      <c r="H1771" s="5" t="str">
        <f t="shared" si="3"/>
        <v/>
      </c>
      <c r="I1771" s="5" t="str">
        <f t="shared" si="4"/>
        <v/>
      </c>
      <c r="J1771" s="5" t="str">
        <f t="shared" si="5"/>
        <v/>
      </c>
      <c r="K1771" s="5" t="str">
        <f>IFERROR(__xludf.DUMMYFUNCTION("IF(C1771&lt;&gt;"""",HYPERLINK(""https://wa.me/507""&amp;REGEXREPLACE(C1771,""[^0-9]"","""")&amp;""?text=""&amp;ENCODEURL(""Ya llegue. Codigo: ""&amp;A1771&amp;"". Ubicacion: ""&amp;""https://www.google.com/maps/search/?api=1&amp;query=""&amp;SUBSTITUTE(F1771,"" "","""")),""📲 Avisar al clien"&amp;"te""),"""")"),"")</f>
        <v/>
      </c>
      <c r="L1771" s="5" t="str">
        <f>IFERROR(__xludf.DUMMYFUNCTION("IF(C1771&lt;&gt;"""",""https://api.qrserver.com/v1/create-qr-code/?size=200x200&amp;data=""&amp;ENCODEURL(""https://wa.me/507""&amp;REGEXREPLACE(C1771,""[^0-9]"","""")&amp;""?text=""&amp;ENCODEURL(""Ya llegue. Codigo: ""&amp;A1771&amp;"". Ubicacion: ""&amp;""https://www.google.com/maps/search"&amp;"/?api=1&amp;query=""&amp;SUBSTITUTE(F1771,"" "",""""))),"""")"),"")</f>
        <v/>
      </c>
      <c r="M1771" s="5" t="str">
        <f t="shared" si="6"/>
        <v/>
      </c>
      <c r="N1771" s="5" t="str">
        <f>IFERROR(__xludf.DUMMYFUNCTION("IF(AND(F1771&lt;&gt;"""",REGEXMATCH(SUBSTITUTE(F1771,"" "",""""),""^-?\d+(\.\d+)?,-?\d+(\.\d+)?$""),VALUE(REGEXEXTRACT(SUBSTITUTE(F1771,"" "",""""),""^-?\d+(\.\d+)?""))&gt;=-90,VALUE(REGEXEXTRACT(SUBSTITUTE(F1771,"" "",""""),""^-?\d+(\.\d+)?""))&lt;=90,VALUE(REGEXEXT"&amp;"RACT(SUBSTITUTE(F1771,"" "",""""),""-?\d+(\.\d+)?$""))&gt;=-180,VALUE(REGEXEXTRACT(SUBSTITUTE(F1771,"" "",""""),""-?\d+(\.\d+)?$""))&lt;=180),""OK"",""REVISAR"")"),"#N/A")</f>
        <v>#N/A</v>
      </c>
    </row>
    <row r="1772" ht="15.75" customHeight="1">
      <c r="A1772" s="5" t="str">
        <f t="shared" si="1"/>
        <v>AD507-1770</v>
      </c>
      <c r="C1772" s="5"/>
      <c r="F1772" s="5"/>
      <c r="G1772" s="5" t="str">
        <f t="shared" si="2"/>
        <v/>
      </c>
      <c r="H1772" s="5" t="str">
        <f t="shared" si="3"/>
        <v/>
      </c>
      <c r="I1772" s="5" t="str">
        <f t="shared" si="4"/>
        <v/>
      </c>
      <c r="J1772" s="5" t="str">
        <f t="shared" si="5"/>
        <v/>
      </c>
      <c r="K1772" s="5" t="str">
        <f>IFERROR(__xludf.DUMMYFUNCTION("IF(C1772&lt;&gt;"""",HYPERLINK(""https://wa.me/507""&amp;REGEXREPLACE(C1772,""[^0-9]"","""")&amp;""?text=""&amp;ENCODEURL(""Ya llegue. Codigo: ""&amp;A1772&amp;"". Ubicacion: ""&amp;""https://www.google.com/maps/search/?api=1&amp;query=""&amp;SUBSTITUTE(F1772,"" "","""")),""📲 Avisar al clien"&amp;"te""),"""")"),"")</f>
        <v/>
      </c>
      <c r="L1772" s="5" t="str">
        <f>IFERROR(__xludf.DUMMYFUNCTION("IF(C1772&lt;&gt;"""",""https://api.qrserver.com/v1/create-qr-code/?size=200x200&amp;data=""&amp;ENCODEURL(""https://wa.me/507""&amp;REGEXREPLACE(C1772,""[^0-9]"","""")&amp;""?text=""&amp;ENCODEURL(""Ya llegue. Codigo: ""&amp;A1772&amp;"". Ubicacion: ""&amp;""https://www.google.com/maps/search"&amp;"/?api=1&amp;query=""&amp;SUBSTITUTE(F1772,"" "",""""))),"""")"),"")</f>
        <v/>
      </c>
      <c r="M1772" s="5" t="str">
        <f t="shared" si="6"/>
        <v/>
      </c>
      <c r="N1772" s="5" t="str">
        <f>IFERROR(__xludf.DUMMYFUNCTION("IF(AND(F1772&lt;&gt;"""",REGEXMATCH(SUBSTITUTE(F1772,"" "",""""),""^-?\d+(\.\d+)?,-?\d+(\.\d+)?$""),VALUE(REGEXEXTRACT(SUBSTITUTE(F1772,"" "",""""),""^-?\d+(\.\d+)?""))&gt;=-90,VALUE(REGEXEXTRACT(SUBSTITUTE(F1772,"" "",""""),""^-?\d+(\.\d+)?""))&lt;=90,VALUE(REGEXEXT"&amp;"RACT(SUBSTITUTE(F1772,"" "",""""),""-?\d+(\.\d+)?$""))&gt;=-180,VALUE(REGEXEXTRACT(SUBSTITUTE(F1772,"" "",""""),""-?\d+(\.\d+)?$""))&lt;=180),""OK"",""REVISAR"")"),"#N/A")</f>
        <v>#N/A</v>
      </c>
    </row>
    <row r="1773" ht="15.75" customHeight="1">
      <c r="A1773" s="5" t="str">
        <f t="shared" si="1"/>
        <v>AD507-1771</v>
      </c>
      <c r="C1773" s="5"/>
      <c r="F1773" s="5"/>
      <c r="G1773" s="5" t="str">
        <f t="shared" si="2"/>
        <v/>
      </c>
      <c r="H1773" s="5" t="str">
        <f t="shared" si="3"/>
        <v/>
      </c>
      <c r="I1773" s="5" t="str">
        <f t="shared" si="4"/>
        <v/>
      </c>
      <c r="J1773" s="5" t="str">
        <f t="shared" si="5"/>
        <v/>
      </c>
      <c r="K1773" s="5" t="str">
        <f>IFERROR(__xludf.DUMMYFUNCTION("IF(C1773&lt;&gt;"""",HYPERLINK(""https://wa.me/507""&amp;REGEXREPLACE(C1773,""[^0-9]"","""")&amp;""?text=""&amp;ENCODEURL(""Ya llegue. Codigo: ""&amp;A1773&amp;"". Ubicacion: ""&amp;""https://www.google.com/maps/search/?api=1&amp;query=""&amp;SUBSTITUTE(F1773,"" "","""")),""📲 Avisar al clien"&amp;"te""),"""")"),"")</f>
        <v/>
      </c>
      <c r="L1773" s="5" t="str">
        <f>IFERROR(__xludf.DUMMYFUNCTION("IF(C1773&lt;&gt;"""",""https://api.qrserver.com/v1/create-qr-code/?size=200x200&amp;data=""&amp;ENCODEURL(""https://wa.me/507""&amp;REGEXREPLACE(C1773,""[^0-9]"","""")&amp;""?text=""&amp;ENCODEURL(""Ya llegue. Codigo: ""&amp;A1773&amp;"". Ubicacion: ""&amp;""https://www.google.com/maps/search"&amp;"/?api=1&amp;query=""&amp;SUBSTITUTE(F1773,"" "",""""))),"""")"),"")</f>
        <v/>
      </c>
      <c r="M1773" s="5" t="str">
        <f t="shared" si="6"/>
        <v/>
      </c>
      <c r="N1773" s="5" t="str">
        <f>IFERROR(__xludf.DUMMYFUNCTION("IF(AND(F1773&lt;&gt;"""",REGEXMATCH(SUBSTITUTE(F1773,"" "",""""),""^-?\d+(\.\d+)?,-?\d+(\.\d+)?$""),VALUE(REGEXEXTRACT(SUBSTITUTE(F1773,"" "",""""),""^-?\d+(\.\d+)?""))&gt;=-90,VALUE(REGEXEXTRACT(SUBSTITUTE(F1773,"" "",""""),""^-?\d+(\.\d+)?""))&lt;=90,VALUE(REGEXEXT"&amp;"RACT(SUBSTITUTE(F1773,"" "",""""),""-?\d+(\.\d+)?$""))&gt;=-180,VALUE(REGEXEXTRACT(SUBSTITUTE(F1773,"" "",""""),""-?\d+(\.\d+)?$""))&lt;=180),""OK"",""REVISAR"")"),"#N/A")</f>
        <v>#N/A</v>
      </c>
    </row>
    <row r="1774" ht="15.75" customHeight="1">
      <c r="A1774" s="5" t="str">
        <f t="shared" si="1"/>
        <v>AD507-1772</v>
      </c>
      <c r="C1774" s="5"/>
      <c r="F1774" s="5"/>
      <c r="G1774" s="5" t="str">
        <f t="shared" si="2"/>
        <v/>
      </c>
      <c r="H1774" s="5" t="str">
        <f t="shared" si="3"/>
        <v/>
      </c>
      <c r="I1774" s="5" t="str">
        <f t="shared" si="4"/>
        <v/>
      </c>
      <c r="J1774" s="5" t="str">
        <f t="shared" si="5"/>
        <v/>
      </c>
      <c r="K1774" s="5" t="str">
        <f>IFERROR(__xludf.DUMMYFUNCTION("IF(C1774&lt;&gt;"""",HYPERLINK(""https://wa.me/507""&amp;REGEXREPLACE(C1774,""[^0-9]"","""")&amp;""?text=""&amp;ENCODEURL(""Ya llegue. Codigo: ""&amp;A1774&amp;"". Ubicacion: ""&amp;""https://www.google.com/maps/search/?api=1&amp;query=""&amp;SUBSTITUTE(F1774,"" "","""")),""📲 Avisar al clien"&amp;"te""),"""")"),"")</f>
        <v/>
      </c>
      <c r="L1774" s="5" t="str">
        <f>IFERROR(__xludf.DUMMYFUNCTION("IF(C1774&lt;&gt;"""",""https://api.qrserver.com/v1/create-qr-code/?size=200x200&amp;data=""&amp;ENCODEURL(""https://wa.me/507""&amp;REGEXREPLACE(C1774,""[^0-9]"","""")&amp;""?text=""&amp;ENCODEURL(""Ya llegue. Codigo: ""&amp;A1774&amp;"". Ubicacion: ""&amp;""https://www.google.com/maps/search"&amp;"/?api=1&amp;query=""&amp;SUBSTITUTE(F1774,"" "",""""))),"""")"),"")</f>
        <v/>
      </c>
      <c r="M1774" s="5" t="str">
        <f t="shared" si="6"/>
        <v/>
      </c>
      <c r="N1774" s="5" t="str">
        <f>IFERROR(__xludf.DUMMYFUNCTION("IF(AND(F1774&lt;&gt;"""",REGEXMATCH(SUBSTITUTE(F1774,"" "",""""),""^-?\d+(\.\d+)?,-?\d+(\.\d+)?$""),VALUE(REGEXEXTRACT(SUBSTITUTE(F1774,"" "",""""),""^-?\d+(\.\d+)?""))&gt;=-90,VALUE(REGEXEXTRACT(SUBSTITUTE(F1774,"" "",""""),""^-?\d+(\.\d+)?""))&lt;=90,VALUE(REGEXEXT"&amp;"RACT(SUBSTITUTE(F1774,"" "",""""),""-?\d+(\.\d+)?$""))&gt;=-180,VALUE(REGEXEXTRACT(SUBSTITUTE(F1774,"" "",""""),""-?\d+(\.\d+)?$""))&lt;=180),""OK"",""REVISAR"")"),"#N/A")</f>
        <v>#N/A</v>
      </c>
    </row>
    <row r="1775" ht="15.75" customHeight="1">
      <c r="A1775" s="5" t="str">
        <f t="shared" si="1"/>
        <v>AD507-1773</v>
      </c>
      <c r="C1775" s="5"/>
      <c r="F1775" s="5"/>
      <c r="G1775" s="5" t="str">
        <f t="shared" si="2"/>
        <v/>
      </c>
      <c r="H1775" s="5" t="str">
        <f t="shared" si="3"/>
        <v/>
      </c>
      <c r="I1775" s="5" t="str">
        <f t="shared" si="4"/>
        <v/>
      </c>
      <c r="J1775" s="5" t="str">
        <f t="shared" si="5"/>
        <v/>
      </c>
      <c r="K1775" s="5" t="str">
        <f>IFERROR(__xludf.DUMMYFUNCTION("IF(C1775&lt;&gt;"""",HYPERLINK(""https://wa.me/507""&amp;REGEXREPLACE(C1775,""[^0-9]"","""")&amp;""?text=""&amp;ENCODEURL(""Ya llegue. Codigo: ""&amp;A1775&amp;"". Ubicacion: ""&amp;""https://www.google.com/maps/search/?api=1&amp;query=""&amp;SUBSTITUTE(F1775,"" "","""")),""📲 Avisar al clien"&amp;"te""),"""")"),"")</f>
        <v/>
      </c>
      <c r="L1775" s="5" t="str">
        <f>IFERROR(__xludf.DUMMYFUNCTION("IF(C1775&lt;&gt;"""",""https://api.qrserver.com/v1/create-qr-code/?size=200x200&amp;data=""&amp;ENCODEURL(""https://wa.me/507""&amp;REGEXREPLACE(C1775,""[^0-9]"","""")&amp;""?text=""&amp;ENCODEURL(""Ya llegue. Codigo: ""&amp;A1775&amp;"". Ubicacion: ""&amp;""https://www.google.com/maps/search"&amp;"/?api=1&amp;query=""&amp;SUBSTITUTE(F1775,"" "",""""))),"""")"),"")</f>
        <v/>
      </c>
      <c r="M1775" s="5" t="str">
        <f t="shared" si="6"/>
        <v/>
      </c>
      <c r="N1775" s="5" t="str">
        <f>IFERROR(__xludf.DUMMYFUNCTION("IF(AND(F1775&lt;&gt;"""",REGEXMATCH(SUBSTITUTE(F1775,"" "",""""),""^-?\d+(\.\d+)?,-?\d+(\.\d+)?$""),VALUE(REGEXEXTRACT(SUBSTITUTE(F1775,"" "",""""),""^-?\d+(\.\d+)?""))&gt;=-90,VALUE(REGEXEXTRACT(SUBSTITUTE(F1775,"" "",""""),""^-?\d+(\.\d+)?""))&lt;=90,VALUE(REGEXEXT"&amp;"RACT(SUBSTITUTE(F1775,"" "",""""),""-?\d+(\.\d+)?$""))&gt;=-180,VALUE(REGEXEXTRACT(SUBSTITUTE(F1775,"" "",""""),""-?\d+(\.\d+)?$""))&lt;=180),""OK"",""REVISAR"")"),"#N/A")</f>
        <v>#N/A</v>
      </c>
    </row>
    <row r="1776" ht="15.75" customHeight="1">
      <c r="A1776" s="5" t="str">
        <f t="shared" si="1"/>
        <v>AD507-1774</v>
      </c>
      <c r="C1776" s="5"/>
      <c r="F1776" s="5"/>
      <c r="G1776" s="5" t="str">
        <f t="shared" si="2"/>
        <v/>
      </c>
      <c r="H1776" s="5" t="str">
        <f t="shared" si="3"/>
        <v/>
      </c>
      <c r="I1776" s="5" t="str">
        <f t="shared" si="4"/>
        <v/>
      </c>
      <c r="J1776" s="5" t="str">
        <f t="shared" si="5"/>
        <v/>
      </c>
      <c r="K1776" s="5" t="str">
        <f>IFERROR(__xludf.DUMMYFUNCTION("IF(C1776&lt;&gt;"""",HYPERLINK(""https://wa.me/507""&amp;REGEXREPLACE(C1776,""[^0-9]"","""")&amp;""?text=""&amp;ENCODEURL(""Ya llegue. Codigo: ""&amp;A1776&amp;"". Ubicacion: ""&amp;""https://www.google.com/maps/search/?api=1&amp;query=""&amp;SUBSTITUTE(F1776,"" "","""")),""📲 Avisar al clien"&amp;"te""),"""")"),"")</f>
        <v/>
      </c>
      <c r="L1776" s="5" t="str">
        <f>IFERROR(__xludf.DUMMYFUNCTION("IF(C1776&lt;&gt;"""",""https://api.qrserver.com/v1/create-qr-code/?size=200x200&amp;data=""&amp;ENCODEURL(""https://wa.me/507""&amp;REGEXREPLACE(C1776,""[^0-9]"","""")&amp;""?text=""&amp;ENCODEURL(""Ya llegue. Codigo: ""&amp;A1776&amp;"". Ubicacion: ""&amp;""https://www.google.com/maps/search"&amp;"/?api=1&amp;query=""&amp;SUBSTITUTE(F1776,"" "",""""))),"""")"),"")</f>
        <v/>
      </c>
      <c r="M1776" s="5" t="str">
        <f t="shared" si="6"/>
        <v/>
      </c>
      <c r="N1776" s="5" t="str">
        <f>IFERROR(__xludf.DUMMYFUNCTION("IF(AND(F1776&lt;&gt;"""",REGEXMATCH(SUBSTITUTE(F1776,"" "",""""),""^-?\d+(\.\d+)?,-?\d+(\.\d+)?$""),VALUE(REGEXEXTRACT(SUBSTITUTE(F1776,"" "",""""),""^-?\d+(\.\d+)?""))&gt;=-90,VALUE(REGEXEXTRACT(SUBSTITUTE(F1776,"" "",""""),""^-?\d+(\.\d+)?""))&lt;=90,VALUE(REGEXEXT"&amp;"RACT(SUBSTITUTE(F1776,"" "",""""),""-?\d+(\.\d+)?$""))&gt;=-180,VALUE(REGEXEXTRACT(SUBSTITUTE(F1776,"" "",""""),""-?\d+(\.\d+)?$""))&lt;=180),""OK"",""REVISAR"")"),"#N/A")</f>
        <v>#N/A</v>
      </c>
    </row>
    <row r="1777" ht="15.75" customHeight="1">
      <c r="A1777" s="5" t="str">
        <f t="shared" si="1"/>
        <v>AD507-1775</v>
      </c>
      <c r="C1777" s="5"/>
      <c r="F1777" s="5"/>
      <c r="G1777" s="5" t="str">
        <f t="shared" si="2"/>
        <v/>
      </c>
      <c r="H1777" s="5" t="str">
        <f t="shared" si="3"/>
        <v/>
      </c>
      <c r="I1777" s="5" t="str">
        <f t="shared" si="4"/>
        <v/>
      </c>
      <c r="J1777" s="5" t="str">
        <f t="shared" si="5"/>
        <v/>
      </c>
      <c r="K1777" s="5" t="str">
        <f>IFERROR(__xludf.DUMMYFUNCTION("IF(C1777&lt;&gt;"""",HYPERLINK(""https://wa.me/507""&amp;REGEXREPLACE(C1777,""[^0-9]"","""")&amp;""?text=""&amp;ENCODEURL(""Ya llegue. Codigo: ""&amp;A1777&amp;"". Ubicacion: ""&amp;""https://www.google.com/maps/search/?api=1&amp;query=""&amp;SUBSTITUTE(F1777,"" "","""")),""📲 Avisar al clien"&amp;"te""),"""")"),"")</f>
        <v/>
      </c>
      <c r="L1777" s="5" t="str">
        <f>IFERROR(__xludf.DUMMYFUNCTION("IF(C1777&lt;&gt;"""",""https://api.qrserver.com/v1/create-qr-code/?size=200x200&amp;data=""&amp;ENCODEURL(""https://wa.me/507""&amp;REGEXREPLACE(C1777,""[^0-9]"","""")&amp;""?text=""&amp;ENCODEURL(""Ya llegue. Codigo: ""&amp;A1777&amp;"". Ubicacion: ""&amp;""https://www.google.com/maps/search"&amp;"/?api=1&amp;query=""&amp;SUBSTITUTE(F1777,"" "",""""))),"""")"),"")</f>
        <v/>
      </c>
      <c r="M1777" s="5" t="str">
        <f t="shared" si="6"/>
        <v/>
      </c>
      <c r="N1777" s="5" t="str">
        <f>IFERROR(__xludf.DUMMYFUNCTION("IF(AND(F1777&lt;&gt;"""",REGEXMATCH(SUBSTITUTE(F1777,"" "",""""),""^-?\d+(\.\d+)?,-?\d+(\.\d+)?$""),VALUE(REGEXEXTRACT(SUBSTITUTE(F1777,"" "",""""),""^-?\d+(\.\d+)?""))&gt;=-90,VALUE(REGEXEXTRACT(SUBSTITUTE(F1777,"" "",""""),""^-?\d+(\.\d+)?""))&lt;=90,VALUE(REGEXEXT"&amp;"RACT(SUBSTITUTE(F1777,"" "",""""),""-?\d+(\.\d+)?$""))&gt;=-180,VALUE(REGEXEXTRACT(SUBSTITUTE(F1777,"" "",""""),""-?\d+(\.\d+)?$""))&lt;=180),""OK"",""REVISAR"")"),"#N/A")</f>
        <v>#N/A</v>
      </c>
    </row>
    <row r="1778" ht="15.75" customHeight="1">
      <c r="A1778" s="5" t="str">
        <f t="shared" si="1"/>
        <v>AD507-1776</v>
      </c>
      <c r="C1778" s="5"/>
      <c r="F1778" s="5"/>
      <c r="G1778" s="5" t="str">
        <f t="shared" si="2"/>
        <v/>
      </c>
      <c r="H1778" s="5" t="str">
        <f t="shared" si="3"/>
        <v/>
      </c>
      <c r="I1778" s="5" t="str">
        <f t="shared" si="4"/>
        <v/>
      </c>
      <c r="J1778" s="5" t="str">
        <f t="shared" si="5"/>
        <v/>
      </c>
      <c r="K1778" s="5" t="str">
        <f>IFERROR(__xludf.DUMMYFUNCTION("IF(C1778&lt;&gt;"""",HYPERLINK(""https://wa.me/507""&amp;REGEXREPLACE(C1778,""[^0-9]"","""")&amp;""?text=""&amp;ENCODEURL(""Ya llegue. Codigo: ""&amp;A1778&amp;"". Ubicacion: ""&amp;""https://www.google.com/maps/search/?api=1&amp;query=""&amp;SUBSTITUTE(F1778,"" "","""")),""📲 Avisar al clien"&amp;"te""),"""")"),"")</f>
        <v/>
      </c>
      <c r="L1778" s="5" t="str">
        <f>IFERROR(__xludf.DUMMYFUNCTION("IF(C1778&lt;&gt;"""",""https://api.qrserver.com/v1/create-qr-code/?size=200x200&amp;data=""&amp;ENCODEURL(""https://wa.me/507""&amp;REGEXREPLACE(C1778,""[^0-9]"","""")&amp;""?text=""&amp;ENCODEURL(""Ya llegue. Codigo: ""&amp;A1778&amp;"". Ubicacion: ""&amp;""https://www.google.com/maps/search"&amp;"/?api=1&amp;query=""&amp;SUBSTITUTE(F1778,"" "",""""))),"""")"),"")</f>
        <v/>
      </c>
      <c r="M1778" s="5" t="str">
        <f t="shared" si="6"/>
        <v/>
      </c>
      <c r="N1778" s="5" t="str">
        <f>IFERROR(__xludf.DUMMYFUNCTION("IF(AND(F1778&lt;&gt;"""",REGEXMATCH(SUBSTITUTE(F1778,"" "",""""),""^-?\d+(\.\d+)?,-?\d+(\.\d+)?$""),VALUE(REGEXEXTRACT(SUBSTITUTE(F1778,"" "",""""),""^-?\d+(\.\d+)?""))&gt;=-90,VALUE(REGEXEXTRACT(SUBSTITUTE(F1778,"" "",""""),""^-?\d+(\.\d+)?""))&lt;=90,VALUE(REGEXEXT"&amp;"RACT(SUBSTITUTE(F1778,"" "",""""),""-?\d+(\.\d+)?$""))&gt;=-180,VALUE(REGEXEXTRACT(SUBSTITUTE(F1778,"" "",""""),""-?\d+(\.\d+)?$""))&lt;=180),""OK"",""REVISAR"")"),"#N/A")</f>
        <v>#N/A</v>
      </c>
    </row>
    <row r="1779" ht="15.75" customHeight="1">
      <c r="A1779" s="5" t="str">
        <f t="shared" si="1"/>
        <v>AD507-1777</v>
      </c>
      <c r="C1779" s="5"/>
      <c r="F1779" s="5"/>
      <c r="G1779" s="5" t="str">
        <f t="shared" si="2"/>
        <v/>
      </c>
      <c r="H1779" s="5" t="str">
        <f t="shared" si="3"/>
        <v/>
      </c>
      <c r="I1779" s="5" t="str">
        <f t="shared" si="4"/>
        <v/>
      </c>
      <c r="J1779" s="5" t="str">
        <f t="shared" si="5"/>
        <v/>
      </c>
      <c r="K1779" s="5" t="str">
        <f>IFERROR(__xludf.DUMMYFUNCTION("IF(C1779&lt;&gt;"""",HYPERLINK(""https://wa.me/507""&amp;REGEXREPLACE(C1779,""[^0-9]"","""")&amp;""?text=""&amp;ENCODEURL(""Ya llegue. Codigo: ""&amp;A1779&amp;"". Ubicacion: ""&amp;""https://www.google.com/maps/search/?api=1&amp;query=""&amp;SUBSTITUTE(F1779,"" "","""")),""📲 Avisar al clien"&amp;"te""),"""")"),"")</f>
        <v/>
      </c>
      <c r="L1779" s="5" t="str">
        <f>IFERROR(__xludf.DUMMYFUNCTION("IF(C1779&lt;&gt;"""",""https://api.qrserver.com/v1/create-qr-code/?size=200x200&amp;data=""&amp;ENCODEURL(""https://wa.me/507""&amp;REGEXREPLACE(C1779,""[^0-9]"","""")&amp;""?text=""&amp;ENCODEURL(""Ya llegue. Codigo: ""&amp;A1779&amp;"". Ubicacion: ""&amp;""https://www.google.com/maps/search"&amp;"/?api=1&amp;query=""&amp;SUBSTITUTE(F1779,"" "",""""))),"""")"),"")</f>
        <v/>
      </c>
      <c r="M1779" s="5" t="str">
        <f t="shared" si="6"/>
        <v/>
      </c>
      <c r="N1779" s="5" t="str">
        <f>IFERROR(__xludf.DUMMYFUNCTION("IF(AND(F1779&lt;&gt;"""",REGEXMATCH(SUBSTITUTE(F1779,"" "",""""),""^-?\d+(\.\d+)?,-?\d+(\.\d+)?$""),VALUE(REGEXEXTRACT(SUBSTITUTE(F1779,"" "",""""),""^-?\d+(\.\d+)?""))&gt;=-90,VALUE(REGEXEXTRACT(SUBSTITUTE(F1779,"" "",""""),""^-?\d+(\.\d+)?""))&lt;=90,VALUE(REGEXEXT"&amp;"RACT(SUBSTITUTE(F1779,"" "",""""),""-?\d+(\.\d+)?$""))&gt;=-180,VALUE(REGEXEXTRACT(SUBSTITUTE(F1779,"" "",""""),""-?\d+(\.\d+)?$""))&lt;=180),""OK"",""REVISAR"")"),"#N/A")</f>
        <v>#N/A</v>
      </c>
    </row>
    <row r="1780" ht="15.75" customHeight="1">
      <c r="A1780" s="5" t="str">
        <f t="shared" si="1"/>
        <v>AD507-1778</v>
      </c>
      <c r="C1780" s="5"/>
      <c r="F1780" s="5"/>
      <c r="G1780" s="5" t="str">
        <f t="shared" si="2"/>
        <v/>
      </c>
      <c r="H1780" s="5" t="str">
        <f t="shared" si="3"/>
        <v/>
      </c>
      <c r="I1780" s="5" t="str">
        <f t="shared" si="4"/>
        <v/>
      </c>
      <c r="J1780" s="5" t="str">
        <f t="shared" si="5"/>
        <v/>
      </c>
      <c r="K1780" s="5" t="str">
        <f>IFERROR(__xludf.DUMMYFUNCTION("IF(C1780&lt;&gt;"""",HYPERLINK(""https://wa.me/507""&amp;REGEXREPLACE(C1780,""[^0-9]"","""")&amp;""?text=""&amp;ENCODEURL(""Ya llegue. Codigo: ""&amp;A1780&amp;"". Ubicacion: ""&amp;""https://www.google.com/maps/search/?api=1&amp;query=""&amp;SUBSTITUTE(F1780,"" "","""")),""📲 Avisar al clien"&amp;"te""),"""")"),"")</f>
        <v/>
      </c>
      <c r="L1780" s="5" t="str">
        <f>IFERROR(__xludf.DUMMYFUNCTION("IF(C1780&lt;&gt;"""",""https://api.qrserver.com/v1/create-qr-code/?size=200x200&amp;data=""&amp;ENCODEURL(""https://wa.me/507""&amp;REGEXREPLACE(C1780,""[^0-9]"","""")&amp;""?text=""&amp;ENCODEURL(""Ya llegue. Codigo: ""&amp;A1780&amp;"". Ubicacion: ""&amp;""https://www.google.com/maps/search"&amp;"/?api=1&amp;query=""&amp;SUBSTITUTE(F1780,"" "",""""))),"""")"),"")</f>
        <v/>
      </c>
      <c r="M1780" s="5" t="str">
        <f t="shared" si="6"/>
        <v/>
      </c>
      <c r="N1780" s="5" t="str">
        <f>IFERROR(__xludf.DUMMYFUNCTION("IF(AND(F1780&lt;&gt;"""",REGEXMATCH(SUBSTITUTE(F1780,"" "",""""),""^-?\d+(\.\d+)?,-?\d+(\.\d+)?$""),VALUE(REGEXEXTRACT(SUBSTITUTE(F1780,"" "",""""),""^-?\d+(\.\d+)?""))&gt;=-90,VALUE(REGEXEXTRACT(SUBSTITUTE(F1780,"" "",""""),""^-?\d+(\.\d+)?""))&lt;=90,VALUE(REGEXEXT"&amp;"RACT(SUBSTITUTE(F1780,"" "",""""),""-?\d+(\.\d+)?$""))&gt;=-180,VALUE(REGEXEXTRACT(SUBSTITUTE(F1780,"" "",""""),""-?\d+(\.\d+)?$""))&lt;=180),""OK"",""REVISAR"")"),"#N/A")</f>
        <v>#N/A</v>
      </c>
    </row>
    <row r="1781" ht="15.75" customHeight="1">
      <c r="A1781" s="5" t="str">
        <f t="shared" si="1"/>
        <v>AD507-1779</v>
      </c>
      <c r="C1781" s="5"/>
      <c r="F1781" s="5"/>
      <c r="G1781" s="5" t="str">
        <f t="shared" si="2"/>
        <v/>
      </c>
      <c r="H1781" s="5" t="str">
        <f t="shared" si="3"/>
        <v/>
      </c>
      <c r="I1781" s="5" t="str">
        <f t="shared" si="4"/>
        <v/>
      </c>
      <c r="J1781" s="5" t="str">
        <f t="shared" si="5"/>
        <v/>
      </c>
      <c r="K1781" s="5" t="str">
        <f>IFERROR(__xludf.DUMMYFUNCTION("IF(C1781&lt;&gt;"""",HYPERLINK(""https://wa.me/507""&amp;REGEXREPLACE(C1781,""[^0-9]"","""")&amp;""?text=""&amp;ENCODEURL(""Ya llegue. Codigo: ""&amp;A1781&amp;"". Ubicacion: ""&amp;""https://www.google.com/maps/search/?api=1&amp;query=""&amp;SUBSTITUTE(F1781,"" "","""")),""📲 Avisar al clien"&amp;"te""),"""")"),"")</f>
        <v/>
      </c>
      <c r="L1781" s="5" t="str">
        <f>IFERROR(__xludf.DUMMYFUNCTION("IF(C1781&lt;&gt;"""",""https://api.qrserver.com/v1/create-qr-code/?size=200x200&amp;data=""&amp;ENCODEURL(""https://wa.me/507""&amp;REGEXREPLACE(C1781,""[^0-9]"","""")&amp;""?text=""&amp;ENCODEURL(""Ya llegue. Codigo: ""&amp;A1781&amp;"". Ubicacion: ""&amp;""https://www.google.com/maps/search"&amp;"/?api=1&amp;query=""&amp;SUBSTITUTE(F1781,"" "",""""))),"""")"),"")</f>
        <v/>
      </c>
      <c r="M1781" s="5" t="str">
        <f t="shared" si="6"/>
        <v/>
      </c>
      <c r="N1781" s="5" t="str">
        <f>IFERROR(__xludf.DUMMYFUNCTION("IF(AND(F1781&lt;&gt;"""",REGEXMATCH(SUBSTITUTE(F1781,"" "",""""),""^-?\d+(\.\d+)?,-?\d+(\.\d+)?$""),VALUE(REGEXEXTRACT(SUBSTITUTE(F1781,"" "",""""),""^-?\d+(\.\d+)?""))&gt;=-90,VALUE(REGEXEXTRACT(SUBSTITUTE(F1781,"" "",""""),""^-?\d+(\.\d+)?""))&lt;=90,VALUE(REGEXEXT"&amp;"RACT(SUBSTITUTE(F1781,"" "",""""),""-?\d+(\.\d+)?$""))&gt;=-180,VALUE(REGEXEXTRACT(SUBSTITUTE(F1781,"" "",""""),""-?\d+(\.\d+)?$""))&lt;=180),""OK"",""REVISAR"")"),"#N/A")</f>
        <v>#N/A</v>
      </c>
    </row>
    <row r="1782" ht="15.75" customHeight="1">
      <c r="A1782" s="5" t="str">
        <f t="shared" si="1"/>
        <v>AD507-1780</v>
      </c>
      <c r="C1782" s="5"/>
      <c r="F1782" s="5"/>
      <c r="G1782" s="5" t="str">
        <f t="shared" si="2"/>
        <v/>
      </c>
      <c r="H1782" s="5" t="str">
        <f t="shared" si="3"/>
        <v/>
      </c>
      <c r="I1782" s="5" t="str">
        <f t="shared" si="4"/>
        <v/>
      </c>
      <c r="J1782" s="5" t="str">
        <f t="shared" si="5"/>
        <v/>
      </c>
      <c r="K1782" s="5" t="str">
        <f>IFERROR(__xludf.DUMMYFUNCTION("IF(C1782&lt;&gt;"""",HYPERLINK(""https://wa.me/507""&amp;REGEXREPLACE(C1782,""[^0-9]"","""")&amp;""?text=""&amp;ENCODEURL(""Ya llegue. Codigo: ""&amp;A1782&amp;"". Ubicacion: ""&amp;""https://www.google.com/maps/search/?api=1&amp;query=""&amp;SUBSTITUTE(F1782,"" "","""")),""📲 Avisar al clien"&amp;"te""),"""")"),"")</f>
        <v/>
      </c>
      <c r="L1782" s="5" t="str">
        <f>IFERROR(__xludf.DUMMYFUNCTION("IF(C1782&lt;&gt;"""",""https://api.qrserver.com/v1/create-qr-code/?size=200x200&amp;data=""&amp;ENCODEURL(""https://wa.me/507""&amp;REGEXREPLACE(C1782,""[^0-9]"","""")&amp;""?text=""&amp;ENCODEURL(""Ya llegue. Codigo: ""&amp;A1782&amp;"". Ubicacion: ""&amp;""https://www.google.com/maps/search"&amp;"/?api=1&amp;query=""&amp;SUBSTITUTE(F1782,"" "",""""))),"""")"),"")</f>
        <v/>
      </c>
      <c r="M1782" s="5" t="str">
        <f t="shared" si="6"/>
        <v/>
      </c>
      <c r="N1782" s="5" t="str">
        <f>IFERROR(__xludf.DUMMYFUNCTION("IF(AND(F1782&lt;&gt;"""",REGEXMATCH(SUBSTITUTE(F1782,"" "",""""),""^-?\d+(\.\d+)?,-?\d+(\.\d+)?$""),VALUE(REGEXEXTRACT(SUBSTITUTE(F1782,"" "",""""),""^-?\d+(\.\d+)?""))&gt;=-90,VALUE(REGEXEXTRACT(SUBSTITUTE(F1782,"" "",""""),""^-?\d+(\.\d+)?""))&lt;=90,VALUE(REGEXEXT"&amp;"RACT(SUBSTITUTE(F1782,"" "",""""),""-?\d+(\.\d+)?$""))&gt;=-180,VALUE(REGEXEXTRACT(SUBSTITUTE(F1782,"" "",""""),""-?\d+(\.\d+)?$""))&lt;=180),""OK"",""REVISAR"")"),"#N/A")</f>
        <v>#N/A</v>
      </c>
    </row>
    <row r="1783" ht="15.75" customHeight="1">
      <c r="A1783" s="5" t="str">
        <f t="shared" si="1"/>
        <v>AD507-1781</v>
      </c>
      <c r="C1783" s="5"/>
      <c r="F1783" s="5"/>
      <c r="G1783" s="5" t="str">
        <f t="shared" si="2"/>
        <v/>
      </c>
      <c r="H1783" s="5" t="str">
        <f t="shared" si="3"/>
        <v/>
      </c>
      <c r="I1783" s="5" t="str">
        <f t="shared" si="4"/>
        <v/>
      </c>
      <c r="J1783" s="5" t="str">
        <f t="shared" si="5"/>
        <v/>
      </c>
      <c r="K1783" s="5" t="str">
        <f>IFERROR(__xludf.DUMMYFUNCTION("IF(C1783&lt;&gt;"""",HYPERLINK(""https://wa.me/507""&amp;REGEXREPLACE(C1783,""[^0-9]"","""")&amp;""?text=""&amp;ENCODEURL(""Ya llegue. Codigo: ""&amp;A1783&amp;"". Ubicacion: ""&amp;""https://www.google.com/maps/search/?api=1&amp;query=""&amp;SUBSTITUTE(F1783,"" "","""")),""📲 Avisar al clien"&amp;"te""),"""")"),"")</f>
        <v/>
      </c>
      <c r="L1783" s="5" t="str">
        <f>IFERROR(__xludf.DUMMYFUNCTION("IF(C1783&lt;&gt;"""",""https://api.qrserver.com/v1/create-qr-code/?size=200x200&amp;data=""&amp;ENCODEURL(""https://wa.me/507""&amp;REGEXREPLACE(C1783,""[^0-9]"","""")&amp;""?text=""&amp;ENCODEURL(""Ya llegue. Codigo: ""&amp;A1783&amp;"". Ubicacion: ""&amp;""https://www.google.com/maps/search"&amp;"/?api=1&amp;query=""&amp;SUBSTITUTE(F1783,"" "",""""))),"""")"),"")</f>
        <v/>
      </c>
      <c r="M1783" s="5" t="str">
        <f t="shared" si="6"/>
        <v/>
      </c>
      <c r="N1783" s="5" t="str">
        <f>IFERROR(__xludf.DUMMYFUNCTION("IF(AND(F1783&lt;&gt;"""",REGEXMATCH(SUBSTITUTE(F1783,"" "",""""),""^-?\d+(\.\d+)?,-?\d+(\.\d+)?$""),VALUE(REGEXEXTRACT(SUBSTITUTE(F1783,"" "",""""),""^-?\d+(\.\d+)?""))&gt;=-90,VALUE(REGEXEXTRACT(SUBSTITUTE(F1783,"" "",""""),""^-?\d+(\.\d+)?""))&lt;=90,VALUE(REGEXEXT"&amp;"RACT(SUBSTITUTE(F1783,"" "",""""),""-?\d+(\.\d+)?$""))&gt;=-180,VALUE(REGEXEXTRACT(SUBSTITUTE(F1783,"" "",""""),""-?\d+(\.\d+)?$""))&lt;=180),""OK"",""REVISAR"")"),"#N/A")</f>
        <v>#N/A</v>
      </c>
    </row>
    <row r="1784" ht="15.75" customHeight="1">
      <c r="A1784" s="5" t="str">
        <f t="shared" si="1"/>
        <v>AD507-1782</v>
      </c>
      <c r="C1784" s="5"/>
      <c r="F1784" s="5"/>
      <c r="G1784" s="5" t="str">
        <f t="shared" si="2"/>
        <v/>
      </c>
      <c r="H1784" s="5" t="str">
        <f t="shared" si="3"/>
        <v/>
      </c>
      <c r="I1784" s="5" t="str">
        <f t="shared" si="4"/>
        <v/>
      </c>
      <c r="J1784" s="5" t="str">
        <f t="shared" si="5"/>
        <v/>
      </c>
      <c r="K1784" s="5" t="str">
        <f>IFERROR(__xludf.DUMMYFUNCTION("IF(C1784&lt;&gt;"""",HYPERLINK(""https://wa.me/507""&amp;REGEXREPLACE(C1784,""[^0-9]"","""")&amp;""?text=""&amp;ENCODEURL(""Ya llegue. Codigo: ""&amp;A1784&amp;"". Ubicacion: ""&amp;""https://www.google.com/maps/search/?api=1&amp;query=""&amp;SUBSTITUTE(F1784,"" "","""")),""📲 Avisar al clien"&amp;"te""),"""")"),"")</f>
        <v/>
      </c>
      <c r="L1784" s="5" t="str">
        <f>IFERROR(__xludf.DUMMYFUNCTION("IF(C1784&lt;&gt;"""",""https://api.qrserver.com/v1/create-qr-code/?size=200x200&amp;data=""&amp;ENCODEURL(""https://wa.me/507""&amp;REGEXREPLACE(C1784,""[^0-9]"","""")&amp;""?text=""&amp;ENCODEURL(""Ya llegue. Codigo: ""&amp;A1784&amp;"". Ubicacion: ""&amp;""https://www.google.com/maps/search"&amp;"/?api=1&amp;query=""&amp;SUBSTITUTE(F1784,"" "",""""))),"""")"),"")</f>
        <v/>
      </c>
      <c r="M1784" s="5" t="str">
        <f t="shared" si="6"/>
        <v/>
      </c>
      <c r="N1784" s="5" t="str">
        <f>IFERROR(__xludf.DUMMYFUNCTION("IF(AND(F1784&lt;&gt;"""",REGEXMATCH(SUBSTITUTE(F1784,"" "",""""),""^-?\d+(\.\d+)?,-?\d+(\.\d+)?$""),VALUE(REGEXEXTRACT(SUBSTITUTE(F1784,"" "",""""),""^-?\d+(\.\d+)?""))&gt;=-90,VALUE(REGEXEXTRACT(SUBSTITUTE(F1784,"" "",""""),""^-?\d+(\.\d+)?""))&lt;=90,VALUE(REGEXEXT"&amp;"RACT(SUBSTITUTE(F1784,"" "",""""),""-?\d+(\.\d+)?$""))&gt;=-180,VALUE(REGEXEXTRACT(SUBSTITUTE(F1784,"" "",""""),""-?\d+(\.\d+)?$""))&lt;=180),""OK"",""REVISAR"")"),"#N/A")</f>
        <v>#N/A</v>
      </c>
    </row>
    <row r="1785" ht="15.75" customHeight="1">
      <c r="A1785" s="5" t="str">
        <f t="shared" si="1"/>
        <v>AD507-1783</v>
      </c>
      <c r="C1785" s="5"/>
      <c r="F1785" s="5"/>
      <c r="G1785" s="5" t="str">
        <f t="shared" si="2"/>
        <v/>
      </c>
      <c r="H1785" s="5" t="str">
        <f t="shared" si="3"/>
        <v/>
      </c>
      <c r="I1785" s="5" t="str">
        <f t="shared" si="4"/>
        <v/>
      </c>
      <c r="J1785" s="5" t="str">
        <f t="shared" si="5"/>
        <v/>
      </c>
      <c r="K1785" s="5" t="str">
        <f>IFERROR(__xludf.DUMMYFUNCTION("IF(C1785&lt;&gt;"""",HYPERLINK(""https://wa.me/507""&amp;REGEXREPLACE(C1785,""[^0-9]"","""")&amp;""?text=""&amp;ENCODEURL(""Ya llegue. Codigo: ""&amp;A1785&amp;"". Ubicacion: ""&amp;""https://www.google.com/maps/search/?api=1&amp;query=""&amp;SUBSTITUTE(F1785,"" "","""")),""📲 Avisar al clien"&amp;"te""),"""")"),"")</f>
        <v/>
      </c>
      <c r="L1785" s="5" t="str">
        <f>IFERROR(__xludf.DUMMYFUNCTION("IF(C1785&lt;&gt;"""",""https://api.qrserver.com/v1/create-qr-code/?size=200x200&amp;data=""&amp;ENCODEURL(""https://wa.me/507""&amp;REGEXREPLACE(C1785,""[^0-9]"","""")&amp;""?text=""&amp;ENCODEURL(""Ya llegue. Codigo: ""&amp;A1785&amp;"". Ubicacion: ""&amp;""https://www.google.com/maps/search"&amp;"/?api=1&amp;query=""&amp;SUBSTITUTE(F1785,"" "",""""))),"""")"),"")</f>
        <v/>
      </c>
      <c r="M1785" s="5" t="str">
        <f t="shared" si="6"/>
        <v/>
      </c>
      <c r="N1785" s="5" t="str">
        <f>IFERROR(__xludf.DUMMYFUNCTION("IF(AND(F1785&lt;&gt;"""",REGEXMATCH(SUBSTITUTE(F1785,"" "",""""),""^-?\d+(\.\d+)?,-?\d+(\.\d+)?$""),VALUE(REGEXEXTRACT(SUBSTITUTE(F1785,"" "",""""),""^-?\d+(\.\d+)?""))&gt;=-90,VALUE(REGEXEXTRACT(SUBSTITUTE(F1785,"" "",""""),""^-?\d+(\.\d+)?""))&lt;=90,VALUE(REGEXEXT"&amp;"RACT(SUBSTITUTE(F1785,"" "",""""),""-?\d+(\.\d+)?$""))&gt;=-180,VALUE(REGEXEXTRACT(SUBSTITUTE(F1785,"" "",""""),""-?\d+(\.\d+)?$""))&lt;=180),""OK"",""REVISAR"")"),"#N/A")</f>
        <v>#N/A</v>
      </c>
    </row>
    <row r="1786" ht="15.75" customHeight="1">
      <c r="A1786" s="5" t="str">
        <f t="shared" si="1"/>
        <v>AD507-1784</v>
      </c>
      <c r="C1786" s="5"/>
      <c r="F1786" s="5"/>
      <c r="G1786" s="5" t="str">
        <f t="shared" si="2"/>
        <v/>
      </c>
      <c r="H1786" s="5" t="str">
        <f t="shared" si="3"/>
        <v/>
      </c>
      <c r="I1786" s="5" t="str">
        <f t="shared" si="4"/>
        <v/>
      </c>
      <c r="J1786" s="5" t="str">
        <f t="shared" si="5"/>
        <v/>
      </c>
      <c r="K1786" s="5" t="str">
        <f>IFERROR(__xludf.DUMMYFUNCTION("IF(C1786&lt;&gt;"""",HYPERLINK(""https://wa.me/507""&amp;REGEXREPLACE(C1786,""[^0-9]"","""")&amp;""?text=""&amp;ENCODEURL(""Ya llegue. Codigo: ""&amp;A1786&amp;"". Ubicacion: ""&amp;""https://www.google.com/maps/search/?api=1&amp;query=""&amp;SUBSTITUTE(F1786,"" "","""")),""📲 Avisar al clien"&amp;"te""),"""")"),"")</f>
        <v/>
      </c>
      <c r="L1786" s="5" t="str">
        <f>IFERROR(__xludf.DUMMYFUNCTION("IF(C1786&lt;&gt;"""",""https://api.qrserver.com/v1/create-qr-code/?size=200x200&amp;data=""&amp;ENCODEURL(""https://wa.me/507""&amp;REGEXREPLACE(C1786,""[^0-9]"","""")&amp;""?text=""&amp;ENCODEURL(""Ya llegue. Codigo: ""&amp;A1786&amp;"". Ubicacion: ""&amp;""https://www.google.com/maps/search"&amp;"/?api=1&amp;query=""&amp;SUBSTITUTE(F1786,"" "",""""))),"""")"),"")</f>
        <v/>
      </c>
      <c r="M1786" s="5" t="str">
        <f t="shared" si="6"/>
        <v/>
      </c>
      <c r="N1786" s="5" t="str">
        <f>IFERROR(__xludf.DUMMYFUNCTION("IF(AND(F1786&lt;&gt;"""",REGEXMATCH(SUBSTITUTE(F1786,"" "",""""),""^-?\d+(\.\d+)?,-?\d+(\.\d+)?$""),VALUE(REGEXEXTRACT(SUBSTITUTE(F1786,"" "",""""),""^-?\d+(\.\d+)?""))&gt;=-90,VALUE(REGEXEXTRACT(SUBSTITUTE(F1786,"" "",""""),""^-?\d+(\.\d+)?""))&lt;=90,VALUE(REGEXEXT"&amp;"RACT(SUBSTITUTE(F1786,"" "",""""),""-?\d+(\.\d+)?$""))&gt;=-180,VALUE(REGEXEXTRACT(SUBSTITUTE(F1786,"" "",""""),""-?\d+(\.\d+)?$""))&lt;=180),""OK"",""REVISAR"")"),"#N/A")</f>
        <v>#N/A</v>
      </c>
    </row>
    <row r="1787" ht="15.75" customHeight="1">
      <c r="A1787" s="5" t="str">
        <f t="shared" si="1"/>
        <v>AD507-1785</v>
      </c>
      <c r="C1787" s="5"/>
      <c r="F1787" s="5"/>
      <c r="G1787" s="5" t="str">
        <f t="shared" si="2"/>
        <v/>
      </c>
      <c r="H1787" s="5" t="str">
        <f t="shared" si="3"/>
        <v/>
      </c>
      <c r="I1787" s="5" t="str">
        <f t="shared" si="4"/>
        <v/>
      </c>
      <c r="J1787" s="5" t="str">
        <f t="shared" si="5"/>
        <v/>
      </c>
      <c r="K1787" s="5" t="str">
        <f>IFERROR(__xludf.DUMMYFUNCTION("IF(C1787&lt;&gt;"""",HYPERLINK(""https://wa.me/507""&amp;REGEXREPLACE(C1787,""[^0-9]"","""")&amp;""?text=""&amp;ENCODEURL(""Ya llegue. Codigo: ""&amp;A1787&amp;"". Ubicacion: ""&amp;""https://www.google.com/maps/search/?api=1&amp;query=""&amp;SUBSTITUTE(F1787,"" "","""")),""📲 Avisar al clien"&amp;"te""),"""")"),"")</f>
        <v/>
      </c>
      <c r="L1787" s="5" t="str">
        <f>IFERROR(__xludf.DUMMYFUNCTION("IF(C1787&lt;&gt;"""",""https://api.qrserver.com/v1/create-qr-code/?size=200x200&amp;data=""&amp;ENCODEURL(""https://wa.me/507""&amp;REGEXREPLACE(C1787,""[^0-9]"","""")&amp;""?text=""&amp;ENCODEURL(""Ya llegue. Codigo: ""&amp;A1787&amp;"". Ubicacion: ""&amp;""https://www.google.com/maps/search"&amp;"/?api=1&amp;query=""&amp;SUBSTITUTE(F1787,"" "",""""))),"""")"),"")</f>
        <v/>
      </c>
      <c r="M1787" s="5" t="str">
        <f t="shared" si="6"/>
        <v/>
      </c>
      <c r="N1787" s="5" t="str">
        <f>IFERROR(__xludf.DUMMYFUNCTION("IF(AND(F1787&lt;&gt;"""",REGEXMATCH(SUBSTITUTE(F1787,"" "",""""),""^-?\d+(\.\d+)?,-?\d+(\.\d+)?$""),VALUE(REGEXEXTRACT(SUBSTITUTE(F1787,"" "",""""),""^-?\d+(\.\d+)?""))&gt;=-90,VALUE(REGEXEXTRACT(SUBSTITUTE(F1787,"" "",""""),""^-?\d+(\.\d+)?""))&lt;=90,VALUE(REGEXEXT"&amp;"RACT(SUBSTITUTE(F1787,"" "",""""),""-?\d+(\.\d+)?$""))&gt;=-180,VALUE(REGEXEXTRACT(SUBSTITUTE(F1787,"" "",""""),""-?\d+(\.\d+)?$""))&lt;=180),""OK"",""REVISAR"")"),"#N/A")</f>
        <v>#N/A</v>
      </c>
    </row>
    <row r="1788" ht="15.75" customHeight="1">
      <c r="A1788" s="5" t="str">
        <f t="shared" si="1"/>
        <v>AD507-1786</v>
      </c>
      <c r="C1788" s="5"/>
      <c r="F1788" s="5"/>
      <c r="G1788" s="5" t="str">
        <f t="shared" si="2"/>
        <v/>
      </c>
      <c r="H1788" s="5" t="str">
        <f t="shared" si="3"/>
        <v/>
      </c>
      <c r="I1788" s="5" t="str">
        <f t="shared" si="4"/>
        <v/>
      </c>
      <c r="J1788" s="5" t="str">
        <f t="shared" si="5"/>
        <v/>
      </c>
      <c r="K1788" s="5" t="str">
        <f>IFERROR(__xludf.DUMMYFUNCTION("IF(C1788&lt;&gt;"""",HYPERLINK(""https://wa.me/507""&amp;REGEXREPLACE(C1788,""[^0-9]"","""")&amp;""?text=""&amp;ENCODEURL(""Ya llegue. Codigo: ""&amp;A1788&amp;"". Ubicacion: ""&amp;""https://www.google.com/maps/search/?api=1&amp;query=""&amp;SUBSTITUTE(F1788,"" "","""")),""📲 Avisar al clien"&amp;"te""),"""")"),"")</f>
        <v/>
      </c>
      <c r="L1788" s="5" t="str">
        <f>IFERROR(__xludf.DUMMYFUNCTION("IF(C1788&lt;&gt;"""",""https://api.qrserver.com/v1/create-qr-code/?size=200x200&amp;data=""&amp;ENCODEURL(""https://wa.me/507""&amp;REGEXREPLACE(C1788,""[^0-9]"","""")&amp;""?text=""&amp;ENCODEURL(""Ya llegue. Codigo: ""&amp;A1788&amp;"". Ubicacion: ""&amp;""https://www.google.com/maps/search"&amp;"/?api=1&amp;query=""&amp;SUBSTITUTE(F1788,"" "",""""))),"""")"),"")</f>
        <v/>
      </c>
      <c r="M1788" s="5" t="str">
        <f t="shared" si="6"/>
        <v/>
      </c>
      <c r="N1788" s="5" t="str">
        <f>IFERROR(__xludf.DUMMYFUNCTION("IF(AND(F1788&lt;&gt;"""",REGEXMATCH(SUBSTITUTE(F1788,"" "",""""),""^-?\d+(\.\d+)?,-?\d+(\.\d+)?$""),VALUE(REGEXEXTRACT(SUBSTITUTE(F1788,"" "",""""),""^-?\d+(\.\d+)?""))&gt;=-90,VALUE(REGEXEXTRACT(SUBSTITUTE(F1788,"" "",""""),""^-?\d+(\.\d+)?""))&lt;=90,VALUE(REGEXEXT"&amp;"RACT(SUBSTITUTE(F1788,"" "",""""),""-?\d+(\.\d+)?$""))&gt;=-180,VALUE(REGEXEXTRACT(SUBSTITUTE(F1788,"" "",""""),""-?\d+(\.\d+)?$""))&lt;=180),""OK"",""REVISAR"")"),"#N/A")</f>
        <v>#N/A</v>
      </c>
    </row>
    <row r="1789" ht="15.75" customHeight="1">
      <c r="A1789" s="5" t="str">
        <f t="shared" si="1"/>
        <v>AD507-1787</v>
      </c>
      <c r="C1789" s="5"/>
      <c r="F1789" s="5"/>
      <c r="G1789" s="5" t="str">
        <f t="shared" si="2"/>
        <v/>
      </c>
      <c r="H1789" s="5" t="str">
        <f t="shared" si="3"/>
        <v/>
      </c>
      <c r="I1789" s="5" t="str">
        <f t="shared" si="4"/>
        <v/>
      </c>
      <c r="J1789" s="5" t="str">
        <f t="shared" si="5"/>
        <v/>
      </c>
      <c r="K1789" s="5" t="str">
        <f>IFERROR(__xludf.DUMMYFUNCTION("IF(C1789&lt;&gt;"""",HYPERLINK(""https://wa.me/507""&amp;REGEXREPLACE(C1789,""[^0-9]"","""")&amp;""?text=""&amp;ENCODEURL(""Ya llegue. Codigo: ""&amp;A1789&amp;"". Ubicacion: ""&amp;""https://www.google.com/maps/search/?api=1&amp;query=""&amp;SUBSTITUTE(F1789,"" "","""")),""📲 Avisar al clien"&amp;"te""),"""")"),"")</f>
        <v/>
      </c>
      <c r="L1789" s="5" t="str">
        <f>IFERROR(__xludf.DUMMYFUNCTION("IF(C1789&lt;&gt;"""",""https://api.qrserver.com/v1/create-qr-code/?size=200x200&amp;data=""&amp;ENCODEURL(""https://wa.me/507""&amp;REGEXREPLACE(C1789,""[^0-9]"","""")&amp;""?text=""&amp;ENCODEURL(""Ya llegue. Codigo: ""&amp;A1789&amp;"". Ubicacion: ""&amp;""https://www.google.com/maps/search"&amp;"/?api=1&amp;query=""&amp;SUBSTITUTE(F1789,"" "",""""))),"""")"),"")</f>
        <v/>
      </c>
      <c r="M1789" s="5" t="str">
        <f t="shared" si="6"/>
        <v/>
      </c>
      <c r="N1789" s="5" t="str">
        <f>IFERROR(__xludf.DUMMYFUNCTION("IF(AND(F1789&lt;&gt;"""",REGEXMATCH(SUBSTITUTE(F1789,"" "",""""),""^-?\d+(\.\d+)?,-?\d+(\.\d+)?$""),VALUE(REGEXEXTRACT(SUBSTITUTE(F1789,"" "",""""),""^-?\d+(\.\d+)?""))&gt;=-90,VALUE(REGEXEXTRACT(SUBSTITUTE(F1789,"" "",""""),""^-?\d+(\.\d+)?""))&lt;=90,VALUE(REGEXEXT"&amp;"RACT(SUBSTITUTE(F1789,"" "",""""),""-?\d+(\.\d+)?$""))&gt;=-180,VALUE(REGEXEXTRACT(SUBSTITUTE(F1789,"" "",""""),""-?\d+(\.\d+)?$""))&lt;=180),""OK"",""REVISAR"")"),"#N/A")</f>
        <v>#N/A</v>
      </c>
    </row>
    <row r="1790" ht="15.75" customHeight="1">
      <c r="A1790" s="5" t="str">
        <f t="shared" si="1"/>
        <v>AD507-1788</v>
      </c>
      <c r="C1790" s="5"/>
      <c r="F1790" s="5"/>
      <c r="G1790" s="5" t="str">
        <f t="shared" si="2"/>
        <v/>
      </c>
      <c r="H1790" s="5" t="str">
        <f t="shared" si="3"/>
        <v/>
      </c>
      <c r="I1790" s="5" t="str">
        <f t="shared" si="4"/>
        <v/>
      </c>
      <c r="J1790" s="5" t="str">
        <f t="shared" si="5"/>
        <v/>
      </c>
      <c r="K1790" s="5" t="str">
        <f>IFERROR(__xludf.DUMMYFUNCTION("IF(C1790&lt;&gt;"""",HYPERLINK(""https://wa.me/507""&amp;REGEXREPLACE(C1790,""[^0-9]"","""")&amp;""?text=""&amp;ENCODEURL(""Ya llegue. Codigo: ""&amp;A1790&amp;"". Ubicacion: ""&amp;""https://www.google.com/maps/search/?api=1&amp;query=""&amp;SUBSTITUTE(F1790,"" "","""")),""📲 Avisar al clien"&amp;"te""),"""")"),"")</f>
        <v/>
      </c>
      <c r="L1790" s="5" t="str">
        <f>IFERROR(__xludf.DUMMYFUNCTION("IF(C1790&lt;&gt;"""",""https://api.qrserver.com/v1/create-qr-code/?size=200x200&amp;data=""&amp;ENCODEURL(""https://wa.me/507""&amp;REGEXREPLACE(C1790,""[^0-9]"","""")&amp;""?text=""&amp;ENCODEURL(""Ya llegue. Codigo: ""&amp;A1790&amp;"". Ubicacion: ""&amp;""https://www.google.com/maps/search"&amp;"/?api=1&amp;query=""&amp;SUBSTITUTE(F1790,"" "",""""))),"""")"),"")</f>
        <v/>
      </c>
      <c r="M1790" s="5" t="str">
        <f t="shared" si="6"/>
        <v/>
      </c>
      <c r="N1790" s="5" t="str">
        <f>IFERROR(__xludf.DUMMYFUNCTION("IF(AND(F1790&lt;&gt;"""",REGEXMATCH(SUBSTITUTE(F1790,"" "",""""),""^-?\d+(\.\d+)?,-?\d+(\.\d+)?$""),VALUE(REGEXEXTRACT(SUBSTITUTE(F1790,"" "",""""),""^-?\d+(\.\d+)?""))&gt;=-90,VALUE(REGEXEXTRACT(SUBSTITUTE(F1790,"" "",""""),""^-?\d+(\.\d+)?""))&lt;=90,VALUE(REGEXEXT"&amp;"RACT(SUBSTITUTE(F1790,"" "",""""),""-?\d+(\.\d+)?$""))&gt;=-180,VALUE(REGEXEXTRACT(SUBSTITUTE(F1790,"" "",""""),""-?\d+(\.\d+)?$""))&lt;=180),""OK"",""REVISAR"")"),"#N/A")</f>
        <v>#N/A</v>
      </c>
    </row>
    <row r="1791" ht="15.75" customHeight="1">
      <c r="A1791" s="5" t="str">
        <f t="shared" si="1"/>
        <v>AD507-1789</v>
      </c>
      <c r="C1791" s="5"/>
      <c r="F1791" s="5"/>
      <c r="G1791" s="5" t="str">
        <f t="shared" si="2"/>
        <v/>
      </c>
      <c r="H1791" s="5" t="str">
        <f t="shared" si="3"/>
        <v/>
      </c>
      <c r="I1791" s="5" t="str">
        <f t="shared" si="4"/>
        <v/>
      </c>
      <c r="J1791" s="5" t="str">
        <f t="shared" si="5"/>
        <v/>
      </c>
      <c r="K1791" s="5" t="str">
        <f>IFERROR(__xludf.DUMMYFUNCTION("IF(C1791&lt;&gt;"""",HYPERLINK(""https://wa.me/507""&amp;REGEXREPLACE(C1791,""[^0-9]"","""")&amp;""?text=""&amp;ENCODEURL(""Ya llegue. Codigo: ""&amp;A1791&amp;"". Ubicacion: ""&amp;""https://www.google.com/maps/search/?api=1&amp;query=""&amp;SUBSTITUTE(F1791,"" "","""")),""📲 Avisar al clien"&amp;"te""),"""")"),"")</f>
        <v/>
      </c>
      <c r="L1791" s="5" t="str">
        <f>IFERROR(__xludf.DUMMYFUNCTION("IF(C1791&lt;&gt;"""",""https://api.qrserver.com/v1/create-qr-code/?size=200x200&amp;data=""&amp;ENCODEURL(""https://wa.me/507""&amp;REGEXREPLACE(C1791,""[^0-9]"","""")&amp;""?text=""&amp;ENCODEURL(""Ya llegue. Codigo: ""&amp;A1791&amp;"". Ubicacion: ""&amp;""https://www.google.com/maps/search"&amp;"/?api=1&amp;query=""&amp;SUBSTITUTE(F1791,"" "",""""))),"""")"),"")</f>
        <v/>
      </c>
      <c r="M1791" s="5" t="str">
        <f t="shared" si="6"/>
        <v/>
      </c>
      <c r="N1791" s="5" t="str">
        <f>IFERROR(__xludf.DUMMYFUNCTION("IF(AND(F1791&lt;&gt;"""",REGEXMATCH(SUBSTITUTE(F1791,"" "",""""),""^-?\d+(\.\d+)?,-?\d+(\.\d+)?$""),VALUE(REGEXEXTRACT(SUBSTITUTE(F1791,"" "",""""),""^-?\d+(\.\d+)?""))&gt;=-90,VALUE(REGEXEXTRACT(SUBSTITUTE(F1791,"" "",""""),""^-?\d+(\.\d+)?""))&lt;=90,VALUE(REGEXEXT"&amp;"RACT(SUBSTITUTE(F1791,"" "",""""),""-?\d+(\.\d+)?$""))&gt;=-180,VALUE(REGEXEXTRACT(SUBSTITUTE(F1791,"" "",""""),""-?\d+(\.\d+)?$""))&lt;=180),""OK"",""REVISAR"")"),"#N/A")</f>
        <v>#N/A</v>
      </c>
    </row>
    <row r="1792" ht="15.75" customHeight="1">
      <c r="A1792" s="5" t="str">
        <f t="shared" si="1"/>
        <v>AD507-1790</v>
      </c>
      <c r="C1792" s="5"/>
      <c r="F1792" s="5"/>
      <c r="G1792" s="5" t="str">
        <f t="shared" si="2"/>
        <v/>
      </c>
      <c r="H1792" s="5" t="str">
        <f t="shared" si="3"/>
        <v/>
      </c>
      <c r="I1792" s="5" t="str">
        <f t="shared" si="4"/>
        <v/>
      </c>
      <c r="J1792" s="5" t="str">
        <f t="shared" si="5"/>
        <v/>
      </c>
      <c r="K1792" s="5" t="str">
        <f>IFERROR(__xludf.DUMMYFUNCTION("IF(C1792&lt;&gt;"""",HYPERLINK(""https://wa.me/507""&amp;REGEXREPLACE(C1792,""[^0-9]"","""")&amp;""?text=""&amp;ENCODEURL(""Ya llegue. Codigo: ""&amp;A1792&amp;"". Ubicacion: ""&amp;""https://www.google.com/maps/search/?api=1&amp;query=""&amp;SUBSTITUTE(F1792,"" "","""")),""📲 Avisar al clien"&amp;"te""),"""")"),"")</f>
        <v/>
      </c>
      <c r="L1792" s="5" t="str">
        <f>IFERROR(__xludf.DUMMYFUNCTION("IF(C1792&lt;&gt;"""",""https://api.qrserver.com/v1/create-qr-code/?size=200x200&amp;data=""&amp;ENCODEURL(""https://wa.me/507""&amp;REGEXREPLACE(C1792,""[^0-9]"","""")&amp;""?text=""&amp;ENCODEURL(""Ya llegue. Codigo: ""&amp;A1792&amp;"". Ubicacion: ""&amp;""https://www.google.com/maps/search"&amp;"/?api=1&amp;query=""&amp;SUBSTITUTE(F1792,"" "",""""))),"""")"),"")</f>
        <v/>
      </c>
      <c r="M1792" s="5" t="str">
        <f t="shared" si="6"/>
        <v/>
      </c>
      <c r="N1792" s="5" t="str">
        <f>IFERROR(__xludf.DUMMYFUNCTION("IF(AND(F1792&lt;&gt;"""",REGEXMATCH(SUBSTITUTE(F1792,"" "",""""),""^-?\d+(\.\d+)?,-?\d+(\.\d+)?$""),VALUE(REGEXEXTRACT(SUBSTITUTE(F1792,"" "",""""),""^-?\d+(\.\d+)?""))&gt;=-90,VALUE(REGEXEXTRACT(SUBSTITUTE(F1792,"" "",""""),""^-?\d+(\.\d+)?""))&lt;=90,VALUE(REGEXEXT"&amp;"RACT(SUBSTITUTE(F1792,"" "",""""),""-?\d+(\.\d+)?$""))&gt;=-180,VALUE(REGEXEXTRACT(SUBSTITUTE(F1792,"" "",""""),""-?\d+(\.\d+)?$""))&lt;=180),""OK"",""REVISAR"")"),"#N/A")</f>
        <v>#N/A</v>
      </c>
    </row>
    <row r="1793" ht="15.75" customHeight="1">
      <c r="A1793" s="5" t="str">
        <f t="shared" si="1"/>
        <v>AD507-1791</v>
      </c>
      <c r="C1793" s="5"/>
      <c r="F1793" s="5"/>
      <c r="G1793" s="5" t="str">
        <f t="shared" si="2"/>
        <v/>
      </c>
      <c r="H1793" s="5" t="str">
        <f t="shared" si="3"/>
        <v/>
      </c>
      <c r="I1793" s="5" t="str">
        <f t="shared" si="4"/>
        <v/>
      </c>
      <c r="J1793" s="5" t="str">
        <f t="shared" si="5"/>
        <v/>
      </c>
      <c r="K1793" s="5" t="str">
        <f>IFERROR(__xludf.DUMMYFUNCTION("IF(C1793&lt;&gt;"""",HYPERLINK(""https://wa.me/507""&amp;REGEXREPLACE(C1793,""[^0-9]"","""")&amp;""?text=""&amp;ENCODEURL(""Ya llegue. Codigo: ""&amp;A1793&amp;"". Ubicacion: ""&amp;""https://www.google.com/maps/search/?api=1&amp;query=""&amp;SUBSTITUTE(F1793,"" "","""")),""📲 Avisar al clien"&amp;"te""),"""")"),"")</f>
        <v/>
      </c>
      <c r="L1793" s="5" t="str">
        <f>IFERROR(__xludf.DUMMYFUNCTION("IF(C1793&lt;&gt;"""",""https://api.qrserver.com/v1/create-qr-code/?size=200x200&amp;data=""&amp;ENCODEURL(""https://wa.me/507""&amp;REGEXREPLACE(C1793,""[^0-9]"","""")&amp;""?text=""&amp;ENCODEURL(""Ya llegue. Codigo: ""&amp;A1793&amp;"". Ubicacion: ""&amp;""https://www.google.com/maps/search"&amp;"/?api=1&amp;query=""&amp;SUBSTITUTE(F1793,"" "",""""))),"""")"),"")</f>
        <v/>
      </c>
      <c r="M1793" s="5" t="str">
        <f t="shared" si="6"/>
        <v/>
      </c>
      <c r="N1793" s="5" t="str">
        <f>IFERROR(__xludf.DUMMYFUNCTION("IF(AND(F1793&lt;&gt;"""",REGEXMATCH(SUBSTITUTE(F1793,"" "",""""),""^-?\d+(\.\d+)?,-?\d+(\.\d+)?$""),VALUE(REGEXEXTRACT(SUBSTITUTE(F1793,"" "",""""),""^-?\d+(\.\d+)?""))&gt;=-90,VALUE(REGEXEXTRACT(SUBSTITUTE(F1793,"" "",""""),""^-?\d+(\.\d+)?""))&lt;=90,VALUE(REGEXEXT"&amp;"RACT(SUBSTITUTE(F1793,"" "",""""),""-?\d+(\.\d+)?$""))&gt;=-180,VALUE(REGEXEXTRACT(SUBSTITUTE(F1793,"" "",""""),""-?\d+(\.\d+)?$""))&lt;=180),""OK"",""REVISAR"")"),"#N/A")</f>
        <v>#N/A</v>
      </c>
    </row>
    <row r="1794" ht="15.75" customHeight="1">
      <c r="A1794" s="5" t="str">
        <f t="shared" si="1"/>
        <v>AD507-1792</v>
      </c>
      <c r="C1794" s="5"/>
      <c r="F1794" s="5"/>
      <c r="G1794" s="5" t="str">
        <f t="shared" si="2"/>
        <v/>
      </c>
      <c r="H1794" s="5" t="str">
        <f t="shared" si="3"/>
        <v/>
      </c>
      <c r="I1794" s="5" t="str">
        <f t="shared" si="4"/>
        <v/>
      </c>
      <c r="J1794" s="5" t="str">
        <f t="shared" si="5"/>
        <v/>
      </c>
      <c r="K1794" s="5" t="str">
        <f>IFERROR(__xludf.DUMMYFUNCTION("IF(C1794&lt;&gt;"""",HYPERLINK(""https://wa.me/507""&amp;REGEXREPLACE(C1794,""[^0-9]"","""")&amp;""?text=""&amp;ENCODEURL(""Ya llegue. Codigo: ""&amp;A1794&amp;"". Ubicacion: ""&amp;""https://www.google.com/maps/search/?api=1&amp;query=""&amp;SUBSTITUTE(F1794,"" "","""")),""📲 Avisar al clien"&amp;"te""),"""")"),"")</f>
        <v/>
      </c>
      <c r="L1794" s="5" t="str">
        <f>IFERROR(__xludf.DUMMYFUNCTION("IF(C1794&lt;&gt;"""",""https://api.qrserver.com/v1/create-qr-code/?size=200x200&amp;data=""&amp;ENCODEURL(""https://wa.me/507""&amp;REGEXREPLACE(C1794,""[^0-9]"","""")&amp;""?text=""&amp;ENCODEURL(""Ya llegue. Codigo: ""&amp;A1794&amp;"". Ubicacion: ""&amp;""https://www.google.com/maps/search"&amp;"/?api=1&amp;query=""&amp;SUBSTITUTE(F1794,"" "",""""))),"""")"),"")</f>
        <v/>
      </c>
      <c r="M1794" s="5" t="str">
        <f t="shared" si="6"/>
        <v/>
      </c>
      <c r="N1794" s="5" t="str">
        <f>IFERROR(__xludf.DUMMYFUNCTION("IF(AND(F1794&lt;&gt;"""",REGEXMATCH(SUBSTITUTE(F1794,"" "",""""),""^-?\d+(\.\d+)?,-?\d+(\.\d+)?$""),VALUE(REGEXEXTRACT(SUBSTITUTE(F1794,"" "",""""),""^-?\d+(\.\d+)?""))&gt;=-90,VALUE(REGEXEXTRACT(SUBSTITUTE(F1794,"" "",""""),""^-?\d+(\.\d+)?""))&lt;=90,VALUE(REGEXEXT"&amp;"RACT(SUBSTITUTE(F1794,"" "",""""),""-?\d+(\.\d+)?$""))&gt;=-180,VALUE(REGEXEXTRACT(SUBSTITUTE(F1794,"" "",""""),""-?\d+(\.\d+)?$""))&lt;=180),""OK"",""REVISAR"")"),"#N/A")</f>
        <v>#N/A</v>
      </c>
    </row>
    <row r="1795" ht="15.75" customHeight="1">
      <c r="A1795" s="5" t="str">
        <f t="shared" si="1"/>
        <v>AD507-1793</v>
      </c>
      <c r="C1795" s="5"/>
      <c r="F1795" s="5"/>
      <c r="G1795" s="5" t="str">
        <f t="shared" si="2"/>
        <v/>
      </c>
      <c r="H1795" s="5" t="str">
        <f t="shared" si="3"/>
        <v/>
      </c>
      <c r="I1795" s="5" t="str">
        <f t="shared" si="4"/>
        <v/>
      </c>
      <c r="J1795" s="5" t="str">
        <f t="shared" si="5"/>
        <v/>
      </c>
      <c r="K1795" s="5" t="str">
        <f>IFERROR(__xludf.DUMMYFUNCTION("IF(C1795&lt;&gt;"""",HYPERLINK(""https://wa.me/507""&amp;REGEXREPLACE(C1795,""[^0-9]"","""")&amp;""?text=""&amp;ENCODEURL(""Ya llegue. Codigo: ""&amp;A1795&amp;"". Ubicacion: ""&amp;""https://www.google.com/maps/search/?api=1&amp;query=""&amp;SUBSTITUTE(F1795,"" "","""")),""📲 Avisar al clien"&amp;"te""),"""")"),"")</f>
        <v/>
      </c>
      <c r="L1795" s="5" t="str">
        <f>IFERROR(__xludf.DUMMYFUNCTION("IF(C1795&lt;&gt;"""",""https://api.qrserver.com/v1/create-qr-code/?size=200x200&amp;data=""&amp;ENCODEURL(""https://wa.me/507""&amp;REGEXREPLACE(C1795,""[^0-9]"","""")&amp;""?text=""&amp;ENCODEURL(""Ya llegue. Codigo: ""&amp;A1795&amp;"". Ubicacion: ""&amp;""https://www.google.com/maps/search"&amp;"/?api=1&amp;query=""&amp;SUBSTITUTE(F1795,"" "",""""))),"""")"),"")</f>
        <v/>
      </c>
      <c r="M1795" s="5" t="str">
        <f t="shared" si="6"/>
        <v/>
      </c>
      <c r="N1795" s="5" t="str">
        <f>IFERROR(__xludf.DUMMYFUNCTION("IF(AND(F1795&lt;&gt;"""",REGEXMATCH(SUBSTITUTE(F1795,"" "",""""),""^-?\d+(\.\d+)?,-?\d+(\.\d+)?$""),VALUE(REGEXEXTRACT(SUBSTITUTE(F1795,"" "",""""),""^-?\d+(\.\d+)?""))&gt;=-90,VALUE(REGEXEXTRACT(SUBSTITUTE(F1795,"" "",""""),""^-?\d+(\.\d+)?""))&lt;=90,VALUE(REGEXEXT"&amp;"RACT(SUBSTITUTE(F1795,"" "",""""),""-?\d+(\.\d+)?$""))&gt;=-180,VALUE(REGEXEXTRACT(SUBSTITUTE(F1795,"" "",""""),""-?\d+(\.\d+)?$""))&lt;=180),""OK"",""REVISAR"")"),"#N/A")</f>
        <v>#N/A</v>
      </c>
    </row>
    <row r="1796" ht="15.75" customHeight="1">
      <c r="A1796" s="5" t="str">
        <f t="shared" si="1"/>
        <v>AD507-1794</v>
      </c>
      <c r="C1796" s="5"/>
      <c r="F1796" s="5"/>
      <c r="G1796" s="5" t="str">
        <f t="shared" si="2"/>
        <v/>
      </c>
      <c r="H1796" s="5" t="str">
        <f t="shared" si="3"/>
        <v/>
      </c>
      <c r="I1796" s="5" t="str">
        <f t="shared" si="4"/>
        <v/>
      </c>
      <c r="J1796" s="5" t="str">
        <f t="shared" si="5"/>
        <v/>
      </c>
      <c r="K1796" s="5" t="str">
        <f>IFERROR(__xludf.DUMMYFUNCTION("IF(C1796&lt;&gt;"""",HYPERLINK(""https://wa.me/507""&amp;REGEXREPLACE(C1796,""[^0-9]"","""")&amp;""?text=""&amp;ENCODEURL(""Ya llegue. Codigo: ""&amp;A1796&amp;"". Ubicacion: ""&amp;""https://www.google.com/maps/search/?api=1&amp;query=""&amp;SUBSTITUTE(F1796,"" "","""")),""📲 Avisar al clien"&amp;"te""),"""")"),"")</f>
        <v/>
      </c>
      <c r="L1796" s="5" t="str">
        <f>IFERROR(__xludf.DUMMYFUNCTION("IF(C1796&lt;&gt;"""",""https://api.qrserver.com/v1/create-qr-code/?size=200x200&amp;data=""&amp;ENCODEURL(""https://wa.me/507""&amp;REGEXREPLACE(C1796,""[^0-9]"","""")&amp;""?text=""&amp;ENCODEURL(""Ya llegue. Codigo: ""&amp;A1796&amp;"". Ubicacion: ""&amp;""https://www.google.com/maps/search"&amp;"/?api=1&amp;query=""&amp;SUBSTITUTE(F1796,"" "",""""))),"""")"),"")</f>
        <v/>
      </c>
      <c r="M1796" s="5" t="str">
        <f t="shared" si="6"/>
        <v/>
      </c>
      <c r="N1796" s="5" t="str">
        <f>IFERROR(__xludf.DUMMYFUNCTION("IF(AND(F1796&lt;&gt;"""",REGEXMATCH(SUBSTITUTE(F1796,"" "",""""),""^-?\d+(\.\d+)?,-?\d+(\.\d+)?$""),VALUE(REGEXEXTRACT(SUBSTITUTE(F1796,"" "",""""),""^-?\d+(\.\d+)?""))&gt;=-90,VALUE(REGEXEXTRACT(SUBSTITUTE(F1796,"" "",""""),""^-?\d+(\.\d+)?""))&lt;=90,VALUE(REGEXEXT"&amp;"RACT(SUBSTITUTE(F1796,"" "",""""),""-?\d+(\.\d+)?$""))&gt;=-180,VALUE(REGEXEXTRACT(SUBSTITUTE(F1796,"" "",""""),""-?\d+(\.\d+)?$""))&lt;=180),""OK"",""REVISAR"")"),"#N/A")</f>
        <v>#N/A</v>
      </c>
    </row>
    <row r="1797" ht="15.75" customHeight="1">
      <c r="A1797" s="5" t="str">
        <f t="shared" si="1"/>
        <v>AD507-1795</v>
      </c>
      <c r="C1797" s="5"/>
      <c r="F1797" s="5"/>
      <c r="G1797" s="5" t="str">
        <f t="shared" si="2"/>
        <v/>
      </c>
      <c r="H1797" s="5" t="str">
        <f t="shared" si="3"/>
        <v/>
      </c>
      <c r="I1797" s="5" t="str">
        <f t="shared" si="4"/>
        <v/>
      </c>
      <c r="J1797" s="5" t="str">
        <f t="shared" si="5"/>
        <v/>
      </c>
      <c r="K1797" s="5" t="str">
        <f>IFERROR(__xludf.DUMMYFUNCTION("IF(C1797&lt;&gt;"""",HYPERLINK(""https://wa.me/507""&amp;REGEXREPLACE(C1797,""[^0-9]"","""")&amp;""?text=""&amp;ENCODEURL(""Ya llegue. Codigo: ""&amp;A1797&amp;"". Ubicacion: ""&amp;""https://www.google.com/maps/search/?api=1&amp;query=""&amp;SUBSTITUTE(F1797,"" "","""")),""📲 Avisar al clien"&amp;"te""),"""")"),"")</f>
        <v/>
      </c>
      <c r="L1797" s="5" t="str">
        <f>IFERROR(__xludf.DUMMYFUNCTION("IF(C1797&lt;&gt;"""",""https://api.qrserver.com/v1/create-qr-code/?size=200x200&amp;data=""&amp;ENCODEURL(""https://wa.me/507""&amp;REGEXREPLACE(C1797,""[^0-9]"","""")&amp;""?text=""&amp;ENCODEURL(""Ya llegue. Codigo: ""&amp;A1797&amp;"". Ubicacion: ""&amp;""https://www.google.com/maps/search"&amp;"/?api=1&amp;query=""&amp;SUBSTITUTE(F1797,"" "",""""))),"""")"),"")</f>
        <v/>
      </c>
      <c r="M1797" s="5" t="str">
        <f t="shared" si="6"/>
        <v/>
      </c>
      <c r="N1797" s="5" t="str">
        <f>IFERROR(__xludf.DUMMYFUNCTION("IF(AND(F1797&lt;&gt;"""",REGEXMATCH(SUBSTITUTE(F1797,"" "",""""),""^-?\d+(\.\d+)?,-?\d+(\.\d+)?$""),VALUE(REGEXEXTRACT(SUBSTITUTE(F1797,"" "",""""),""^-?\d+(\.\d+)?""))&gt;=-90,VALUE(REGEXEXTRACT(SUBSTITUTE(F1797,"" "",""""),""^-?\d+(\.\d+)?""))&lt;=90,VALUE(REGEXEXT"&amp;"RACT(SUBSTITUTE(F1797,"" "",""""),""-?\d+(\.\d+)?$""))&gt;=-180,VALUE(REGEXEXTRACT(SUBSTITUTE(F1797,"" "",""""),""-?\d+(\.\d+)?$""))&lt;=180),""OK"",""REVISAR"")"),"#N/A")</f>
        <v>#N/A</v>
      </c>
    </row>
    <row r="1798" ht="15.75" customHeight="1">
      <c r="A1798" s="5" t="str">
        <f t="shared" si="1"/>
        <v>AD507-1796</v>
      </c>
      <c r="C1798" s="5"/>
      <c r="F1798" s="5"/>
      <c r="G1798" s="5" t="str">
        <f t="shared" si="2"/>
        <v/>
      </c>
      <c r="H1798" s="5" t="str">
        <f t="shared" si="3"/>
        <v/>
      </c>
      <c r="I1798" s="5" t="str">
        <f t="shared" si="4"/>
        <v/>
      </c>
      <c r="J1798" s="5" t="str">
        <f t="shared" si="5"/>
        <v/>
      </c>
      <c r="K1798" s="5" t="str">
        <f>IFERROR(__xludf.DUMMYFUNCTION("IF(C1798&lt;&gt;"""",HYPERLINK(""https://wa.me/507""&amp;REGEXREPLACE(C1798,""[^0-9]"","""")&amp;""?text=""&amp;ENCODEURL(""Ya llegue. Codigo: ""&amp;A1798&amp;"". Ubicacion: ""&amp;""https://www.google.com/maps/search/?api=1&amp;query=""&amp;SUBSTITUTE(F1798,"" "","""")),""📲 Avisar al clien"&amp;"te""),"""")"),"")</f>
        <v/>
      </c>
      <c r="L1798" s="5" t="str">
        <f>IFERROR(__xludf.DUMMYFUNCTION("IF(C1798&lt;&gt;"""",""https://api.qrserver.com/v1/create-qr-code/?size=200x200&amp;data=""&amp;ENCODEURL(""https://wa.me/507""&amp;REGEXREPLACE(C1798,""[^0-9]"","""")&amp;""?text=""&amp;ENCODEURL(""Ya llegue. Codigo: ""&amp;A1798&amp;"". Ubicacion: ""&amp;""https://www.google.com/maps/search"&amp;"/?api=1&amp;query=""&amp;SUBSTITUTE(F1798,"" "",""""))),"""")"),"")</f>
        <v/>
      </c>
      <c r="M1798" s="5" t="str">
        <f t="shared" si="6"/>
        <v/>
      </c>
      <c r="N1798" s="5" t="str">
        <f>IFERROR(__xludf.DUMMYFUNCTION("IF(AND(F1798&lt;&gt;"""",REGEXMATCH(SUBSTITUTE(F1798,"" "",""""),""^-?\d+(\.\d+)?,-?\d+(\.\d+)?$""),VALUE(REGEXEXTRACT(SUBSTITUTE(F1798,"" "",""""),""^-?\d+(\.\d+)?""))&gt;=-90,VALUE(REGEXEXTRACT(SUBSTITUTE(F1798,"" "",""""),""^-?\d+(\.\d+)?""))&lt;=90,VALUE(REGEXEXT"&amp;"RACT(SUBSTITUTE(F1798,"" "",""""),""-?\d+(\.\d+)?$""))&gt;=-180,VALUE(REGEXEXTRACT(SUBSTITUTE(F1798,"" "",""""),""-?\d+(\.\d+)?$""))&lt;=180),""OK"",""REVISAR"")"),"#N/A")</f>
        <v>#N/A</v>
      </c>
    </row>
    <row r="1799" ht="15.75" customHeight="1">
      <c r="A1799" s="5" t="str">
        <f t="shared" si="1"/>
        <v>AD507-1797</v>
      </c>
      <c r="C1799" s="5"/>
      <c r="F1799" s="5"/>
      <c r="G1799" s="5" t="str">
        <f t="shared" si="2"/>
        <v/>
      </c>
      <c r="H1799" s="5" t="str">
        <f t="shared" si="3"/>
        <v/>
      </c>
      <c r="I1799" s="5" t="str">
        <f t="shared" si="4"/>
        <v/>
      </c>
      <c r="J1799" s="5" t="str">
        <f t="shared" si="5"/>
        <v/>
      </c>
      <c r="K1799" s="5" t="str">
        <f>IFERROR(__xludf.DUMMYFUNCTION("IF(C1799&lt;&gt;"""",HYPERLINK(""https://wa.me/507""&amp;REGEXREPLACE(C1799,""[^0-9]"","""")&amp;""?text=""&amp;ENCODEURL(""Ya llegue. Codigo: ""&amp;A1799&amp;"". Ubicacion: ""&amp;""https://www.google.com/maps/search/?api=1&amp;query=""&amp;SUBSTITUTE(F1799,"" "","""")),""📲 Avisar al clien"&amp;"te""),"""")"),"")</f>
        <v/>
      </c>
      <c r="L1799" s="5" t="str">
        <f>IFERROR(__xludf.DUMMYFUNCTION("IF(C1799&lt;&gt;"""",""https://api.qrserver.com/v1/create-qr-code/?size=200x200&amp;data=""&amp;ENCODEURL(""https://wa.me/507""&amp;REGEXREPLACE(C1799,""[^0-9]"","""")&amp;""?text=""&amp;ENCODEURL(""Ya llegue. Codigo: ""&amp;A1799&amp;"". Ubicacion: ""&amp;""https://www.google.com/maps/search"&amp;"/?api=1&amp;query=""&amp;SUBSTITUTE(F1799,"" "",""""))),"""")"),"")</f>
        <v/>
      </c>
      <c r="M1799" s="5" t="str">
        <f t="shared" si="6"/>
        <v/>
      </c>
      <c r="N1799" s="5" t="str">
        <f>IFERROR(__xludf.DUMMYFUNCTION("IF(AND(F1799&lt;&gt;"""",REGEXMATCH(SUBSTITUTE(F1799,"" "",""""),""^-?\d+(\.\d+)?,-?\d+(\.\d+)?$""),VALUE(REGEXEXTRACT(SUBSTITUTE(F1799,"" "",""""),""^-?\d+(\.\d+)?""))&gt;=-90,VALUE(REGEXEXTRACT(SUBSTITUTE(F1799,"" "",""""),""^-?\d+(\.\d+)?""))&lt;=90,VALUE(REGEXEXT"&amp;"RACT(SUBSTITUTE(F1799,"" "",""""),""-?\d+(\.\d+)?$""))&gt;=-180,VALUE(REGEXEXTRACT(SUBSTITUTE(F1799,"" "",""""),""-?\d+(\.\d+)?$""))&lt;=180),""OK"",""REVISAR"")"),"#N/A")</f>
        <v>#N/A</v>
      </c>
    </row>
    <row r="1800" ht="15.75" customHeight="1">
      <c r="A1800" s="5" t="str">
        <f t="shared" si="1"/>
        <v>AD507-1798</v>
      </c>
      <c r="C1800" s="5"/>
      <c r="F1800" s="5"/>
      <c r="G1800" s="5" t="str">
        <f t="shared" si="2"/>
        <v/>
      </c>
      <c r="H1800" s="5" t="str">
        <f t="shared" si="3"/>
        <v/>
      </c>
      <c r="I1800" s="5" t="str">
        <f t="shared" si="4"/>
        <v/>
      </c>
      <c r="J1800" s="5" t="str">
        <f t="shared" si="5"/>
        <v/>
      </c>
      <c r="K1800" s="5" t="str">
        <f>IFERROR(__xludf.DUMMYFUNCTION("IF(C1800&lt;&gt;"""",HYPERLINK(""https://wa.me/507""&amp;REGEXREPLACE(C1800,""[^0-9]"","""")&amp;""?text=""&amp;ENCODEURL(""Ya llegue. Codigo: ""&amp;A1800&amp;"". Ubicacion: ""&amp;""https://www.google.com/maps/search/?api=1&amp;query=""&amp;SUBSTITUTE(F1800,"" "","""")),""📲 Avisar al clien"&amp;"te""),"""")"),"")</f>
        <v/>
      </c>
      <c r="L1800" s="5" t="str">
        <f>IFERROR(__xludf.DUMMYFUNCTION("IF(C1800&lt;&gt;"""",""https://api.qrserver.com/v1/create-qr-code/?size=200x200&amp;data=""&amp;ENCODEURL(""https://wa.me/507""&amp;REGEXREPLACE(C1800,""[^0-9]"","""")&amp;""?text=""&amp;ENCODEURL(""Ya llegue. Codigo: ""&amp;A1800&amp;"". Ubicacion: ""&amp;""https://www.google.com/maps/search"&amp;"/?api=1&amp;query=""&amp;SUBSTITUTE(F1800,"" "",""""))),"""")"),"")</f>
        <v/>
      </c>
      <c r="M1800" s="5" t="str">
        <f t="shared" si="6"/>
        <v/>
      </c>
      <c r="N1800" s="5" t="str">
        <f>IFERROR(__xludf.DUMMYFUNCTION("IF(AND(F1800&lt;&gt;"""",REGEXMATCH(SUBSTITUTE(F1800,"" "",""""),""^-?\d+(\.\d+)?,-?\d+(\.\d+)?$""),VALUE(REGEXEXTRACT(SUBSTITUTE(F1800,"" "",""""),""^-?\d+(\.\d+)?""))&gt;=-90,VALUE(REGEXEXTRACT(SUBSTITUTE(F1800,"" "",""""),""^-?\d+(\.\d+)?""))&lt;=90,VALUE(REGEXEXT"&amp;"RACT(SUBSTITUTE(F1800,"" "",""""),""-?\d+(\.\d+)?$""))&gt;=-180,VALUE(REGEXEXTRACT(SUBSTITUTE(F1800,"" "",""""),""-?\d+(\.\d+)?$""))&lt;=180),""OK"",""REVISAR"")"),"#N/A")</f>
        <v>#N/A</v>
      </c>
    </row>
    <row r="1801" ht="15.75" customHeight="1">
      <c r="A1801" s="5" t="str">
        <f t="shared" si="1"/>
        <v>AD507-1799</v>
      </c>
      <c r="C1801" s="5"/>
      <c r="F1801" s="5"/>
      <c r="G1801" s="5" t="str">
        <f t="shared" si="2"/>
        <v/>
      </c>
      <c r="H1801" s="5" t="str">
        <f t="shared" si="3"/>
        <v/>
      </c>
      <c r="I1801" s="5" t="str">
        <f t="shared" si="4"/>
        <v/>
      </c>
      <c r="J1801" s="5" t="str">
        <f t="shared" si="5"/>
        <v/>
      </c>
      <c r="K1801" s="5" t="str">
        <f>IFERROR(__xludf.DUMMYFUNCTION("IF(C1801&lt;&gt;"""",HYPERLINK(""https://wa.me/507""&amp;REGEXREPLACE(C1801,""[^0-9]"","""")&amp;""?text=""&amp;ENCODEURL(""Ya llegue. Codigo: ""&amp;A1801&amp;"". Ubicacion: ""&amp;""https://www.google.com/maps/search/?api=1&amp;query=""&amp;SUBSTITUTE(F1801,"" "","""")),""📲 Avisar al clien"&amp;"te""),"""")"),"")</f>
        <v/>
      </c>
      <c r="L1801" s="5" t="str">
        <f>IFERROR(__xludf.DUMMYFUNCTION("IF(C1801&lt;&gt;"""",""https://api.qrserver.com/v1/create-qr-code/?size=200x200&amp;data=""&amp;ENCODEURL(""https://wa.me/507""&amp;REGEXREPLACE(C1801,""[^0-9]"","""")&amp;""?text=""&amp;ENCODEURL(""Ya llegue. Codigo: ""&amp;A1801&amp;"". Ubicacion: ""&amp;""https://www.google.com/maps/search"&amp;"/?api=1&amp;query=""&amp;SUBSTITUTE(F1801,"" "",""""))),"""")"),"")</f>
        <v/>
      </c>
      <c r="M1801" s="5" t="str">
        <f t="shared" si="6"/>
        <v/>
      </c>
      <c r="N1801" s="5" t="str">
        <f>IFERROR(__xludf.DUMMYFUNCTION("IF(AND(F1801&lt;&gt;"""",REGEXMATCH(SUBSTITUTE(F1801,"" "",""""),""^-?\d+(\.\d+)?,-?\d+(\.\d+)?$""),VALUE(REGEXEXTRACT(SUBSTITUTE(F1801,"" "",""""),""^-?\d+(\.\d+)?""))&gt;=-90,VALUE(REGEXEXTRACT(SUBSTITUTE(F1801,"" "",""""),""^-?\d+(\.\d+)?""))&lt;=90,VALUE(REGEXEXT"&amp;"RACT(SUBSTITUTE(F1801,"" "",""""),""-?\d+(\.\d+)?$""))&gt;=-180,VALUE(REGEXEXTRACT(SUBSTITUTE(F1801,"" "",""""),""-?\d+(\.\d+)?$""))&lt;=180),""OK"",""REVISAR"")"),"#N/A")</f>
        <v>#N/A</v>
      </c>
    </row>
    <row r="1802" ht="15.75" customHeight="1">
      <c r="A1802" s="5" t="str">
        <f t="shared" si="1"/>
        <v>AD507-1800</v>
      </c>
      <c r="C1802" s="5"/>
      <c r="F1802" s="5"/>
      <c r="G1802" s="5" t="str">
        <f t="shared" si="2"/>
        <v/>
      </c>
      <c r="H1802" s="5" t="str">
        <f t="shared" si="3"/>
        <v/>
      </c>
      <c r="I1802" s="5" t="str">
        <f t="shared" si="4"/>
        <v/>
      </c>
      <c r="J1802" s="5" t="str">
        <f t="shared" si="5"/>
        <v/>
      </c>
      <c r="K1802" s="5" t="str">
        <f>IFERROR(__xludf.DUMMYFUNCTION("IF(C1802&lt;&gt;"""",HYPERLINK(""https://wa.me/507""&amp;REGEXREPLACE(C1802,""[^0-9]"","""")&amp;""?text=""&amp;ENCODEURL(""Ya llegue. Codigo: ""&amp;A1802&amp;"". Ubicacion: ""&amp;""https://www.google.com/maps/search/?api=1&amp;query=""&amp;SUBSTITUTE(F1802,"" "","""")),""📲 Avisar al clien"&amp;"te""),"""")"),"")</f>
        <v/>
      </c>
      <c r="L1802" s="5" t="str">
        <f>IFERROR(__xludf.DUMMYFUNCTION("IF(C1802&lt;&gt;"""",""https://api.qrserver.com/v1/create-qr-code/?size=200x200&amp;data=""&amp;ENCODEURL(""https://wa.me/507""&amp;REGEXREPLACE(C1802,""[^0-9]"","""")&amp;""?text=""&amp;ENCODEURL(""Ya llegue. Codigo: ""&amp;A1802&amp;"". Ubicacion: ""&amp;""https://www.google.com/maps/search"&amp;"/?api=1&amp;query=""&amp;SUBSTITUTE(F1802,"" "",""""))),"""")"),"")</f>
        <v/>
      </c>
      <c r="M1802" s="5" t="str">
        <f t="shared" si="6"/>
        <v/>
      </c>
      <c r="N1802" s="5" t="str">
        <f>IFERROR(__xludf.DUMMYFUNCTION("IF(AND(F1802&lt;&gt;"""",REGEXMATCH(SUBSTITUTE(F1802,"" "",""""),""^-?\d+(\.\d+)?,-?\d+(\.\d+)?$""),VALUE(REGEXEXTRACT(SUBSTITUTE(F1802,"" "",""""),""^-?\d+(\.\d+)?""))&gt;=-90,VALUE(REGEXEXTRACT(SUBSTITUTE(F1802,"" "",""""),""^-?\d+(\.\d+)?""))&lt;=90,VALUE(REGEXEXT"&amp;"RACT(SUBSTITUTE(F1802,"" "",""""),""-?\d+(\.\d+)?$""))&gt;=-180,VALUE(REGEXEXTRACT(SUBSTITUTE(F1802,"" "",""""),""-?\d+(\.\d+)?$""))&lt;=180),""OK"",""REVISAR"")"),"#N/A")</f>
        <v>#N/A</v>
      </c>
    </row>
    <row r="1803" ht="15.75" customHeight="1">
      <c r="A1803" s="5" t="str">
        <f t="shared" si="1"/>
        <v>AD507-1801</v>
      </c>
      <c r="C1803" s="5"/>
      <c r="F1803" s="5"/>
      <c r="G1803" s="5" t="str">
        <f t="shared" si="2"/>
        <v/>
      </c>
      <c r="H1803" s="5" t="str">
        <f t="shared" si="3"/>
        <v/>
      </c>
      <c r="I1803" s="5" t="str">
        <f t="shared" si="4"/>
        <v/>
      </c>
      <c r="J1803" s="5" t="str">
        <f t="shared" si="5"/>
        <v/>
      </c>
      <c r="K1803" s="5" t="str">
        <f>IFERROR(__xludf.DUMMYFUNCTION("IF(C1803&lt;&gt;"""",HYPERLINK(""https://wa.me/507""&amp;REGEXREPLACE(C1803,""[^0-9]"","""")&amp;""?text=""&amp;ENCODEURL(""Ya llegue. Codigo: ""&amp;A1803&amp;"". Ubicacion: ""&amp;""https://www.google.com/maps/search/?api=1&amp;query=""&amp;SUBSTITUTE(F1803,"" "","""")),""📲 Avisar al clien"&amp;"te""),"""")"),"")</f>
        <v/>
      </c>
      <c r="L1803" s="5" t="str">
        <f>IFERROR(__xludf.DUMMYFUNCTION("IF(C1803&lt;&gt;"""",""https://api.qrserver.com/v1/create-qr-code/?size=200x200&amp;data=""&amp;ENCODEURL(""https://wa.me/507""&amp;REGEXREPLACE(C1803,""[^0-9]"","""")&amp;""?text=""&amp;ENCODEURL(""Ya llegue. Codigo: ""&amp;A1803&amp;"". Ubicacion: ""&amp;""https://www.google.com/maps/search"&amp;"/?api=1&amp;query=""&amp;SUBSTITUTE(F1803,"" "",""""))),"""")"),"")</f>
        <v/>
      </c>
      <c r="M1803" s="5" t="str">
        <f t="shared" si="6"/>
        <v/>
      </c>
      <c r="N1803" s="5" t="str">
        <f>IFERROR(__xludf.DUMMYFUNCTION("IF(AND(F1803&lt;&gt;"""",REGEXMATCH(SUBSTITUTE(F1803,"" "",""""),""^-?\d+(\.\d+)?,-?\d+(\.\d+)?$""),VALUE(REGEXEXTRACT(SUBSTITUTE(F1803,"" "",""""),""^-?\d+(\.\d+)?""))&gt;=-90,VALUE(REGEXEXTRACT(SUBSTITUTE(F1803,"" "",""""),""^-?\d+(\.\d+)?""))&lt;=90,VALUE(REGEXEXT"&amp;"RACT(SUBSTITUTE(F1803,"" "",""""),""-?\d+(\.\d+)?$""))&gt;=-180,VALUE(REGEXEXTRACT(SUBSTITUTE(F1803,"" "",""""),""-?\d+(\.\d+)?$""))&lt;=180),""OK"",""REVISAR"")"),"#N/A")</f>
        <v>#N/A</v>
      </c>
    </row>
    <row r="1804" ht="15.75" customHeight="1">
      <c r="A1804" s="5" t="str">
        <f t="shared" si="1"/>
        <v>AD507-1802</v>
      </c>
      <c r="C1804" s="5"/>
      <c r="F1804" s="5"/>
      <c r="G1804" s="5" t="str">
        <f t="shared" si="2"/>
        <v/>
      </c>
      <c r="H1804" s="5" t="str">
        <f t="shared" si="3"/>
        <v/>
      </c>
      <c r="I1804" s="5" t="str">
        <f t="shared" si="4"/>
        <v/>
      </c>
      <c r="J1804" s="5" t="str">
        <f t="shared" si="5"/>
        <v/>
      </c>
      <c r="K1804" s="5" t="str">
        <f>IFERROR(__xludf.DUMMYFUNCTION("IF(C1804&lt;&gt;"""",HYPERLINK(""https://wa.me/507""&amp;REGEXREPLACE(C1804,""[^0-9]"","""")&amp;""?text=""&amp;ENCODEURL(""Ya llegue. Codigo: ""&amp;A1804&amp;"". Ubicacion: ""&amp;""https://www.google.com/maps/search/?api=1&amp;query=""&amp;SUBSTITUTE(F1804,"" "","""")),""📲 Avisar al clien"&amp;"te""),"""")"),"")</f>
        <v/>
      </c>
      <c r="L1804" s="5" t="str">
        <f>IFERROR(__xludf.DUMMYFUNCTION("IF(C1804&lt;&gt;"""",""https://api.qrserver.com/v1/create-qr-code/?size=200x200&amp;data=""&amp;ENCODEURL(""https://wa.me/507""&amp;REGEXREPLACE(C1804,""[^0-9]"","""")&amp;""?text=""&amp;ENCODEURL(""Ya llegue. Codigo: ""&amp;A1804&amp;"". Ubicacion: ""&amp;""https://www.google.com/maps/search"&amp;"/?api=1&amp;query=""&amp;SUBSTITUTE(F1804,"" "",""""))),"""")"),"")</f>
        <v/>
      </c>
      <c r="M1804" s="5" t="str">
        <f t="shared" si="6"/>
        <v/>
      </c>
      <c r="N1804" s="5" t="str">
        <f>IFERROR(__xludf.DUMMYFUNCTION("IF(AND(F1804&lt;&gt;"""",REGEXMATCH(SUBSTITUTE(F1804,"" "",""""),""^-?\d+(\.\d+)?,-?\d+(\.\d+)?$""),VALUE(REGEXEXTRACT(SUBSTITUTE(F1804,"" "",""""),""^-?\d+(\.\d+)?""))&gt;=-90,VALUE(REGEXEXTRACT(SUBSTITUTE(F1804,"" "",""""),""^-?\d+(\.\d+)?""))&lt;=90,VALUE(REGEXEXT"&amp;"RACT(SUBSTITUTE(F1804,"" "",""""),""-?\d+(\.\d+)?$""))&gt;=-180,VALUE(REGEXEXTRACT(SUBSTITUTE(F1804,"" "",""""),""-?\d+(\.\d+)?$""))&lt;=180),""OK"",""REVISAR"")"),"#N/A")</f>
        <v>#N/A</v>
      </c>
    </row>
    <row r="1805" ht="15.75" customHeight="1">
      <c r="A1805" s="5" t="str">
        <f t="shared" si="1"/>
        <v>AD507-1803</v>
      </c>
      <c r="C1805" s="5"/>
      <c r="F1805" s="5"/>
      <c r="G1805" s="5" t="str">
        <f t="shared" si="2"/>
        <v/>
      </c>
      <c r="H1805" s="5" t="str">
        <f t="shared" si="3"/>
        <v/>
      </c>
      <c r="I1805" s="5" t="str">
        <f t="shared" si="4"/>
        <v/>
      </c>
      <c r="J1805" s="5" t="str">
        <f t="shared" si="5"/>
        <v/>
      </c>
      <c r="K1805" s="5" t="str">
        <f>IFERROR(__xludf.DUMMYFUNCTION("IF(C1805&lt;&gt;"""",HYPERLINK(""https://wa.me/507""&amp;REGEXREPLACE(C1805,""[^0-9]"","""")&amp;""?text=""&amp;ENCODEURL(""Ya llegue. Codigo: ""&amp;A1805&amp;"". Ubicacion: ""&amp;""https://www.google.com/maps/search/?api=1&amp;query=""&amp;SUBSTITUTE(F1805,"" "","""")),""📲 Avisar al clien"&amp;"te""),"""")"),"")</f>
        <v/>
      </c>
      <c r="L1805" s="5" t="str">
        <f>IFERROR(__xludf.DUMMYFUNCTION("IF(C1805&lt;&gt;"""",""https://api.qrserver.com/v1/create-qr-code/?size=200x200&amp;data=""&amp;ENCODEURL(""https://wa.me/507""&amp;REGEXREPLACE(C1805,""[^0-9]"","""")&amp;""?text=""&amp;ENCODEURL(""Ya llegue. Codigo: ""&amp;A1805&amp;"". Ubicacion: ""&amp;""https://www.google.com/maps/search"&amp;"/?api=1&amp;query=""&amp;SUBSTITUTE(F1805,"" "",""""))),"""")"),"")</f>
        <v/>
      </c>
      <c r="M1805" s="5" t="str">
        <f t="shared" si="6"/>
        <v/>
      </c>
      <c r="N1805" s="5" t="str">
        <f>IFERROR(__xludf.DUMMYFUNCTION("IF(AND(F1805&lt;&gt;"""",REGEXMATCH(SUBSTITUTE(F1805,"" "",""""),""^-?\d+(\.\d+)?,-?\d+(\.\d+)?$""),VALUE(REGEXEXTRACT(SUBSTITUTE(F1805,"" "",""""),""^-?\d+(\.\d+)?""))&gt;=-90,VALUE(REGEXEXTRACT(SUBSTITUTE(F1805,"" "",""""),""^-?\d+(\.\d+)?""))&lt;=90,VALUE(REGEXEXT"&amp;"RACT(SUBSTITUTE(F1805,"" "",""""),""-?\d+(\.\d+)?$""))&gt;=-180,VALUE(REGEXEXTRACT(SUBSTITUTE(F1805,"" "",""""),""-?\d+(\.\d+)?$""))&lt;=180),""OK"",""REVISAR"")"),"#N/A")</f>
        <v>#N/A</v>
      </c>
    </row>
    <row r="1806" ht="15.75" customHeight="1">
      <c r="A1806" s="5" t="str">
        <f t="shared" si="1"/>
        <v>AD507-1804</v>
      </c>
      <c r="C1806" s="5"/>
      <c r="F1806" s="5"/>
      <c r="G1806" s="5" t="str">
        <f t="shared" si="2"/>
        <v/>
      </c>
      <c r="H1806" s="5" t="str">
        <f t="shared" si="3"/>
        <v/>
      </c>
      <c r="I1806" s="5" t="str">
        <f t="shared" si="4"/>
        <v/>
      </c>
      <c r="J1806" s="5" t="str">
        <f t="shared" si="5"/>
        <v/>
      </c>
      <c r="K1806" s="5" t="str">
        <f>IFERROR(__xludf.DUMMYFUNCTION("IF(C1806&lt;&gt;"""",HYPERLINK(""https://wa.me/507""&amp;REGEXREPLACE(C1806,""[^0-9]"","""")&amp;""?text=""&amp;ENCODEURL(""Ya llegue. Codigo: ""&amp;A1806&amp;"". Ubicacion: ""&amp;""https://www.google.com/maps/search/?api=1&amp;query=""&amp;SUBSTITUTE(F1806,"" "","""")),""📲 Avisar al clien"&amp;"te""),"""")"),"")</f>
        <v/>
      </c>
      <c r="L1806" s="5" t="str">
        <f>IFERROR(__xludf.DUMMYFUNCTION("IF(C1806&lt;&gt;"""",""https://api.qrserver.com/v1/create-qr-code/?size=200x200&amp;data=""&amp;ENCODEURL(""https://wa.me/507""&amp;REGEXREPLACE(C1806,""[^0-9]"","""")&amp;""?text=""&amp;ENCODEURL(""Ya llegue. Codigo: ""&amp;A1806&amp;"". Ubicacion: ""&amp;""https://www.google.com/maps/search"&amp;"/?api=1&amp;query=""&amp;SUBSTITUTE(F1806,"" "",""""))),"""")"),"")</f>
        <v/>
      </c>
      <c r="M1806" s="5" t="str">
        <f t="shared" si="6"/>
        <v/>
      </c>
      <c r="N1806" s="5" t="str">
        <f>IFERROR(__xludf.DUMMYFUNCTION("IF(AND(F1806&lt;&gt;"""",REGEXMATCH(SUBSTITUTE(F1806,"" "",""""),""^-?\d+(\.\d+)?,-?\d+(\.\d+)?$""),VALUE(REGEXEXTRACT(SUBSTITUTE(F1806,"" "",""""),""^-?\d+(\.\d+)?""))&gt;=-90,VALUE(REGEXEXTRACT(SUBSTITUTE(F1806,"" "",""""),""^-?\d+(\.\d+)?""))&lt;=90,VALUE(REGEXEXT"&amp;"RACT(SUBSTITUTE(F1806,"" "",""""),""-?\d+(\.\d+)?$""))&gt;=-180,VALUE(REGEXEXTRACT(SUBSTITUTE(F1806,"" "",""""),""-?\d+(\.\d+)?$""))&lt;=180),""OK"",""REVISAR"")"),"#N/A")</f>
        <v>#N/A</v>
      </c>
    </row>
    <row r="1807" ht="15.75" customHeight="1">
      <c r="A1807" s="5" t="str">
        <f t="shared" si="1"/>
        <v>AD507-1805</v>
      </c>
      <c r="C1807" s="5"/>
      <c r="F1807" s="5"/>
      <c r="G1807" s="5" t="str">
        <f t="shared" si="2"/>
        <v/>
      </c>
      <c r="H1807" s="5" t="str">
        <f t="shared" si="3"/>
        <v/>
      </c>
      <c r="I1807" s="5" t="str">
        <f t="shared" si="4"/>
        <v/>
      </c>
      <c r="J1807" s="5" t="str">
        <f t="shared" si="5"/>
        <v/>
      </c>
      <c r="K1807" s="5" t="str">
        <f>IFERROR(__xludf.DUMMYFUNCTION("IF(C1807&lt;&gt;"""",HYPERLINK(""https://wa.me/507""&amp;REGEXREPLACE(C1807,""[^0-9]"","""")&amp;""?text=""&amp;ENCODEURL(""Ya llegue. Codigo: ""&amp;A1807&amp;"". Ubicacion: ""&amp;""https://www.google.com/maps/search/?api=1&amp;query=""&amp;SUBSTITUTE(F1807,"" "","""")),""📲 Avisar al clien"&amp;"te""),"""")"),"")</f>
        <v/>
      </c>
      <c r="L1807" s="5" t="str">
        <f>IFERROR(__xludf.DUMMYFUNCTION("IF(C1807&lt;&gt;"""",""https://api.qrserver.com/v1/create-qr-code/?size=200x200&amp;data=""&amp;ENCODEURL(""https://wa.me/507""&amp;REGEXREPLACE(C1807,""[^0-9]"","""")&amp;""?text=""&amp;ENCODEURL(""Ya llegue. Codigo: ""&amp;A1807&amp;"". Ubicacion: ""&amp;""https://www.google.com/maps/search"&amp;"/?api=1&amp;query=""&amp;SUBSTITUTE(F1807,"" "",""""))),"""")"),"")</f>
        <v/>
      </c>
      <c r="M1807" s="5" t="str">
        <f t="shared" si="6"/>
        <v/>
      </c>
      <c r="N1807" s="5" t="str">
        <f>IFERROR(__xludf.DUMMYFUNCTION("IF(AND(F1807&lt;&gt;"""",REGEXMATCH(SUBSTITUTE(F1807,"" "",""""),""^-?\d+(\.\d+)?,-?\d+(\.\d+)?$""),VALUE(REGEXEXTRACT(SUBSTITUTE(F1807,"" "",""""),""^-?\d+(\.\d+)?""))&gt;=-90,VALUE(REGEXEXTRACT(SUBSTITUTE(F1807,"" "",""""),""^-?\d+(\.\d+)?""))&lt;=90,VALUE(REGEXEXT"&amp;"RACT(SUBSTITUTE(F1807,"" "",""""),""-?\d+(\.\d+)?$""))&gt;=-180,VALUE(REGEXEXTRACT(SUBSTITUTE(F1807,"" "",""""),""-?\d+(\.\d+)?$""))&lt;=180),""OK"",""REVISAR"")"),"#N/A")</f>
        <v>#N/A</v>
      </c>
    </row>
    <row r="1808" ht="15.75" customHeight="1">
      <c r="A1808" s="5" t="str">
        <f t="shared" si="1"/>
        <v>AD507-1806</v>
      </c>
      <c r="C1808" s="5"/>
      <c r="F1808" s="5"/>
      <c r="G1808" s="5" t="str">
        <f t="shared" si="2"/>
        <v/>
      </c>
      <c r="H1808" s="5" t="str">
        <f t="shared" si="3"/>
        <v/>
      </c>
      <c r="I1808" s="5" t="str">
        <f t="shared" si="4"/>
        <v/>
      </c>
      <c r="J1808" s="5" t="str">
        <f t="shared" si="5"/>
        <v/>
      </c>
      <c r="K1808" s="5" t="str">
        <f>IFERROR(__xludf.DUMMYFUNCTION("IF(C1808&lt;&gt;"""",HYPERLINK(""https://wa.me/507""&amp;REGEXREPLACE(C1808,""[^0-9]"","""")&amp;""?text=""&amp;ENCODEURL(""Ya llegue. Codigo: ""&amp;A1808&amp;"". Ubicacion: ""&amp;""https://www.google.com/maps/search/?api=1&amp;query=""&amp;SUBSTITUTE(F1808,"" "","""")),""📲 Avisar al clien"&amp;"te""),"""")"),"")</f>
        <v/>
      </c>
      <c r="L1808" s="5" t="str">
        <f>IFERROR(__xludf.DUMMYFUNCTION("IF(C1808&lt;&gt;"""",""https://api.qrserver.com/v1/create-qr-code/?size=200x200&amp;data=""&amp;ENCODEURL(""https://wa.me/507""&amp;REGEXREPLACE(C1808,""[^0-9]"","""")&amp;""?text=""&amp;ENCODEURL(""Ya llegue. Codigo: ""&amp;A1808&amp;"". Ubicacion: ""&amp;""https://www.google.com/maps/search"&amp;"/?api=1&amp;query=""&amp;SUBSTITUTE(F1808,"" "",""""))),"""")"),"")</f>
        <v/>
      </c>
      <c r="M1808" s="5" t="str">
        <f t="shared" si="6"/>
        <v/>
      </c>
      <c r="N1808" s="5" t="str">
        <f>IFERROR(__xludf.DUMMYFUNCTION("IF(AND(F1808&lt;&gt;"""",REGEXMATCH(SUBSTITUTE(F1808,"" "",""""),""^-?\d+(\.\d+)?,-?\d+(\.\d+)?$""),VALUE(REGEXEXTRACT(SUBSTITUTE(F1808,"" "",""""),""^-?\d+(\.\d+)?""))&gt;=-90,VALUE(REGEXEXTRACT(SUBSTITUTE(F1808,"" "",""""),""^-?\d+(\.\d+)?""))&lt;=90,VALUE(REGEXEXT"&amp;"RACT(SUBSTITUTE(F1808,"" "",""""),""-?\d+(\.\d+)?$""))&gt;=-180,VALUE(REGEXEXTRACT(SUBSTITUTE(F1808,"" "",""""),""-?\d+(\.\d+)?$""))&lt;=180),""OK"",""REVISAR"")"),"#N/A")</f>
        <v>#N/A</v>
      </c>
    </row>
    <row r="1809" ht="15.75" customHeight="1">
      <c r="A1809" s="5" t="str">
        <f t="shared" si="1"/>
        <v>AD507-1807</v>
      </c>
      <c r="C1809" s="5"/>
      <c r="F1809" s="5"/>
      <c r="G1809" s="5" t="str">
        <f t="shared" si="2"/>
        <v/>
      </c>
      <c r="H1809" s="5" t="str">
        <f t="shared" si="3"/>
        <v/>
      </c>
      <c r="I1809" s="5" t="str">
        <f t="shared" si="4"/>
        <v/>
      </c>
      <c r="J1809" s="5" t="str">
        <f t="shared" si="5"/>
        <v/>
      </c>
      <c r="K1809" s="5" t="str">
        <f>IFERROR(__xludf.DUMMYFUNCTION("IF(C1809&lt;&gt;"""",HYPERLINK(""https://wa.me/507""&amp;REGEXREPLACE(C1809,""[^0-9]"","""")&amp;""?text=""&amp;ENCODEURL(""Ya llegue. Codigo: ""&amp;A1809&amp;"". Ubicacion: ""&amp;""https://www.google.com/maps/search/?api=1&amp;query=""&amp;SUBSTITUTE(F1809,"" "","""")),""📲 Avisar al clien"&amp;"te""),"""")"),"")</f>
        <v/>
      </c>
      <c r="L1809" s="5" t="str">
        <f>IFERROR(__xludf.DUMMYFUNCTION("IF(C1809&lt;&gt;"""",""https://api.qrserver.com/v1/create-qr-code/?size=200x200&amp;data=""&amp;ENCODEURL(""https://wa.me/507""&amp;REGEXREPLACE(C1809,""[^0-9]"","""")&amp;""?text=""&amp;ENCODEURL(""Ya llegue. Codigo: ""&amp;A1809&amp;"". Ubicacion: ""&amp;""https://www.google.com/maps/search"&amp;"/?api=1&amp;query=""&amp;SUBSTITUTE(F1809,"" "",""""))),"""")"),"")</f>
        <v/>
      </c>
      <c r="M1809" s="5" t="str">
        <f t="shared" si="6"/>
        <v/>
      </c>
      <c r="N1809" s="5" t="str">
        <f>IFERROR(__xludf.DUMMYFUNCTION("IF(AND(F1809&lt;&gt;"""",REGEXMATCH(SUBSTITUTE(F1809,"" "",""""),""^-?\d+(\.\d+)?,-?\d+(\.\d+)?$""),VALUE(REGEXEXTRACT(SUBSTITUTE(F1809,"" "",""""),""^-?\d+(\.\d+)?""))&gt;=-90,VALUE(REGEXEXTRACT(SUBSTITUTE(F1809,"" "",""""),""^-?\d+(\.\d+)?""))&lt;=90,VALUE(REGEXEXT"&amp;"RACT(SUBSTITUTE(F1809,"" "",""""),""-?\d+(\.\d+)?$""))&gt;=-180,VALUE(REGEXEXTRACT(SUBSTITUTE(F1809,"" "",""""),""-?\d+(\.\d+)?$""))&lt;=180),""OK"",""REVISAR"")"),"#N/A")</f>
        <v>#N/A</v>
      </c>
    </row>
    <row r="1810" ht="15.75" customHeight="1">
      <c r="A1810" s="5" t="str">
        <f t="shared" si="1"/>
        <v>AD507-1808</v>
      </c>
      <c r="C1810" s="5"/>
      <c r="F1810" s="5"/>
      <c r="G1810" s="5" t="str">
        <f t="shared" si="2"/>
        <v/>
      </c>
      <c r="H1810" s="5" t="str">
        <f t="shared" si="3"/>
        <v/>
      </c>
      <c r="I1810" s="5" t="str">
        <f t="shared" si="4"/>
        <v/>
      </c>
      <c r="J1810" s="5" t="str">
        <f t="shared" si="5"/>
        <v/>
      </c>
      <c r="K1810" s="5" t="str">
        <f>IFERROR(__xludf.DUMMYFUNCTION("IF(C1810&lt;&gt;"""",HYPERLINK(""https://wa.me/507""&amp;REGEXREPLACE(C1810,""[^0-9]"","""")&amp;""?text=""&amp;ENCODEURL(""Ya llegue. Codigo: ""&amp;A1810&amp;"". Ubicacion: ""&amp;""https://www.google.com/maps/search/?api=1&amp;query=""&amp;SUBSTITUTE(F1810,"" "","""")),""📲 Avisar al clien"&amp;"te""),"""")"),"")</f>
        <v/>
      </c>
      <c r="L1810" s="5" t="str">
        <f>IFERROR(__xludf.DUMMYFUNCTION("IF(C1810&lt;&gt;"""",""https://api.qrserver.com/v1/create-qr-code/?size=200x200&amp;data=""&amp;ENCODEURL(""https://wa.me/507""&amp;REGEXREPLACE(C1810,""[^0-9]"","""")&amp;""?text=""&amp;ENCODEURL(""Ya llegue. Codigo: ""&amp;A1810&amp;"". Ubicacion: ""&amp;""https://www.google.com/maps/search"&amp;"/?api=1&amp;query=""&amp;SUBSTITUTE(F1810,"" "",""""))),"""")"),"")</f>
        <v/>
      </c>
      <c r="M1810" s="5" t="str">
        <f t="shared" si="6"/>
        <v/>
      </c>
      <c r="N1810" s="5" t="str">
        <f>IFERROR(__xludf.DUMMYFUNCTION("IF(AND(F1810&lt;&gt;"""",REGEXMATCH(SUBSTITUTE(F1810,"" "",""""),""^-?\d+(\.\d+)?,-?\d+(\.\d+)?$""),VALUE(REGEXEXTRACT(SUBSTITUTE(F1810,"" "",""""),""^-?\d+(\.\d+)?""))&gt;=-90,VALUE(REGEXEXTRACT(SUBSTITUTE(F1810,"" "",""""),""^-?\d+(\.\d+)?""))&lt;=90,VALUE(REGEXEXT"&amp;"RACT(SUBSTITUTE(F1810,"" "",""""),""-?\d+(\.\d+)?$""))&gt;=-180,VALUE(REGEXEXTRACT(SUBSTITUTE(F1810,"" "",""""),""-?\d+(\.\d+)?$""))&lt;=180),""OK"",""REVISAR"")"),"#N/A")</f>
        <v>#N/A</v>
      </c>
    </row>
    <row r="1811" ht="15.75" customHeight="1">
      <c r="A1811" s="5" t="str">
        <f t="shared" si="1"/>
        <v>AD507-1809</v>
      </c>
      <c r="C1811" s="5"/>
      <c r="F1811" s="5"/>
      <c r="G1811" s="5" t="str">
        <f t="shared" si="2"/>
        <v/>
      </c>
      <c r="H1811" s="5" t="str">
        <f t="shared" si="3"/>
        <v/>
      </c>
      <c r="I1811" s="5" t="str">
        <f t="shared" si="4"/>
        <v/>
      </c>
      <c r="J1811" s="5" t="str">
        <f t="shared" si="5"/>
        <v/>
      </c>
      <c r="K1811" s="5" t="str">
        <f>IFERROR(__xludf.DUMMYFUNCTION("IF(C1811&lt;&gt;"""",HYPERLINK(""https://wa.me/507""&amp;REGEXREPLACE(C1811,""[^0-9]"","""")&amp;""?text=""&amp;ENCODEURL(""Ya llegue. Codigo: ""&amp;A1811&amp;"". Ubicacion: ""&amp;""https://www.google.com/maps/search/?api=1&amp;query=""&amp;SUBSTITUTE(F1811,"" "","""")),""📲 Avisar al clien"&amp;"te""),"""")"),"")</f>
        <v/>
      </c>
      <c r="L1811" s="5" t="str">
        <f>IFERROR(__xludf.DUMMYFUNCTION("IF(C1811&lt;&gt;"""",""https://api.qrserver.com/v1/create-qr-code/?size=200x200&amp;data=""&amp;ENCODEURL(""https://wa.me/507""&amp;REGEXREPLACE(C1811,""[^0-9]"","""")&amp;""?text=""&amp;ENCODEURL(""Ya llegue. Codigo: ""&amp;A1811&amp;"". Ubicacion: ""&amp;""https://www.google.com/maps/search"&amp;"/?api=1&amp;query=""&amp;SUBSTITUTE(F1811,"" "",""""))),"""")"),"")</f>
        <v/>
      </c>
      <c r="M1811" s="5" t="str">
        <f t="shared" si="6"/>
        <v/>
      </c>
      <c r="N1811" s="5" t="str">
        <f>IFERROR(__xludf.DUMMYFUNCTION("IF(AND(F1811&lt;&gt;"""",REGEXMATCH(SUBSTITUTE(F1811,"" "",""""),""^-?\d+(\.\d+)?,-?\d+(\.\d+)?$""),VALUE(REGEXEXTRACT(SUBSTITUTE(F1811,"" "",""""),""^-?\d+(\.\d+)?""))&gt;=-90,VALUE(REGEXEXTRACT(SUBSTITUTE(F1811,"" "",""""),""^-?\d+(\.\d+)?""))&lt;=90,VALUE(REGEXEXT"&amp;"RACT(SUBSTITUTE(F1811,"" "",""""),""-?\d+(\.\d+)?$""))&gt;=-180,VALUE(REGEXEXTRACT(SUBSTITUTE(F1811,"" "",""""),""-?\d+(\.\d+)?$""))&lt;=180),""OK"",""REVISAR"")"),"#N/A")</f>
        <v>#N/A</v>
      </c>
    </row>
    <row r="1812" ht="15.75" customHeight="1">
      <c r="A1812" s="5" t="str">
        <f t="shared" si="1"/>
        <v>AD507-1810</v>
      </c>
      <c r="C1812" s="5"/>
      <c r="F1812" s="5"/>
      <c r="G1812" s="5" t="str">
        <f t="shared" si="2"/>
        <v/>
      </c>
      <c r="H1812" s="5" t="str">
        <f t="shared" si="3"/>
        <v/>
      </c>
      <c r="I1812" s="5" t="str">
        <f t="shared" si="4"/>
        <v/>
      </c>
      <c r="J1812" s="5" t="str">
        <f t="shared" si="5"/>
        <v/>
      </c>
      <c r="K1812" s="5" t="str">
        <f>IFERROR(__xludf.DUMMYFUNCTION("IF(C1812&lt;&gt;"""",HYPERLINK(""https://wa.me/507""&amp;REGEXREPLACE(C1812,""[^0-9]"","""")&amp;""?text=""&amp;ENCODEURL(""Ya llegue. Codigo: ""&amp;A1812&amp;"". Ubicacion: ""&amp;""https://www.google.com/maps/search/?api=1&amp;query=""&amp;SUBSTITUTE(F1812,"" "","""")),""📲 Avisar al clien"&amp;"te""),"""")"),"")</f>
        <v/>
      </c>
      <c r="L1812" s="5" t="str">
        <f>IFERROR(__xludf.DUMMYFUNCTION("IF(C1812&lt;&gt;"""",""https://api.qrserver.com/v1/create-qr-code/?size=200x200&amp;data=""&amp;ENCODEURL(""https://wa.me/507""&amp;REGEXREPLACE(C1812,""[^0-9]"","""")&amp;""?text=""&amp;ENCODEURL(""Ya llegue. Codigo: ""&amp;A1812&amp;"". Ubicacion: ""&amp;""https://www.google.com/maps/search"&amp;"/?api=1&amp;query=""&amp;SUBSTITUTE(F1812,"" "",""""))),"""")"),"")</f>
        <v/>
      </c>
      <c r="M1812" s="5" t="str">
        <f t="shared" si="6"/>
        <v/>
      </c>
      <c r="N1812" s="5" t="str">
        <f>IFERROR(__xludf.DUMMYFUNCTION("IF(AND(F1812&lt;&gt;"""",REGEXMATCH(SUBSTITUTE(F1812,"" "",""""),""^-?\d+(\.\d+)?,-?\d+(\.\d+)?$""),VALUE(REGEXEXTRACT(SUBSTITUTE(F1812,"" "",""""),""^-?\d+(\.\d+)?""))&gt;=-90,VALUE(REGEXEXTRACT(SUBSTITUTE(F1812,"" "",""""),""^-?\d+(\.\d+)?""))&lt;=90,VALUE(REGEXEXT"&amp;"RACT(SUBSTITUTE(F1812,"" "",""""),""-?\d+(\.\d+)?$""))&gt;=-180,VALUE(REGEXEXTRACT(SUBSTITUTE(F1812,"" "",""""),""-?\d+(\.\d+)?$""))&lt;=180),""OK"",""REVISAR"")"),"#N/A")</f>
        <v>#N/A</v>
      </c>
    </row>
    <row r="1813" ht="15.75" customHeight="1">
      <c r="A1813" s="5" t="str">
        <f t="shared" si="1"/>
        <v>AD507-1811</v>
      </c>
      <c r="C1813" s="5"/>
      <c r="F1813" s="5"/>
      <c r="G1813" s="5" t="str">
        <f t="shared" si="2"/>
        <v/>
      </c>
      <c r="H1813" s="5" t="str">
        <f t="shared" si="3"/>
        <v/>
      </c>
      <c r="I1813" s="5" t="str">
        <f t="shared" si="4"/>
        <v/>
      </c>
      <c r="J1813" s="5" t="str">
        <f t="shared" si="5"/>
        <v/>
      </c>
      <c r="K1813" s="5" t="str">
        <f>IFERROR(__xludf.DUMMYFUNCTION("IF(C1813&lt;&gt;"""",HYPERLINK(""https://wa.me/507""&amp;REGEXREPLACE(C1813,""[^0-9]"","""")&amp;""?text=""&amp;ENCODEURL(""Ya llegue. Codigo: ""&amp;A1813&amp;"". Ubicacion: ""&amp;""https://www.google.com/maps/search/?api=1&amp;query=""&amp;SUBSTITUTE(F1813,"" "","""")),""📲 Avisar al clien"&amp;"te""),"""")"),"")</f>
        <v/>
      </c>
      <c r="L1813" s="5" t="str">
        <f>IFERROR(__xludf.DUMMYFUNCTION("IF(C1813&lt;&gt;"""",""https://api.qrserver.com/v1/create-qr-code/?size=200x200&amp;data=""&amp;ENCODEURL(""https://wa.me/507""&amp;REGEXREPLACE(C1813,""[^0-9]"","""")&amp;""?text=""&amp;ENCODEURL(""Ya llegue. Codigo: ""&amp;A1813&amp;"". Ubicacion: ""&amp;""https://www.google.com/maps/search"&amp;"/?api=1&amp;query=""&amp;SUBSTITUTE(F1813,"" "",""""))),"""")"),"")</f>
        <v/>
      </c>
      <c r="M1813" s="5" t="str">
        <f t="shared" si="6"/>
        <v/>
      </c>
      <c r="N1813" s="5" t="str">
        <f>IFERROR(__xludf.DUMMYFUNCTION("IF(AND(F1813&lt;&gt;"""",REGEXMATCH(SUBSTITUTE(F1813,"" "",""""),""^-?\d+(\.\d+)?,-?\d+(\.\d+)?$""),VALUE(REGEXEXTRACT(SUBSTITUTE(F1813,"" "",""""),""^-?\d+(\.\d+)?""))&gt;=-90,VALUE(REGEXEXTRACT(SUBSTITUTE(F1813,"" "",""""),""^-?\d+(\.\d+)?""))&lt;=90,VALUE(REGEXEXT"&amp;"RACT(SUBSTITUTE(F1813,"" "",""""),""-?\d+(\.\d+)?$""))&gt;=-180,VALUE(REGEXEXTRACT(SUBSTITUTE(F1813,"" "",""""),""-?\d+(\.\d+)?$""))&lt;=180),""OK"",""REVISAR"")"),"#N/A")</f>
        <v>#N/A</v>
      </c>
    </row>
    <row r="1814" ht="15.75" customHeight="1">
      <c r="A1814" s="5" t="str">
        <f t="shared" si="1"/>
        <v>AD507-1812</v>
      </c>
      <c r="C1814" s="5"/>
      <c r="F1814" s="5"/>
      <c r="G1814" s="5" t="str">
        <f t="shared" si="2"/>
        <v/>
      </c>
      <c r="H1814" s="5" t="str">
        <f t="shared" si="3"/>
        <v/>
      </c>
      <c r="I1814" s="5" t="str">
        <f t="shared" si="4"/>
        <v/>
      </c>
      <c r="J1814" s="5" t="str">
        <f t="shared" si="5"/>
        <v/>
      </c>
      <c r="K1814" s="5" t="str">
        <f>IFERROR(__xludf.DUMMYFUNCTION("IF(C1814&lt;&gt;"""",HYPERLINK(""https://wa.me/507""&amp;REGEXREPLACE(C1814,""[^0-9]"","""")&amp;""?text=""&amp;ENCODEURL(""Ya llegue. Codigo: ""&amp;A1814&amp;"". Ubicacion: ""&amp;""https://www.google.com/maps/search/?api=1&amp;query=""&amp;SUBSTITUTE(F1814,"" "","""")),""📲 Avisar al clien"&amp;"te""),"""")"),"")</f>
        <v/>
      </c>
      <c r="L1814" s="5" t="str">
        <f>IFERROR(__xludf.DUMMYFUNCTION("IF(C1814&lt;&gt;"""",""https://api.qrserver.com/v1/create-qr-code/?size=200x200&amp;data=""&amp;ENCODEURL(""https://wa.me/507""&amp;REGEXREPLACE(C1814,""[^0-9]"","""")&amp;""?text=""&amp;ENCODEURL(""Ya llegue. Codigo: ""&amp;A1814&amp;"". Ubicacion: ""&amp;""https://www.google.com/maps/search"&amp;"/?api=1&amp;query=""&amp;SUBSTITUTE(F1814,"" "",""""))),"""")"),"")</f>
        <v/>
      </c>
      <c r="M1814" s="5" t="str">
        <f t="shared" si="6"/>
        <v/>
      </c>
      <c r="N1814" s="5" t="str">
        <f>IFERROR(__xludf.DUMMYFUNCTION("IF(AND(F1814&lt;&gt;"""",REGEXMATCH(SUBSTITUTE(F1814,"" "",""""),""^-?\d+(\.\d+)?,-?\d+(\.\d+)?$""),VALUE(REGEXEXTRACT(SUBSTITUTE(F1814,"" "",""""),""^-?\d+(\.\d+)?""))&gt;=-90,VALUE(REGEXEXTRACT(SUBSTITUTE(F1814,"" "",""""),""^-?\d+(\.\d+)?""))&lt;=90,VALUE(REGEXEXT"&amp;"RACT(SUBSTITUTE(F1814,"" "",""""),""-?\d+(\.\d+)?$""))&gt;=-180,VALUE(REGEXEXTRACT(SUBSTITUTE(F1814,"" "",""""),""-?\d+(\.\d+)?$""))&lt;=180),""OK"",""REVISAR"")"),"#N/A")</f>
        <v>#N/A</v>
      </c>
    </row>
    <row r="1815" ht="15.75" customHeight="1">
      <c r="A1815" s="5" t="str">
        <f t="shared" si="1"/>
        <v>AD507-1813</v>
      </c>
      <c r="C1815" s="5"/>
      <c r="F1815" s="5"/>
      <c r="G1815" s="5" t="str">
        <f t="shared" si="2"/>
        <v/>
      </c>
      <c r="H1815" s="5" t="str">
        <f t="shared" si="3"/>
        <v/>
      </c>
      <c r="I1815" s="5" t="str">
        <f t="shared" si="4"/>
        <v/>
      </c>
      <c r="J1815" s="5" t="str">
        <f t="shared" si="5"/>
        <v/>
      </c>
      <c r="K1815" s="5" t="str">
        <f>IFERROR(__xludf.DUMMYFUNCTION("IF(C1815&lt;&gt;"""",HYPERLINK(""https://wa.me/507""&amp;REGEXREPLACE(C1815,""[^0-9]"","""")&amp;""?text=""&amp;ENCODEURL(""Ya llegue. Codigo: ""&amp;A1815&amp;"". Ubicacion: ""&amp;""https://www.google.com/maps/search/?api=1&amp;query=""&amp;SUBSTITUTE(F1815,"" "","""")),""📲 Avisar al clien"&amp;"te""),"""")"),"")</f>
        <v/>
      </c>
      <c r="L1815" s="5" t="str">
        <f>IFERROR(__xludf.DUMMYFUNCTION("IF(C1815&lt;&gt;"""",""https://api.qrserver.com/v1/create-qr-code/?size=200x200&amp;data=""&amp;ENCODEURL(""https://wa.me/507""&amp;REGEXREPLACE(C1815,""[^0-9]"","""")&amp;""?text=""&amp;ENCODEURL(""Ya llegue. Codigo: ""&amp;A1815&amp;"". Ubicacion: ""&amp;""https://www.google.com/maps/search"&amp;"/?api=1&amp;query=""&amp;SUBSTITUTE(F1815,"" "",""""))),"""")"),"")</f>
        <v/>
      </c>
      <c r="M1815" s="5" t="str">
        <f t="shared" si="6"/>
        <v/>
      </c>
      <c r="N1815" s="5" t="str">
        <f>IFERROR(__xludf.DUMMYFUNCTION("IF(AND(F1815&lt;&gt;"""",REGEXMATCH(SUBSTITUTE(F1815,"" "",""""),""^-?\d+(\.\d+)?,-?\d+(\.\d+)?$""),VALUE(REGEXEXTRACT(SUBSTITUTE(F1815,"" "",""""),""^-?\d+(\.\d+)?""))&gt;=-90,VALUE(REGEXEXTRACT(SUBSTITUTE(F1815,"" "",""""),""^-?\d+(\.\d+)?""))&lt;=90,VALUE(REGEXEXT"&amp;"RACT(SUBSTITUTE(F1815,"" "",""""),""-?\d+(\.\d+)?$""))&gt;=-180,VALUE(REGEXEXTRACT(SUBSTITUTE(F1815,"" "",""""),""-?\d+(\.\d+)?$""))&lt;=180),""OK"",""REVISAR"")"),"#N/A")</f>
        <v>#N/A</v>
      </c>
    </row>
    <row r="1816" ht="15.75" customHeight="1">
      <c r="A1816" s="5" t="str">
        <f t="shared" si="1"/>
        <v>AD507-1814</v>
      </c>
      <c r="C1816" s="5"/>
      <c r="F1816" s="5"/>
      <c r="G1816" s="5" t="str">
        <f t="shared" si="2"/>
        <v/>
      </c>
      <c r="H1816" s="5" t="str">
        <f t="shared" si="3"/>
        <v/>
      </c>
      <c r="I1816" s="5" t="str">
        <f t="shared" si="4"/>
        <v/>
      </c>
      <c r="J1816" s="5" t="str">
        <f t="shared" si="5"/>
        <v/>
      </c>
      <c r="K1816" s="5" t="str">
        <f>IFERROR(__xludf.DUMMYFUNCTION("IF(C1816&lt;&gt;"""",HYPERLINK(""https://wa.me/507""&amp;REGEXREPLACE(C1816,""[^0-9]"","""")&amp;""?text=""&amp;ENCODEURL(""Ya llegue. Codigo: ""&amp;A1816&amp;"". Ubicacion: ""&amp;""https://www.google.com/maps/search/?api=1&amp;query=""&amp;SUBSTITUTE(F1816,"" "","""")),""📲 Avisar al clien"&amp;"te""),"""")"),"")</f>
        <v/>
      </c>
      <c r="L1816" s="5" t="str">
        <f>IFERROR(__xludf.DUMMYFUNCTION("IF(C1816&lt;&gt;"""",""https://api.qrserver.com/v1/create-qr-code/?size=200x200&amp;data=""&amp;ENCODEURL(""https://wa.me/507""&amp;REGEXREPLACE(C1816,""[^0-9]"","""")&amp;""?text=""&amp;ENCODEURL(""Ya llegue. Codigo: ""&amp;A1816&amp;"". Ubicacion: ""&amp;""https://www.google.com/maps/search"&amp;"/?api=1&amp;query=""&amp;SUBSTITUTE(F1816,"" "",""""))),"""")"),"")</f>
        <v/>
      </c>
      <c r="M1816" s="5" t="str">
        <f t="shared" si="6"/>
        <v/>
      </c>
      <c r="N1816" s="5" t="str">
        <f>IFERROR(__xludf.DUMMYFUNCTION("IF(AND(F1816&lt;&gt;"""",REGEXMATCH(SUBSTITUTE(F1816,"" "",""""),""^-?\d+(\.\d+)?,-?\d+(\.\d+)?$""),VALUE(REGEXEXTRACT(SUBSTITUTE(F1816,"" "",""""),""^-?\d+(\.\d+)?""))&gt;=-90,VALUE(REGEXEXTRACT(SUBSTITUTE(F1816,"" "",""""),""^-?\d+(\.\d+)?""))&lt;=90,VALUE(REGEXEXT"&amp;"RACT(SUBSTITUTE(F1816,"" "",""""),""-?\d+(\.\d+)?$""))&gt;=-180,VALUE(REGEXEXTRACT(SUBSTITUTE(F1816,"" "",""""),""-?\d+(\.\d+)?$""))&lt;=180),""OK"",""REVISAR"")"),"#N/A")</f>
        <v>#N/A</v>
      </c>
    </row>
    <row r="1817" ht="15.75" customHeight="1">
      <c r="A1817" s="5" t="str">
        <f t="shared" si="1"/>
        <v>AD507-1815</v>
      </c>
      <c r="C1817" s="5"/>
      <c r="F1817" s="5"/>
      <c r="G1817" s="5" t="str">
        <f t="shared" si="2"/>
        <v/>
      </c>
      <c r="H1817" s="5" t="str">
        <f t="shared" si="3"/>
        <v/>
      </c>
      <c r="I1817" s="5" t="str">
        <f t="shared" si="4"/>
        <v/>
      </c>
      <c r="J1817" s="5" t="str">
        <f t="shared" si="5"/>
        <v/>
      </c>
      <c r="K1817" s="5" t="str">
        <f>IFERROR(__xludf.DUMMYFUNCTION("IF(C1817&lt;&gt;"""",HYPERLINK(""https://wa.me/507""&amp;REGEXREPLACE(C1817,""[^0-9]"","""")&amp;""?text=""&amp;ENCODEURL(""Ya llegue. Codigo: ""&amp;A1817&amp;"". Ubicacion: ""&amp;""https://www.google.com/maps/search/?api=1&amp;query=""&amp;SUBSTITUTE(F1817,"" "","""")),""📲 Avisar al clien"&amp;"te""),"""")"),"")</f>
        <v/>
      </c>
      <c r="L1817" s="5" t="str">
        <f>IFERROR(__xludf.DUMMYFUNCTION("IF(C1817&lt;&gt;"""",""https://api.qrserver.com/v1/create-qr-code/?size=200x200&amp;data=""&amp;ENCODEURL(""https://wa.me/507""&amp;REGEXREPLACE(C1817,""[^0-9]"","""")&amp;""?text=""&amp;ENCODEURL(""Ya llegue. Codigo: ""&amp;A1817&amp;"". Ubicacion: ""&amp;""https://www.google.com/maps/search"&amp;"/?api=1&amp;query=""&amp;SUBSTITUTE(F1817,"" "",""""))),"""")"),"")</f>
        <v/>
      </c>
      <c r="M1817" s="5" t="str">
        <f t="shared" si="6"/>
        <v/>
      </c>
      <c r="N1817" s="5" t="str">
        <f>IFERROR(__xludf.DUMMYFUNCTION("IF(AND(F1817&lt;&gt;"""",REGEXMATCH(SUBSTITUTE(F1817,"" "",""""),""^-?\d+(\.\d+)?,-?\d+(\.\d+)?$""),VALUE(REGEXEXTRACT(SUBSTITUTE(F1817,"" "",""""),""^-?\d+(\.\d+)?""))&gt;=-90,VALUE(REGEXEXTRACT(SUBSTITUTE(F1817,"" "",""""),""^-?\d+(\.\d+)?""))&lt;=90,VALUE(REGEXEXT"&amp;"RACT(SUBSTITUTE(F1817,"" "",""""),""-?\d+(\.\d+)?$""))&gt;=-180,VALUE(REGEXEXTRACT(SUBSTITUTE(F1817,"" "",""""),""-?\d+(\.\d+)?$""))&lt;=180),""OK"",""REVISAR"")"),"#N/A")</f>
        <v>#N/A</v>
      </c>
    </row>
    <row r="1818" ht="15.75" customHeight="1">
      <c r="A1818" s="5" t="str">
        <f t="shared" si="1"/>
        <v>AD507-1816</v>
      </c>
      <c r="C1818" s="5"/>
      <c r="F1818" s="5"/>
      <c r="G1818" s="5" t="str">
        <f t="shared" si="2"/>
        <v/>
      </c>
      <c r="H1818" s="5" t="str">
        <f t="shared" si="3"/>
        <v/>
      </c>
      <c r="I1818" s="5" t="str">
        <f t="shared" si="4"/>
        <v/>
      </c>
      <c r="J1818" s="5" t="str">
        <f t="shared" si="5"/>
        <v/>
      </c>
      <c r="K1818" s="5" t="str">
        <f>IFERROR(__xludf.DUMMYFUNCTION("IF(C1818&lt;&gt;"""",HYPERLINK(""https://wa.me/507""&amp;REGEXREPLACE(C1818,""[^0-9]"","""")&amp;""?text=""&amp;ENCODEURL(""Ya llegue. Codigo: ""&amp;A1818&amp;"". Ubicacion: ""&amp;""https://www.google.com/maps/search/?api=1&amp;query=""&amp;SUBSTITUTE(F1818,"" "","""")),""📲 Avisar al clien"&amp;"te""),"""")"),"")</f>
        <v/>
      </c>
      <c r="L1818" s="5" t="str">
        <f>IFERROR(__xludf.DUMMYFUNCTION("IF(C1818&lt;&gt;"""",""https://api.qrserver.com/v1/create-qr-code/?size=200x200&amp;data=""&amp;ENCODEURL(""https://wa.me/507""&amp;REGEXREPLACE(C1818,""[^0-9]"","""")&amp;""?text=""&amp;ENCODEURL(""Ya llegue. Codigo: ""&amp;A1818&amp;"". Ubicacion: ""&amp;""https://www.google.com/maps/search"&amp;"/?api=1&amp;query=""&amp;SUBSTITUTE(F1818,"" "",""""))),"""")"),"")</f>
        <v/>
      </c>
      <c r="M1818" s="5" t="str">
        <f t="shared" si="6"/>
        <v/>
      </c>
      <c r="N1818" s="5" t="str">
        <f>IFERROR(__xludf.DUMMYFUNCTION("IF(AND(F1818&lt;&gt;"""",REGEXMATCH(SUBSTITUTE(F1818,"" "",""""),""^-?\d+(\.\d+)?,-?\d+(\.\d+)?$""),VALUE(REGEXEXTRACT(SUBSTITUTE(F1818,"" "",""""),""^-?\d+(\.\d+)?""))&gt;=-90,VALUE(REGEXEXTRACT(SUBSTITUTE(F1818,"" "",""""),""^-?\d+(\.\d+)?""))&lt;=90,VALUE(REGEXEXT"&amp;"RACT(SUBSTITUTE(F1818,"" "",""""),""-?\d+(\.\d+)?$""))&gt;=-180,VALUE(REGEXEXTRACT(SUBSTITUTE(F1818,"" "",""""),""-?\d+(\.\d+)?$""))&lt;=180),""OK"",""REVISAR"")"),"#N/A")</f>
        <v>#N/A</v>
      </c>
    </row>
    <row r="1819" ht="15.75" customHeight="1">
      <c r="A1819" s="5" t="str">
        <f t="shared" si="1"/>
        <v>AD507-1817</v>
      </c>
      <c r="C1819" s="5"/>
      <c r="F1819" s="5"/>
      <c r="G1819" s="5" t="str">
        <f t="shared" si="2"/>
        <v/>
      </c>
      <c r="H1819" s="5" t="str">
        <f t="shared" si="3"/>
        <v/>
      </c>
      <c r="I1819" s="5" t="str">
        <f t="shared" si="4"/>
        <v/>
      </c>
      <c r="J1819" s="5" t="str">
        <f t="shared" si="5"/>
        <v/>
      </c>
      <c r="K1819" s="5" t="str">
        <f>IFERROR(__xludf.DUMMYFUNCTION("IF(C1819&lt;&gt;"""",HYPERLINK(""https://wa.me/507""&amp;REGEXREPLACE(C1819,""[^0-9]"","""")&amp;""?text=""&amp;ENCODEURL(""Ya llegue. Codigo: ""&amp;A1819&amp;"". Ubicacion: ""&amp;""https://www.google.com/maps/search/?api=1&amp;query=""&amp;SUBSTITUTE(F1819,"" "","""")),""📲 Avisar al clien"&amp;"te""),"""")"),"")</f>
        <v/>
      </c>
      <c r="L1819" s="5" t="str">
        <f>IFERROR(__xludf.DUMMYFUNCTION("IF(C1819&lt;&gt;"""",""https://api.qrserver.com/v1/create-qr-code/?size=200x200&amp;data=""&amp;ENCODEURL(""https://wa.me/507""&amp;REGEXREPLACE(C1819,""[^0-9]"","""")&amp;""?text=""&amp;ENCODEURL(""Ya llegue. Codigo: ""&amp;A1819&amp;"". Ubicacion: ""&amp;""https://www.google.com/maps/search"&amp;"/?api=1&amp;query=""&amp;SUBSTITUTE(F1819,"" "",""""))),"""")"),"")</f>
        <v/>
      </c>
      <c r="M1819" s="5" t="str">
        <f t="shared" si="6"/>
        <v/>
      </c>
      <c r="N1819" s="5" t="str">
        <f>IFERROR(__xludf.DUMMYFUNCTION("IF(AND(F1819&lt;&gt;"""",REGEXMATCH(SUBSTITUTE(F1819,"" "",""""),""^-?\d+(\.\d+)?,-?\d+(\.\d+)?$""),VALUE(REGEXEXTRACT(SUBSTITUTE(F1819,"" "",""""),""^-?\d+(\.\d+)?""))&gt;=-90,VALUE(REGEXEXTRACT(SUBSTITUTE(F1819,"" "",""""),""^-?\d+(\.\d+)?""))&lt;=90,VALUE(REGEXEXT"&amp;"RACT(SUBSTITUTE(F1819,"" "",""""),""-?\d+(\.\d+)?$""))&gt;=-180,VALUE(REGEXEXTRACT(SUBSTITUTE(F1819,"" "",""""),""-?\d+(\.\d+)?$""))&lt;=180),""OK"",""REVISAR"")"),"#N/A")</f>
        <v>#N/A</v>
      </c>
    </row>
    <row r="1820" ht="15.75" customHeight="1">
      <c r="A1820" s="5" t="str">
        <f t="shared" si="1"/>
        <v>AD507-1818</v>
      </c>
      <c r="C1820" s="5"/>
      <c r="F1820" s="5"/>
      <c r="G1820" s="5" t="str">
        <f t="shared" si="2"/>
        <v/>
      </c>
      <c r="H1820" s="5" t="str">
        <f t="shared" si="3"/>
        <v/>
      </c>
      <c r="I1820" s="5" t="str">
        <f t="shared" si="4"/>
        <v/>
      </c>
      <c r="J1820" s="5" t="str">
        <f t="shared" si="5"/>
        <v/>
      </c>
      <c r="K1820" s="5" t="str">
        <f>IFERROR(__xludf.DUMMYFUNCTION("IF(C1820&lt;&gt;"""",HYPERLINK(""https://wa.me/507""&amp;REGEXREPLACE(C1820,""[^0-9]"","""")&amp;""?text=""&amp;ENCODEURL(""Ya llegue. Codigo: ""&amp;A1820&amp;"". Ubicacion: ""&amp;""https://www.google.com/maps/search/?api=1&amp;query=""&amp;SUBSTITUTE(F1820,"" "","""")),""📲 Avisar al clien"&amp;"te""),"""")"),"")</f>
        <v/>
      </c>
      <c r="L1820" s="5" t="str">
        <f>IFERROR(__xludf.DUMMYFUNCTION("IF(C1820&lt;&gt;"""",""https://api.qrserver.com/v1/create-qr-code/?size=200x200&amp;data=""&amp;ENCODEURL(""https://wa.me/507""&amp;REGEXREPLACE(C1820,""[^0-9]"","""")&amp;""?text=""&amp;ENCODEURL(""Ya llegue. Codigo: ""&amp;A1820&amp;"". Ubicacion: ""&amp;""https://www.google.com/maps/search"&amp;"/?api=1&amp;query=""&amp;SUBSTITUTE(F1820,"" "",""""))),"""")"),"")</f>
        <v/>
      </c>
      <c r="M1820" s="5" t="str">
        <f t="shared" si="6"/>
        <v/>
      </c>
      <c r="N1820" s="5" t="str">
        <f>IFERROR(__xludf.DUMMYFUNCTION("IF(AND(F1820&lt;&gt;"""",REGEXMATCH(SUBSTITUTE(F1820,"" "",""""),""^-?\d+(\.\d+)?,-?\d+(\.\d+)?$""),VALUE(REGEXEXTRACT(SUBSTITUTE(F1820,"" "",""""),""^-?\d+(\.\d+)?""))&gt;=-90,VALUE(REGEXEXTRACT(SUBSTITUTE(F1820,"" "",""""),""^-?\d+(\.\d+)?""))&lt;=90,VALUE(REGEXEXT"&amp;"RACT(SUBSTITUTE(F1820,"" "",""""),""-?\d+(\.\d+)?$""))&gt;=-180,VALUE(REGEXEXTRACT(SUBSTITUTE(F1820,"" "",""""),""-?\d+(\.\d+)?$""))&lt;=180),""OK"",""REVISAR"")"),"#N/A")</f>
        <v>#N/A</v>
      </c>
    </row>
    <row r="1821" ht="15.75" customHeight="1">
      <c r="A1821" s="5" t="str">
        <f t="shared" si="1"/>
        <v>AD507-1819</v>
      </c>
      <c r="C1821" s="5"/>
      <c r="F1821" s="5"/>
      <c r="G1821" s="5" t="str">
        <f t="shared" si="2"/>
        <v/>
      </c>
      <c r="H1821" s="5" t="str">
        <f t="shared" si="3"/>
        <v/>
      </c>
      <c r="I1821" s="5" t="str">
        <f t="shared" si="4"/>
        <v/>
      </c>
      <c r="J1821" s="5" t="str">
        <f t="shared" si="5"/>
        <v/>
      </c>
      <c r="K1821" s="5" t="str">
        <f>IFERROR(__xludf.DUMMYFUNCTION("IF(C1821&lt;&gt;"""",HYPERLINK(""https://wa.me/507""&amp;REGEXREPLACE(C1821,""[^0-9]"","""")&amp;""?text=""&amp;ENCODEURL(""Ya llegue. Codigo: ""&amp;A1821&amp;"". Ubicacion: ""&amp;""https://www.google.com/maps/search/?api=1&amp;query=""&amp;SUBSTITUTE(F1821,"" "","""")),""📲 Avisar al clien"&amp;"te""),"""")"),"")</f>
        <v/>
      </c>
      <c r="L1821" s="5" t="str">
        <f>IFERROR(__xludf.DUMMYFUNCTION("IF(C1821&lt;&gt;"""",""https://api.qrserver.com/v1/create-qr-code/?size=200x200&amp;data=""&amp;ENCODEURL(""https://wa.me/507""&amp;REGEXREPLACE(C1821,""[^0-9]"","""")&amp;""?text=""&amp;ENCODEURL(""Ya llegue. Codigo: ""&amp;A1821&amp;"". Ubicacion: ""&amp;""https://www.google.com/maps/search"&amp;"/?api=1&amp;query=""&amp;SUBSTITUTE(F1821,"" "",""""))),"""")"),"")</f>
        <v/>
      </c>
      <c r="M1821" s="5" t="str">
        <f t="shared" si="6"/>
        <v/>
      </c>
      <c r="N1821" s="5" t="str">
        <f>IFERROR(__xludf.DUMMYFUNCTION("IF(AND(F1821&lt;&gt;"""",REGEXMATCH(SUBSTITUTE(F1821,"" "",""""),""^-?\d+(\.\d+)?,-?\d+(\.\d+)?$""),VALUE(REGEXEXTRACT(SUBSTITUTE(F1821,"" "",""""),""^-?\d+(\.\d+)?""))&gt;=-90,VALUE(REGEXEXTRACT(SUBSTITUTE(F1821,"" "",""""),""^-?\d+(\.\d+)?""))&lt;=90,VALUE(REGEXEXT"&amp;"RACT(SUBSTITUTE(F1821,"" "",""""),""-?\d+(\.\d+)?$""))&gt;=-180,VALUE(REGEXEXTRACT(SUBSTITUTE(F1821,"" "",""""),""-?\d+(\.\d+)?$""))&lt;=180),""OK"",""REVISAR"")"),"#N/A")</f>
        <v>#N/A</v>
      </c>
    </row>
    <row r="1822" ht="15.75" customHeight="1">
      <c r="A1822" s="5" t="str">
        <f t="shared" si="1"/>
        <v>AD507-1820</v>
      </c>
      <c r="C1822" s="5"/>
      <c r="F1822" s="5"/>
      <c r="G1822" s="5" t="str">
        <f t="shared" si="2"/>
        <v/>
      </c>
      <c r="H1822" s="5" t="str">
        <f t="shared" si="3"/>
        <v/>
      </c>
      <c r="I1822" s="5" t="str">
        <f t="shared" si="4"/>
        <v/>
      </c>
      <c r="J1822" s="5" t="str">
        <f t="shared" si="5"/>
        <v/>
      </c>
      <c r="K1822" s="5" t="str">
        <f>IFERROR(__xludf.DUMMYFUNCTION("IF(C1822&lt;&gt;"""",HYPERLINK(""https://wa.me/507""&amp;REGEXREPLACE(C1822,""[^0-9]"","""")&amp;""?text=""&amp;ENCODEURL(""Ya llegue. Codigo: ""&amp;A1822&amp;"". Ubicacion: ""&amp;""https://www.google.com/maps/search/?api=1&amp;query=""&amp;SUBSTITUTE(F1822,"" "","""")),""📲 Avisar al clien"&amp;"te""),"""")"),"")</f>
        <v/>
      </c>
      <c r="L1822" s="5" t="str">
        <f>IFERROR(__xludf.DUMMYFUNCTION("IF(C1822&lt;&gt;"""",""https://api.qrserver.com/v1/create-qr-code/?size=200x200&amp;data=""&amp;ENCODEURL(""https://wa.me/507""&amp;REGEXREPLACE(C1822,""[^0-9]"","""")&amp;""?text=""&amp;ENCODEURL(""Ya llegue. Codigo: ""&amp;A1822&amp;"". Ubicacion: ""&amp;""https://www.google.com/maps/search"&amp;"/?api=1&amp;query=""&amp;SUBSTITUTE(F1822,"" "",""""))),"""")"),"")</f>
        <v/>
      </c>
      <c r="M1822" s="5" t="str">
        <f t="shared" si="6"/>
        <v/>
      </c>
      <c r="N1822" s="5" t="str">
        <f>IFERROR(__xludf.DUMMYFUNCTION("IF(AND(F1822&lt;&gt;"""",REGEXMATCH(SUBSTITUTE(F1822,"" "",""""),""^-?\d+(\.\d+)?,-?\d+(\.\d+)?$""),VALUE(REGEXEXTRACT(SUBSTITUTE(F1822,"" "",""""),""^-?\d+(\.\d+)?""))&gt;=-90,VALUE(REGEXEXTRACT(SUBSTITUTE(F1822,"" "",""""),""^-?\d+(\.\d+)?""))&lt;=90,VALUE(REGEXEXT"&amp;"RACT(SUBSTITUTE(F1822,"" "",""""),""-?\d+(\.\d+)?$""))&gt;=-180,VALUE(REGEXEXTRACT(SUBSTITUTE(F1822,"" "",""""),""-?\d+(\.\d+)?$""))&lt;=180),""OK"",""REVISAR"")"),"#N/A")</f>
        <v>#N/A</v>
      </c>
    </row>
    <row r="1823" ht="15.75" customHeight="1">
      <c r="A1823" s="5" t="str">
        <f t="shared" si="1"/>
        <v>AD507-1821</v>
      </c>
      <c r="C1823" s="5"/>
      <c r="F1823" s="5"/>
      <c r="G1823" s="5" t="str">
        <f t="shared" si="2"/>
        <v/>
      </c>
      <c r="H1823" s="5" t="str">
        <f t="shared" si="3"/>
        <v/>
      </c>
      <c r="I1823" s="5" t="str">
        <f t="shared" si="4"/>
        <v/>
      </c>
      <c r="J1823" s="5" t="str">
        <f t="shared" si="5"/>
        <v/>
      </c>
      <c r="K1823" s="5" t="str">
        <f>IFERROR(__xludf.DUMMYFUNCTION("IF(C1823&lt;&gt;"""",HYPERLINK(""https://wa.me/507""&amp;REGEXREPLACE(C1823,""[^0-9]"","""")&amp;""?text=""&amp;ENCODEURL(""Ya llegue. Codigo: ""&amp;A1823&amp;"". Ubicacion: ""&amp;""https://www.google.com/maps/search/?api=1&amp;query=""&amp;SUBSTITUTE(F1823,"" "","""")),""📲 Avisar al clien"&amp;"te""),"""")"),"")</f>
        <v/>
      </c>
      <c r="L1823" s="5" t="str">
        <f>IFERROR(__xludf.DUMMYFUNCTION("IF(C1823&lt;&gt;"""",""https://api.qrserver.com/v1/create-qr-code/?size=200x200&amp;data=""&amp;ENCODEURL(""https://wa.me/507""&amp;REGEXREPLACE(C1823,""[^0-9]"","""")&amp;""?text=""&amp;ENCODEURL(""Ya llegue. Codigo: ""&amp;A1823&amp;"". Ubicacion: ""&amp;""https://www.google.com/maps/search"&amp;"/?api=1&amp;query=""&amp;SUBSTITUTE(F1823,"" "",""""))),"""")"),"")</f>
        <v/>
      </c>
      <c r="M1823" s="5" t="str">
        <f t="shared" si="6"/>
        <v/>
      </c>
      <c r="N1823" s="5" t="str">
        <f>IFERROR(__xludf.DUMMYFUNCTION("IF(AND(F1823&lt;&gt;"""",REGEXMATCH(SUBSTITUTE(F1823,"" "",""""),""^-?\d+(\.\d+)?,-?\d+(\.\d+)?$""),VALUE(REGEXEXTRACT(SUBSTITUTE(F1823,"" "",""""),""^-?\d+(\.\d+)?""))&gt;=-90,VALUE(REGEXEXTRACT(SUBSTITUTE(F1823,"" "",""""),""^-?\d+(\.\d+)?""))&lt;=90,VALUE(REGEXEXT"&amp;"RACT(SUBSTITUTE(F1823,"" "",""""),""-?\d+(\.\d+)?$""))&gt;=-180,VALUE(REGEXEXTRACT(SUBSTITUTE(F1823,"" "",""""),""-?\d+(\.\d+)?$""))&lt;=180),""OK"",""REVISAR"")"),"#N/A")</f>
        <v>#N/A</v>
      </c>
    </row>
    <row r="1824" ht="15.75" customHeight="1">
      <c r="A1824" s="5" t="str">
        <f t="shared" si="1"/>
        <v>AD507-1822</v>
      </c>
      <c r="C1824" s="5"/>
      <c r="F1824" s="5"/>
      <c r="G1824" s="5" t="str">
        <f t="shared" si="2"/>
        <v/>
      </c>
      <c r="H1824" s="5" t="str">
        <f t="shared" si="3"/>
        <v/>
      </c>
      <c r="I1824" s="5" t="str">
        <f t="shared" si="4"/>
        <v/>
      </c>
      <c r="J1824" s="5" t="str">
        <f t="shared" si="5"/>
        <v/>
      </c>
      <c r="K1824" s="5" t="str">
        <f>IFERROR(__xludf.DUMMYFUNCTION("IF(C1824&lt;&gt;"""",HYPERLINK(""https://wa.me/507""&amp;REGEXREPLACE(C1824,""[^0-9]"","""")&amp;""?text=""&amp;ENCODEURL(""Ya llegue. Codigo: ""&amp;A1824&amp;"". Ubicacion: ""&amp;""https://www.google.com/maps/search/?api=1&amp;query=""&amp;SUBSTITUTE(F1824,"" "","""")),""📲 Avisar al clien"&amp;"te""),"""")"),"")</f>
        <v/>
      </c>
      <c r="L1824" s="5" t="str">
        <f>IFERROR(__xludf.DUMMYFUNCTION("IF(C1824&lt;&gt;"""",""https://api.qrserver.com/v1/create-qr-code/?size=200x200&amp;data=""&amp;ENCODEURL(""https://wa.me/507""&amp;REGEXREPLACE(C1824,""[^0-9]"","""")&amp;""?text=""&amp;ENCODEURL(""Ya llegue. Codigo: ""&amp;A1824&amp;"". Ubicacion: ""&amp;""https://www.google.com/maps/search"&amp;"/?api=1&amp;query=""&amp;SUBSTITUTE(F1824,"" "",""""))),"""")"),"")</f>
        <v/>
      </c>
      <c r="M1824" s="5" t="str">
        <f t="shared" si="6"/>
        <v/>
      </c>
      <c r="N1824" s="5" t="str">
        <f>IFERROR(__xludf.DUMMYFUNCTION("IF(AND(F1824&lt;&gt;"""",REGEXMATCH(SUBSTITUTE(F1824,"" "",""""),""^-?\d+(\.\d+)?,-?\d+(\.\d+)?$""),VALUE(REGEXEXTRACT(SUBSTITUTE(F1824,"" "",""""),""^-?\d+(\.\d+)?""))&gt;=-90,VALUE(REGEXEXTRACT(SUBSTITUTE(F1824,"" "",""""),""^-?\d+(\.\d+)?""))&lt;=90,VALUE(REGEXEXT"&amp;"RACT(SUBSTITUTE(F1824,"" "",""""),""-?\d+(\.\d+)?$""))&gt;=-180,VALUE(REGEXEXTRACT(SUBSTITUTE(F1824,"" "",""""),""-?\d+(\.\d+)?$""))&lt;=180),""OK"",""REVISAR"")"),"#N/A")</f>
        <v>#N/A</v>
      </c>
    </row>
    <row r="1825" ht="15.75" customHeight="1">
      <c r="A1825" s="5" t="str">
        <f t="shared" si="1"/>
        <v>AD507-1823</v>
      </c>
      <c r="C1825" s="5"/>
      <c r="F1825" s="5"/>
      <c r="G1825" s="5" t="str">
        <f t="shared" si="2"/>
        <v/>
      </c>
      <c r="H1825" s="5" t="str">
        <f t="shared" si="3"/>
        <v/>
      </c>
      <c r="I1825" s="5" t="str">
        <f t="shared" si="4"/>
        <v/>
      </c>
      <c r="J1825" s="5" t="str">
        <f t="shared" si="5"/>
        <v/>
      </c>
      <c r="K1825" s="5" t="str">
        <f>IFERROR(__xludf.DUMMYFUNCTION("IF(C1825&lt;&gt;"""",HYPERLINK(""https://wa.me/507""&amp;REGEXREPLACE(C1825,""[^0-9]"","""")&amp;""?text=""&amp;ENCODEURL(""Ya llegue. Codigo: ""&amp;A1825&amp;"". Ubicacion: ""&amp;""https://www.google.com/maps/search/?api=1&amp;query=""&amp;SUBSTITUTE(F1825,"" "","""")),""📲 Avisar al clien"&amp;"te""),"""")"),"")</f>
        <v/>
      </c>
      <c r="L1825" s="5" t="str">
        <f>IFERROR(__xludf.DUMMYFUNCTION("IF(C1825&lt;&gt;"""",""https://api.qrserver.com/v1/create-qr-code/?size=200x200&amp;data=""&amp;ENCODEURL(""https://wa.me/507""&amp;REGEXREPLACE(C1825,""[^0-9]"","""")&amp;""?text=""&amp;ENCODEURL(""Ya llegue. Codigo: ""&amp;A1825&amp;"". Ubicacion: ""&amp;""https://www.google.com/maps/search"&amp;"/?api=1&amp;query=""&amp;SUBSTITUTE(F1825,"" "",""""))),"""")"),"")</f>
        <v/>
      </c>
      <c r="M1825" s="5" t="str">
        <f t="shared" si="6"/>
        <v/>
      </c>
      <c r="N1825" s="5" t="str">
        <f>IFERROR(__xludf.DUMMYFUNCTION("IF(AND(F1825&lt;&gt;"""",REGEXMATCH(SUBSTITUTE(F1825,"" "",""""),""^-?\d+(\.\d+)?,-?\d+(\.\d+)?$""),VALUE(REGEXEXTRACT(SUBSTITUTE(F1825,"" "",""""),""^-?\d+(\.\d+)?""))&gt;=-90,VALUE(REGEXEXTRACT(SUBSTITUTE(F1825,"" "",""""),""^-?\d+(\.\d+)?""))&lt;=90,VALUE(REGEXEXT"&amp;"RACT(SUBSTITUTE(F1825,"" "",""""),""-?\d+(\.\d+)?$""))&gt;=-180,VALUE(REGEXEXTRACT(SUBSTITUTE(F1825,"" "",""""),""-?\d+(\.\d+)?$""))&lt;=180),""OK"",""REVISAR"")"),"#N/A")</f>
        <v>#N/A</v>
      </c>
    </row>
    <row r="1826" ht="15.75" customHeight="1">
      <c r="A1826" s="5" t="str">
        <f t="shared" si="1"/>
        <v>AD507-1824</v>
      </c>
      <c r="C1826" s="5"/>
      <c r="F1826" s="5"/>
      <c r="G1826" s="5" t="str">
        <f t="shared" si="2"/>
        <v/>
      </c>
      <c r="H1826" s="5" t="str">
        <f t="shared" si="3"/>
        <v/>
      </c>
      <c r="I1826" s="5" t="str">
        <f t="shared" si="4"/>
        <v/>
      </c>
      <c r="J1826" s="5" t="str">
        <f t="shared" si="5"/>
        <v/>
      </c>
      <c r="K1826" s="5" t="str">
        <f>IFERROR(__xludf.DUMMYFUNCTION("IF(C1826&lt;&gt;"""",HYPERLINK(""https://wa.me/507""&amp;REGEXREPLACE(C1826,""[^0-9]"","""")&amp;""?text=""&amp;ENCODEURL(""Ya llegue. Codigo: ""&amp;A1826&amp;"". Ubicacion: ""&amp;""https://www.google.com/maps/search/?api=1&amp;query=""&amp;SUBSTITUTE(F1826,"" "","""")),""📲 Avisar al clien"&amp;"te""),"""")"),"")</f>
        <v/>
      </c>
      <c r="L1826" s="5" t="str">
        <f>IFERROR(__xludf.DUMMYFUNCTION("IF(C1826&lt;&gt;"""",""https://api.qrserver.com/v1/create-qr-code/?size=200x200&amp;data=""&amp;ENCODEURL(""https://wa.me/507""&amp;REGEXREPLACE(C1826,""[^0-9]"","""")&amp;""?text=""&amp;ENCODEURL(""Ya llegue. Codigo: ""&amp;A1826&amp;"". Ubicacion: ""&amp;""https://www.google.com/maps/search"&amp;"/?api=1&amp;query=""&amp;SUBSTITUTE(F1826,"" "",""""))),"""")"),"")</f>
        <v/>
      </c>
      <c r="M1826" s="5" t="str">
        <f t="shared" si="6"/>
        <v/>
      </c>
      <c r="N1826" s="5" t="str">
        <f>IFERROR(__xludf.DUMMYFUNCTION("IF(AND(F1826&lt;&gt;"""",REGEXMATCH(SUBSTITUTE(F1826,"" "",""""),""^-?\d+(\.\d+)?,-?\d+(\.\d+)?$""),VALUE(REGEXEXTRACT(SUBSTITUTE(F1826,"" "",""""),""^-?\d+(\.\d+)?""))&gt;=-90,VALUE(REGEXEXTRACT(SUBSTITUTE(F1826,"" "",""""),""^-?\d+(\.\d+)?""))&lt;=90,VALUE(REGEXEXT"&amp;"RACT(SUBSTITUTE(F1826,"" "",""""),""-?\d+(\.\d+)?$""))&gt;=-180,VALUE(REGEXEXTRACT(SUBSTITUTE(F1826,"" "",""""),""-?\d+(\.\d+)?$""))&lt;=180),""OK"",""REVISAR"")"),"#N/A")</f>
        <v>#N/A</v>
      </c>
    </row>
    <row r="1827" ht="15.75" customHeight="1">
      <c r="A1827" s="5" t="str">
        <f t="shared" si="1"/>
        <v>AD507-1825</v>
      </c>
      <c r="C1827" s="5"/>
      <c r="F1827" s="5"/>
      <c r="G1827" s="5" t="str">
        <f t="shared" si="2"/>
        <v/>
      </c>
      <c r="H1827" s="5" t="str">
        <f t="shared" si="3"/>
        <v/>
      </c>
      <c r="I1827" s="5" t="str">
        <f t="shared" si="4"/>
        <v/>
      </c>
      <c r="J1827" s="5" t="str">
        <f t="shared" si="5"/>
        <v/>
      </c>
      <c r="K1827" s="5" t="str">
        <f>IFERROR(__xludf.DUMMYFUNCTION("IF(C1827&lt;&gt;"""",HYPERLINK(""https://wa.me/507""&amp;REGEXREPLACE(C1827,""[^0-9]"","""")&amp;""?text=""&amp;ENCODEURL(""Ya llegue. Codigo: ""&amp;A1827&amp;"". Ubicacion: ""&amp;""https://www.google.com/maps/search/?api=1&amp;query=""&amp;SUBSTITUTE(F1827,"" "","""")),""📲 Avisar al clien"&amp;"te""),"""")"),"")</f>
        <v/>
      </c>
      <c r="L1827" s="5" t="str">
        <f>IFERROR(__xludf.DUMMYFUNCTION("IF(C1827&lt;&gt;"""",""https://api.qrserver.com/v1/create-qr-code/?size=200x200&amp;data=""&amp;ENCODEURL(""https://wa.me/507""&amp;REGEXREPLACE(C1827,""[^0-9]"","""")&amp;""?text=""&amp;ENCODEURL(""Ya llegue. Codigo: ""&amp;A1827&amp;"". Ubicacion: ""&amp;""https://www.google.com/maps/search"&amp;"/?api=1&amp;query=""&amp;SUBSTITUTE(F1827,"" "",""""))),"""")"),"")</f>
        <v/>
      </c>
      <c r="M1827" s="5" t="str">
        <f t="shared" si="6"/>
        <v/>
      </c>
      <c r="N1827" s="5" t="str">
        <f>IFERROR(__xludf.DUMMYFUNCTION("IF(AND(F1827&lt;&gt;"""",REGEXMATCH(SUBSTITUTE(F1827,"" "",""""),""^-?\d+(\.\d+)?,-?\d+(\.\d+)?$""),VALUE(REGEXEXTRACT(SUBSTITUTE(F1827,"" "",""""),""^-?\d+(\.\d+)?""))&gt;=-90,VALUE(REGEXEXTRACT(SUBSTITUTE(F1827,"" "",""""),""^-?\d+(\.\d+)?""))&lt;=90,VALUE(REGEXEXT"&amp;"RACT(SUBSTITUTE(F1827,"" "",""""),""-?\d+(\.\d+)?$""))&gt;=-180,VALUE(REGEXEXTRACT(SUBSTITUTE(F1827,"" "",""""),""-?\d+(\.\d+)?$""))&lt;=180),""OK"",""REVISAR"")"),"#N/A")</f>
        <v>#N/A</v>
      </c>
    </row>
    <row r="1828" ht="15.75" customHeight="1">
      <c r="A1828" s="5" t="str">
        <f t="shared" si="1"/>
        <v>AD507-1826</v>
      </c>
      <c r="C1828" s="5"/>
      <c r="F1828" s="5"/>
      <c r="G1828" s="5" t="str">
        <f t="shared" si="2"/>
        <v/>
      </c>
      <c r="H1828" s="5" t="str">
        <f t="shared" si="3"/>
        <v/>
      </c>
      <c r="I1828" s="5" t="str">
        <f t="shared" si="4"/>
        <v/>
      </c>
      <c r="J1828" s="5" t="str">
        <f t="shared" si="5"/>
        <v/>
      </c>
      <c r="K1828" s="5" t="str">
        <f>IFERROR(__xludf.DUMMYFUNCTION("IF(C1828&lt;&gt;"""",HYPERLINK(""https://wa.me/507""&amp;REGEXREPLACE(C1828,""[^0-9]"","""")&amp;""?text=""&amp;ENCODEURL(""Ya llegue. Codigo: ""&amp;A1828&amp;"". Ubicacion: ""&amp;""https://www.google.com/maps/search/?api=1&amp;query=""&amp;SUBSTITUTE(F1828,"" "","""")),""📲 Avisar al clien"&amp;"te""),"""")"),"")</f>
        <v/>
      </c>
      <c r="L1828" s="5" t="str">
        <f>IFERROR(__xludf.DUMMYFUNCTION("IF(C1828&lt;&gt;"""",""https://api.qrserver.com/v1/create-qr-code/?size=200x200&amp;data=""&amp;ENCODEURL(""https://wa.me/507""&amp;REGEXREPLACE(C1828,""[^0-9]"","""")&amp;""?text=""&amp;ENCODEURL(""Ya llegue. Codigo: ""&amp;A1828&amp;"". Ubicacion: ""&amp;""https://www.google.com/maps/search"&amp;"/?api=1&amp;query=""&amp;SUBSTITUTE(F1828,"" "",""""))),"""")"),"")</f>
        <v/>
      </c>
      <c r="M1828" s="5" t="str">
        <f t="shared" si="6"/>
        <v/>
      </c>
      <c r="N1828" s="5" t="str">
        <f>IFERROR(__xludf.DUMMYFUNCTION("IF(AND(F1828&lt;&gt;"""",REGEXMATCH(SUBSTITUTE(F1828,"" "",""""),""^-?\d+(\.\d+)?,-?\d+(\.\d+)?$""),VALUE(REGEXEXTRACT(SUBSTITUTE(F1828,"" "",""""),""^-?\d+(\.\d+)?""))&gt;=-90,VALUE(REGEXEXTRACT(SUBSTITUTE(F1828,"" "",""""),""^-?\d+(\.\d+)?""))&lt;=90,VALUE(REGEXEXT"&amp;"RACT(SUBSTITUTE(F1828,"" "",""""),""-?\d+(\.\d+)?$""))&gt;=-180,VALUE(REGEXEXTRACT(SUBSTITUTE(F1828,"" "",""""),""-?\d+(\.\d+)?$""))&lt;=180),""OK"",""REVISAR"")"),"#N/A")</f>
        <v>#N/A</v>
      </c>
    </row>
    <row r="1829" ht="15.75" customHeight="1">
      <c r="A1829" s="5" t="str">
        <f t="shared" si="1"/>
        <v>AD507-1827</v>
      </c>
      <c r="C1829" s="5"/>
      <c r="F1829" s="5"/>
      <c r="G1829" s="5" t="str">
        <f t="shared" si="2"/>
        <v/>
      </c>
      <c r="H1829" s="5" t="str">
        <f t="shared" si="3"/>
        <v/>
      </c>
      <c r="I1829" s="5" t="str">
        <f t="shared" si="4"/>
        <v/>
      </c>
      <c r="J1829" s="5" t="str">
        <f t="shared" si="5"/>
        <v/>
      </c>
      <c r="K1829" s="5" t="str">
        <f>IFERROR(__xludf.DUMMYFUNCTION("IF(C1829&lt;&gt;"""",HYPERLINK(""https://wa.me/507""&amp;REGEXREPLACE(C1829,""[^0-9]"","""")&amp;""?text=""&amp;ENCODEURL(""Ya llegue. Codigo: ""&amp;A1829&amp;"". Ubicacion: ""&amp;""https://www.google.com/maps/search/?api=1&amp;query=""&amp;SUBSTITUTE(F1829,"" "","""")),""📲 Avisar al clien"&amp;"te""),"""")"),"")</f>
        <v/>
      </c>
      <c r="L1829" s="5" t="str">
        <f>IFERROR(__xludf.DUMMYFUNCTION("IF(C1829&lt;&gt;"""",""https://api.qrserver.com/v1/create-qr-code/?size=200x200&amp;data=""&amp;ENCODEURL(""https://wa.me/507""&amp;REGEXREPLACE(C1829,""[^0-9]"","""")&amp;""?text=""&amp;ENCODEURL(""Ya llegue. Codigo: ""&amp;A1829&amp;"". Ubicacion: ""&amp;""https://www.google.com/maps/search"&amp;"/?api=1&amp;query=""&amp;SUBSTITUTE(F1829,"" "",""""))),"""")"),"")</f>
        <v/>
      </c>
      <c r="M1829" s="5" t="str">
        <f t="shared" si="6"/>
        <v/>
      </c>
      <c r="N1829" s="5" t="str">
        <f>IFERROR(__xludf.DUMMYFUNCTION("IF(AND(F1829&lt;&gt;"""",REGEXMATCH(SUBSTITUTE(F1829,"" "",""""),""^-?\d+(\.\d+)?,-?\d+(\.\d+)?$""),VALUE(REGEXEXTRACT(SUBSTITUTE(F1829,"" "",""""),""^-?\d+(\.\d+)?""))&gt;=-90,VALUE(REGEXEXTRACT(SUBSTITUTE(F1829,"" "",""""),""^-?\d+(\.\d+)?""))&lt;=90,VALUE(REGEXEXT"&amp;"RACT(SUBSTITUTE(F1829,"" "",""""),""-?\d+(\.\d+)?$""))&gt;=-180,VALUE(REGEXEXTRACT(SUBSTITUTE(F1829,"" "",""""),""-?\d+(\.\d+)?$""))&lt;=180),""OK"",""REVISAR"")"),"#N/A")</f>
        <v>#N/A</v>
      </c>
    </row>
    <row r="1830" ht="15.75" customHeight="1">
      <c r="A1830" s="5" t="str">
        <f t="shared" si="1"/>
        <v>AD507-1828</v>
      </c>
      <c r="C1830" s="5"/>
      <c r="F1830" s="5"/>
      <c r="G1830" s="5" t="str">
        <f t="shared" si="2"/>
        <v/>
      </c>
      <c r="H1830" s="5" t="str">
        <f t="shared" si="3"/>
        <v/>
      </c>
      <c r="I1830" s="5" t="str">
        <f t="shared" si="4"/>
        <v/>
      </c>
      <c r="J1830" s="5" t="str">
        <f t="shared" si="5"/>
        <v/>
      </c>
      <c r="K1830" s="5" t="str">
        <f>IFERROR(__xludf.DUMMYFUNCTION("IF(C1830&lt;&gt;"""",HYPERLINK(""https://wa.me/507""&amp;REGEXREPLACE(C1830,""[^0-9]"","""")&amp;""?text=""&amp;ENCODEURL(""Ya llegue. Codigo: ""&amp;A1830&amp;"". Ubicacion: ""&amp;""https://www.google.com/maps/search/?api=1&amp;query=""&amp;SUBSTITUTE(F1830,"" "","""")),""📲 Avisar al clien"&amp;"te""),"""")"),"")</f>
        <v/>
      </c>
      <c r="L1830" s="5" t="str">
        <f>IFERROR(__xludf.DUMMYFUNCTION("IF(C1830&lt;&gt;"""",""https://api.qrserver.com/v1/create-qr-code/?size=200x200&amp;data=""&amp;ENCODEURL(""https://wa.me/507""&amp;REGEXREPLACE(C1830,""[^0-9]"","""")&amp;""?text=""&amp;ENCODEURL(""Ya llegue. Codigo: ""&amp;A1830&amp;"". Ubicacion: ""&amp;""https://www.google.com/maps/search"&amp;"/?api=1&amp;query=""&amp;SUBSTITUTE(F1830,"" "",""""))),"""")"),"")</f>
        <v/>
      </c>
      <c r="M1830" s="5" t="str">
        <f t="shared" si="6"/>
        <v/>
      </c>
      <c r="N1830" s="5" t="str">
        <f>IFERROR(__xludf.DUMMYFUNCTION("IF(AND(F1830&lt;&gt;"""",REGEXMATCH(SUBSTITUTE(F1830,"" "",""""),""^-?\d+(\.\d+)?,-?\d+(\.\d+)?$""),VALUE(REGEXEXTRACT(SUBSTITUTE(F1830,"" "",""""),""^-?\d+(\.\d+)?""))&gt;=-90,VALUE(REGEXEXTRACT(SUBSTITUTE(F1830,"" "",""""),""^-?\d+(\.\d+)?""))&lt;=90,VALUE(REGEXEXT"&amp;"RACT(SUBSTITUTE(F1830,"" "",""""),""-?\d+(\.\d+)?$""))&gt;=-180,VALUE(REGEXEXTRACT(SUBSTITUTE(F1830,"" "",""""),""-?\d+(\.\d+)?$""))&lt;=180),""OK"",""REVISAR"")"),"#N/A")</f>
        <v>#N/A</v>
      </c>
    </row>
    <row r="1831" ht="15.75" customHeight="1">
      <c r="A1831" s="5" t="str">
        <f t="shared" si="1"/>
        <v>AD507-1829</v>
      </c>
      <c r="C1831" s="5"/>
      <c r="F1831" s="5"/>
      <c r="G1831" s="5" t="str">
        <f t="shared" si="2"/>
        <v/>
      </c>
      <c r="H1831" s="5" t="str">
        <f t="shared" si="3"/>
        <v/>
      </c>
      <c r="I1831" s="5" t="str">
        <f t="shared" si="4"/>
        <v/>
      </c>
      <c r="J1831" s="5" t="str">
        <f t="shared" si="5"/>
        <v/>
      </c>
      <c r="K1831" s="5" t="str">
        <f>IFERROR(__xludf.DUMMYFUNCTION("IF(C1831&lt;&gt;"""",HYPERLINK(""https://wa.me/507""&amp;REGEXREPLACE(C1831,""[^0-9]"","""")&amp;""?text=""&amp;ENCODEURL(""Ya llegue. Codigo: ""&amp;A1831&amp;"". Ubicacion: ""&amp;""https://www.google.com/maps/search/?api=1&amp;query=""&amp;SUBSTITUTE(F1831,"" "","""")),""📲 Avisar al clien"&amp;"te""),"""")"),"")</f>
        <v/>
      </c>
      <c r="L1831" s="5" t="str">
        <f>IFERROR(__xludf.DUMMYFUNCTION("IF(C1831&lt;&gt;"""",""https://api.qrserver.com/v1/create-qr-code/?size=200x200&amp;data=""&amp;ENCODEURL(""https://wa.me/507""&amp;REGEXREPLACE(C1831,""[^0-9]"","""")&amp;""?text=""&amp;ENCODEURL(""Ya llegue. Codigo: ""&amp;A1831&amp;"". Ubicacion: ""&amp;""https://www.google.com/maps/search"&amp;"/?api=1&amp;query=""&amp;SUBSTITUTE(F1831,"" "",""""))),"""")"),"")</f>
        <v/>
      </c>
      <c r="M1831" s="5" t="str">
        <f t="shared" si="6"/>
        <v/>
      </c>
      <c r="N1831" s="5" t="str">
        <f>IFERROR(__xludf.DUMMYFUNCTION("IF(AND(F1831&lt;&gt;"""",REGEXMATCH(SUBSTITUTE(F1831,"" "",""""),""^-?\d+(\.\d+)?,-?\d+(\.\d+)?$""),VALUE(REGEXEXTRACT(SUBSTITUTE(F1831,"" "",""""),""^-?\d+(\.\d+)?""))&gt;=-90,VALUE(REGEXEXTRACT(SUBSTITUTE(F1831,"" "",""""),""^-?\d+(\.\d+)?""))&lt;=90,VALUE(REGEXEXT"&amp;"RACT(SUBSTITUTE(F1831,"" "",""""),""-?\d+(\.\d+)?$""))&gt;=-180,VALUE(REGEXEXTRACT(SUBSTITUTE(F1831,"" "",""""),""-?\d+(\.\d+)?$""))&lt;=180),""OK"",""REVISAR"")"),"#N/A")</f>
        <v>#N/A</v>
      </c>
    </row>
    <row r="1832" ht="15.75" customHeight="1">
      <c r="A1832" s="5" t="str">
        <f t="shared" si="1"/>
        <v>AD507-1830</v>
      </c>
      <c r="C1832" s="5"/>
      <c r="F1832" s="5"/>
      <c r="G1832" s="5" t="str">
        <f t="shared" si="2"/>
        <v/>
      </c>
      <c r="H1832" s="5" t="str">
        <f t="shared" si="3"/>
        <v/>
      </c>
      <c r="I1832" s="5" t="str">
        <f t="shared" si="4"/>
        <v/>
      </c>
      <c r="J1832" s="5" t="str">
        <f t="shared" si="5"/>
        <v/>
      </c>
      <c r="K1832" s="5" t="str">
        <f>IFERROR(__xludf.DUMMYFUNCTION("IF(C1832&lt;&gt;"""",HYPERLINK(""https://wa.me/507""&amp;REGEXREPLACE(C1832,""[^0-9]"","""")&amp;""?text=""&amp;ENCODEURL(""Ya llegue. Codigo: ""&amp;A1832&amp;"". Ubicacion: ""&amp;""https://www.google.com/maps/search/?api=1&amp;query=""&amp;SUBSTITUTE(F1832,"" "","""")),""📲 Avisar al clien"&amp;"te""),"""")"),"")</f>
        <v/>
      </c>
      <c r="L1832" s="5" t="str">
        <f>IFERROR(__xludf.DUMMYFUNCTION("IF(C1832&lt;&gt;"""",""https://api.qrserver.com/v1/create-qr-code/?size=200x200&amp;data=""&amp;ENCODEURL(""https://wa.me/507""&amp;REGEXREPLACE(C1832,""[^0-9]"","""")&amp;""?text=""&amp;ENCODEURL(""Ya llegue. Codigo: ""&amp;A1832&amp;"". Ubicacion: ""&amp;""https://www.google.com/maps/search"&amp;"/?api=1&amp;query=""&amp;SUBSTITUTE(F1832,"" "",""""))),"""")"),"")</f>
        <v/>
      </c>
      <c r="M1832" s="5" t="str">
        <f t="shared" si="6"/>
        <v/>
      </c>
      <c r="N1832" s="5" t="str">
        <f>IFERROR(__xludf.DUMMYFUNCTION("IF(AND(F1832&lt;&gt;"""",REGEXMATCH(SUBSTITUTE(F1832,"" "",""""),""^-?\d+(\.\d+)?,-?\d+(\.\d+)?$""),VALUE(REGEXEXTRACT(SUBSTITUTE(F1832,"" "",""""),""^-?\d+(\.\d+)?""))&gt;=-90,VALUE(REGEXEXTRACT(SUBSTITUTE(F1832,"" "",""""),""^-?\d+(\.\d+)?""))&lt;=90,VALUE(REGEXEXT"&amp;"RACT(SUBSTITUTE(F1832,"" "",""""),""-?\d+(\.\d+)?$""))&gt;=-180,VALUE(REGEXEXTRACT(SUBSTITUTE(F1832,"" "",""""),""-?\d+(\.\d+)?$""))&lt;=180),""OK"",""REVISAR"")"),"#N/A")</f>
        <v>#N/A</v>
      </c>
    </row>
    <row r="1833" ht="15.75" customHeight="1">
      <c r="A1833" s="5" t="str">
        <f t="shared" si="1"/>
        <v>AD507-1831</v>
      </c>
      <c r="C1833" s="5"/>
      <c r="F1833" s="5"/>
      <c r="G1833" s="5" t="str">
        <f t="shared" si="2"/>
        <v/>
      </c>
      <c r="H1833" s="5" t="str">
        <f t="shared" si="3"/>
        <v/>
      </c>
      <c r="I1833" s="5" t="str">
        <f t="shared" si="4"/>
        <v/>
      </c>
      <c r="J1833" s="5" t="str">
        <f t="shared" si="5"/>
        <v/>
      </c>
      <c r="K1833" s="5" t="str">
        <f>IFERROR(__xludf.DUMMYFUNCTION("IF(C1833&lt;&gt;"""",HYPERLINK(""https://wa.me/507""&amp;REGEXREPLACE(C1833,""[^0-9]"","""")&amp;""?text=""&amp;ENCODEURL(""Ya llegue. Codigo: ""&amp;A1833&amp;"". Ubicacion: ""&amp;""https://www.google.com/maps/search/?api=1&amp;query=""&amp;SUBSTITUTE(F1833,"" "","""")),""📲 Avisar al clien"&amp;"te""),"""")"),"")</f>
        <v/>
      </c>
      <c r="L1833" s="5" t="str">
        <f>IFERROR(__xludf.DUMMYFUNCTION("IF(C1833&lt;&gt;"""",""https://api.qrserver.com/v1/create-qr-code/?size=200x200&amp;data=""&amp;ENCODEURL(""https://wa.me/507""&amp;REGEXREPLACE(C1833,""[^0-9]"","""")&amp;""?text=""&amp;ENCODEURL(""Ya llegue. Codigo: ""&amp;A1833&amp;"". Ubicacion: ""&amp;""https://www.google.com/maps/search"&amp;"/?api=1&amp;query=""&amp;SUBSTITUTE(F1833,"" "",""""))),"""")"),"")</f>
        <v/>
      </c>
      <c r="M1833" s="5" t="str">
        <f t="shared" si="6"/>
        <v/>
      </c>
      <c r="N1833" s="5" t="str">
        <f>IFERROR(__xludf.DUMMYFUNCTION("IF(AND(F1833&lt;&gt;"""",REGEXMATCH(SUBSTITUTE(F1833,"" "",""""),""^-?\d+(\.\d+)?,-?\d+(\.\d+)?$""),VALUE(REGEXEXTRACT(SUBSTITUTE(F1833,"" "",""""),""^-?\d+(\.\d+)?""))&gt;=-90,VALUE(REGEXEXTRACT(SUBSTITUTE(F1833,"" "",""""),""^-?\d+(\.\d+)?""))&lt;=90,VALUE(REGEXEXT"&amp;"RACT(SUBSTITUTE(F1833,"" "",""""),""-?\d+(\.\d+)?$""))&gt;=-180,VALUE(REGEXEXTRACT(SUBSTITUTE(F1833,"" "",""""),""-?\d+(\.\d+)?$""))&lt;=180),""OK"",""REVISAR"")"),"#N/A")</f>
        <v>#N/A</v>
      </c>
    </row>
    <row r="1834" ht="15.75" customHeight="1">
      <c r="A1834" s="5" t="str">
        <f t="shared" si="1"/>
        <v>AD507-1832</v>
      </c>
      <c r="C1834" s="5"/>
      <c r="F1834" s="5"/>
      <c r="G1834" s="5" t="str">
        <f t="shared" si="2"/>
        <v/>
      </c>
      <c r="H1834" s="5" t="str">
        <f t="shared" si="3"/>
        <v/>
      </c>
      <c r="I1834" s="5" t="str">
        <f t="shared" si="4"/>
        <v/>
      </c>
      <c r="J1834" s="5" t="str">
        <f t="shared" si="5"/>
        <v/>
      </c>
      <c r="K1834" s="5" t="str">
        <f>IFERROR(__xludf.DUMMYFUNCTION("IF(C1834&lt;&gt;"""",HYPERLINK(""https://wa.me/507""&amp;REGEXREPLACE(C1834,""[^0-9]"","""")&amp;""?text=""&amp;ENCODEURL(""Ya llegue. Codigo: ""&amp;A1834&amp;"". Ubicacion: ""&amp;""https://www.google.com/maps/search/?api=1&amp;query=""&amp;SUBSTITUTE(F1834,"" "","""")),""📲 Avisar al clien"&amp;"te""),"""")"),"")</f>
        <v/>
      </c>
      <c r="L1834" s="5" t="str">
        <f>IFERROR(__xludf.DUMMYFUNCTION("IF(C1834&lt;&gt;"""",""https://api.qrserver.com/v1/create-qr-code/?size=200x200&amp;data=""&amp;ENCODEURL(""https://wa.me/507""&amp;REGEXREPLACE(C1834,""[^0-9]"","""")&amp;""?text=""&amp;ENCODEURL(""Ya llegue. Codigo: ""&amp;A1834&amp;"". Ubicacion: ""&amp;""https://www.google.com/maps/search"&amp;"/?api=1&amp;query=""&amp;SUBSTITUTE(F1834,"" "",""""))),"""")"),"")</f>
        <v/>
      </c>
      <c r="M1834" s="5" t="str">
        <f t="shared" si="6"/>
        <v/>
      </c>
      <c r="N1834" s="5" t="str">
        <f>IFERROR(__xludf.DUMMYFUNCTION("IF(AND(F1834&lt;&gt;"""",REGEXMATCH(SUBSTITUTE(F1834,"" "",""""),""^-?\d+(\.\d+)?,-?\d+(\.\d+)?$""),VALUE(REGEXEXTRACT(SUBSTITUTE(F1834,"" "",""""),""^-?\d+(\.\d+)?""))&gt;=-90,VALUE(REGEXEXTRACT(SUBSTITUTE(F1834,"" "",""""),""^-?\d+(\.\d+)?""))&lt;=90,VALUE(REGEXEXT"&amp;"RACT(SUBSTITUTE(F1834,"" "",""""),""-?\d+(\.\d+)?$""))&gt;=-180,VALUE(REGEXEXTRACT(SUBSTITUTE(F1834,"" "",""""),""-?\d+(\.\d+)?$""))&lt;=180),""OK"",""REVISAR"")"),"#N/A")</f>
        <v>#N/A</v>
      </c>
    </row>
    <row r="1835" ht="15.75" customHeight="1">
      <c r="A1835" s="5" t="str">
        <f t="shared" si="1"/>
        <v>AD507-1833</v>
      </c>
      <c r="C1835" s="5"/>
      <c r="F1835" s="5"/>
      <c r="G1835" s="5" t="str">
        <f t="shared" si="2"/>
        <v/>
      </c>
      <c r="H1835" s="5" t="str">
        <f t="shared" si="3"/>
        <v/>
      </c>
      <c r="I1835" s="5" t="str">
        <f t="shared" si="4"/>
        <v/>
      </c>
      <c r="J1835" s="5" t="str">
        <f t="shared" si="5"/>
        <v/>
      </c>
      <c r="K1835" s="5" t="str">
        <f>IFERROR(__xludf.DUMMYFUNCTION("IF(C1835&lt;&gt;"""",HYPERLINK(""https://wa.me/507""&amp;REGEXREPLACE(C1835,""[^0-9]"","""")&amp;""?text=""&amp;ENCODEURL(""Ya llegue. Codigo: ""&amp;A1835&amp;"". Ubicacion: ""&amp;""https://www.google.com/maps/search/?api=1&amp;query=""&amp;SUBSTITUTE(F1835,"" "","""")),""📲 Avisar al clien"&amp;"te""),"""")"),"")</f>
        <v/>
      </c>
      <c r="L1835" s="5" t="str">
        <f>IFERROR(__xludf.DUMMYFUNCTION("IF(C1835&lt;&gt;"""",""https://api.qrserver.com/v1/create-qr-code/?size=200x200&amp;data=""&amp;ENCODEURL(""https://wa.me/507""&amp;REGEXREPLACE(C1835,""[^0-9]"","""")&amp;""?text=""&amp;ENCODEURL(""Ya llegue. Codigo: ""&amp;A1835&amp;"". Ubicacion: ""&amp;""https://www.google.com/maps/search"&amp;"/?api=1&amp;query=""&amp;SUBSTITUTE(F1835,"" "",""""))),"""")"),"")</f>
        <v/>
      </c>
      <c r="M1835" s="5" t="str">
        <f t="shared" si="6"/>
        <v/>
      </c>
      <c r="N1835" s="5" t="str">
        <f>IFERROR(__xludf.DUMMYFUNCTION("IF(AND(F1835&lt;&gt;"""",REGEXMATCH(SUBSTITUTE(F1835,"" "",""""),""^-?\d+(\.\d+)?,-?\d+(\.\d+)?$""),VALUE(REGEXEXTRACT(SUBSTITUTE(F1835,"" "",""""),""^-?\d+(\.\d+)?""))&gt;=-90,VALUE(REGEXEXTRACT(SUBSTITUTE(F1835,"" "",""""),""^-?\d+(\.\d+)?""))&lt;=90,VALUE(REGEXEXT"&amp;"RACT(SUBSTITUTE(F1835,"" "",""""),""-?\d+(\.\d+)?$""))&gt;=-180,VALUE(REGEXEXTRACT(SUBSTITUTE(F1835,"" "",""""),""-?\d+(\.\d+)?$""))&lt;=180),""OK"",""REVISAR"")"),"#N/A")</f>
        <v>#N/A</v>
      </c>
    </row>
    <row r="1836" ht="15.75" customHeight="1">
      <c r="A1836" s="5" t="str">
        <f t="shared" si="1"/>
        <v>AD507-1834</v>
      </c>
      <c r="C1836" s="5"/>
      <c r="F1836" s="5"/>
      <c r="G1836" s="5" t="str">
        <f t="shared" si="2"/>
        <v/>
      </c>
      <c r="H1836" s="5" t="str">
        <f t="shared" si="3"/>
        <v/>
      </c>
      <c r="I1836" s="5" t="str">
        <f t="shared" si="4"/>
        <v/>
      </c>
      <c r="J1836" s="5" t="str">
        <f t="shared" si="5"/>
        <v/>
      </c>
      <c r="K1836" s="5" t="str">
        <f>IFERROR(__xludf.DUMMYFUNCTION("IF(C1836&lt;&gt;"""",HYPERLINK(""https://wa.me/507""&amp;REGEXREPLACE(C1836,""[^0-9]"","""")&amp;""?text=""&amp;ENCODEURL(""Ya llegue. Codigo: ""&amp;A1836&amp;"". Ubicacion: ""&amp;""https://www.google.com/maps/search/?api=1&amp;query=""&amp;SUBSTITUTE(F1836,"" "","""")),""📲 Avisar al clien"&amp;"te""),"""")"),"")</f>
        <v/>
      </c>
      <c r="L1836" s="5" t="str">
        <f>IFERROR(__xludf.DUMMYFUNCTION("IF(C1836&lt;&gt;"""",""https://api.qrserver.com/v1/create-qr-code/?size=200x200&amp;data=""&amp;ENCODEURL(""https://wa.me/507""&amp;REGEXREPLACE(C1836,""[^0-9]"","""")&amp;""?text=""&amp;ENCODEURL(""Ya llegue. Codigo: ""&amp;A1836&amp;"". Ubicacion: ""&amp;""https://www.google.com/maps/search"&amp;"/?api=1&amp;query=""&amp;SUBSTITUTE(F1836,"" "",""""))),"""")"),"")</f>
        <v/>
      </c>
      <c r="M1836" s="5" t="str">
        <f t="shared" si="6"/>
        <v/>
      </c>
      <c r="N1836" s="5" t="str">
        <f>IFERROR(__xludf.DUMMYFUNCTION("IF(AND(F1836&lt;&gt;"""",REGEXMATCH(SUBSTITUTE(F1836,"" "",""""),""^-?\d+(\.\d+)?,-?\d+(\.\d+)?$""),VALUE(REGEXEXTRACT(SUBSTITUTE(F1836,"" "",""""),""^-?\d+(\.\d+)?""))&gt;=-90,VALUE(REGEXEXTRACT(SUBSTITUTE(F1836,"" "",""""),""^-?\d+(\.\d+)?""))&lt;=90,VALUE(REGEXEXT"&amp;"RACT(SUBSTITUTE(F1836,"" "",""""),""-?\d+(\.\d+)?$""))&gt;=-180,VALUE(REGEXEXTRACT(SUBSTITUTE(F1836,"" "",""""),""-?\d+(\.\d+)?$""))&lt;=180),""OK"",""REVISAR"")"),"#N/A")</f>
        <v>#N/A</v>
      </c>
    </row>
    <row r="1837" ht="15.75" customHeight="1">
      <c r="A1837" s="5" t="str">
        <f t="shared" si="1"/>
        <v>AD507-1835</v>
      </c>
      <c r="C1837" s="5"/>
      <c r="F1837" s="5"/>
      <c r="G1837" s="5" t="str">
        <f t="shared" si="2"/>
        <v/>
      </c>
      <c r="H1837" s="5" t="str">
        <f t="shared" si="3"/>
        <v/>
      </c>
      <c r="I1837" s="5" t="str">
        <f t="shared" si="4"/>
        <v/>
      </c>
      <c r="J1837" s="5" t="str">
        <f t="shared" si="5"/>
        <v/>
      </c>
      <c r="K1837" s="5" t="str">
        <f>IFERROR(__xludf.DUMMYFUNCTION("IF(C1837&lt;&gt;"""",HYPERLINK(""https://wa.me/507""&amp;REGEXREPLACE(C1837,""[^0-9]"","""")&amp;""?text=""&amp;ENCODEURL(""Ya llegue. Codigo: ""&amp;A1837&amp;"". Ubicacion: ""&amp;""https://www.google.com/maps/search/?api=1&amp;query=""&amp;SUBSTITUTE(F1837,"" "","""")),""📲 Avisar al clien"&amp;"te""),"""")"),"")</f>
        <v/>
      </c>
      <c r="L1837" s="5" t="str">
        <f>IFERROR(__xludf.DUMMYFUNCTION("IF(C1837&lt;&gt;"""",""https://api.qrserver.com/v1/create-qr-code/?size=200x200&amp;data=""&amp;ENCODEURL(""https://wa.me/507""&amp;REGEXREPLACE(C1837,""[^0-9]"","""")&amp;""?text=""&amp;ENCODEURL(""Ya llegue. Codigo: ""&amp;A1837&amp;"". Ubicacion: ""&amp;""https://www.google.com/maps/search"&amp;"/?api=1&amp;query=""&amp;SUBSTITUTE(F1837,"" "",""""))),"""")"),"")</f>
        <v/>
      </c>
      <c r="M1837" s="5" t="str">
        <f t="shared" si="6"/>
        <v/>
      </c>
      <c r="N1837" s="5" t="str">
        <f>IFERROR(__xludf.DUMMYFUNCTION("IF(AND(F1837&lt;&gt;"""",REGEXMATCH(SUBSTITUTE(F1837,"" "",""""),""^-?\d+(\.\d+)?,-?\d+(\.\d+)?$""),VALUE(REGEXEXTRACT(SUBSTITUTE(F1837,"" "",""""),""^-?\d+(\.\d+)?""))&gt;=-90,VALUE(REGEXEXTRACT(SUBSTITUTE(F1837,"" "",""""),""^-?\d+(\.\d+)?""))&lt;=90,VALUE(REGEXEXT"&amp;"RACT(SUBSTITUTE(F1837,"" "",""""),""-?\d+(\.\d+)?$""))&gt;=-180,VALUE(REGEXEXTRACT(SUBSTITUTE(F1837,"" "",""""),""-?\d+(\.\d+)?$""))&lt;=180),""OK"",""REVISAR"")"),"#N/A")</f>
        <v>#N/A</v>
      </c>
    </row>
    <row r="1838" ht="15.75" customHeight="1">
      <c r="A1838" s="5" t="str">
        <f t="shared" si="1"/>
        <v>AD507-1836</v>
      </c>
      <c r="C1838" s="5"/>
      <c r="F1838" s="5"/>
      <c r="G1838" s="5" t="str">
        <f t="shared" si="2"/>
        <v/>
      </c>
      <c r="H1838" s="5" t="str">
        <f t="shared" si="3"/>
        <v/>
      </c>
      <c r="I1838" s="5" t="str">
        <f t="shared" si="4"/>
        <v/>
      </c>
      <c r="J1838" s="5" t="str">
        <f t="shared" si="5"/>
        <v/>
      </c>
      <c r="K1838" s="5" t="str">
        <f>IFERROR(__xludf.DUMMYFUNCTION("IF(C1838&lt;&gt;"""",HYPERLINK(""https://wa.me/507""&amp;REGEXREPLACE(C1838,""[^0-9]"","""")&amp;""?text=""&amp;ENCODEURL(""Ya llegue. Codigo: ""&amp;A1838&amp;"". Ubicacion: ""&amp;""https://www.google.com/maps/search/?api=1&amp;query=""&amp;SUBSTITUTE(F1838,"" "","""")),""📲 Avisar al clien"&amp;"te""),"""")"),"")</f>
        <v/>
      </c>
      <c r="L1838" s="5" t="str">
        <f>IFERROR(__xludf.DUMMYFUNCTION("IF(C1838&lt;&gt;"""",""https://api.qrserver.com/v1/create-qr-code/?size=200x200&amp;data=""&amp;ENCODEURL(""https://wa.me/507""&amp;REGEXREPLACE(C1838,""[^0-9]"","""")&amp;""?text=""&amp;ENCODEURL(""Ya llegue. Codigo: ""&amp;A1838&amp;"". Ubicacion: ""&amp;""https://www.google.com/maps/search"&amp;"/?api=1&amp;query=""&amp;SUBSTITUTE(F1838,"" "",""""))),"""")"),"")</f>
        <v/>
      </c>
      <c r="M1838" s="5" t="str">
        <f t="shared" si="6"/>
        <v/>
      </c>
      <c r="N1838" s="5" t="str">
        <f>IFERROR(__xludf.DUMMYFUNCTION("IF(AND(F1838&lt;&gt;"""",REGEXMATCH(SUBSTITUTE(F1838,"" "",""""),""^-?\d+(\.\d+)?,-?\d+(\.\d+)?$""),VALUE(REGEXEXTRACT(SUBSTITUTE(F1838,"" "",""""),""^-?\d+(\.\d+)?""))&gt;=-90,VALUE(REGEXEXTRACT(SUBSTITUTE(F1838,"" "",""""),""^-?\d+(\.\d+)?""))&lt;=90,VALUE(REGEXEXT"&amp;"RACT(SUBSTITUTE(F1838,"" "",""""),""-?\d+(\.\d+)?$""))&gt;=-180,VALUE(REGEXEXTRACT(SUBSTITUTE(F1838,"" "",""""),""-?\d+(\.\d+)?$""))&lt;=180),""OK"",""REVISAR"")"),"#N/A")</f>
        <v>#N/A</v>
      </c>
    </row>
    <row r="1839" ht="15.75" customHeight="1">
      <c r="A1839" s="5" t="str">
        <f t="shared" si="1"/>
        <v>AD507-1837</v>
      </c>
      <c r="C1839" s="5"/>
      <c r="F1839" s="5"/>
      <c r="G1839" s="5" t="str">
        <f t="shared" si="2"/>
        <v/>
      </c>
      <c r="H1839" s="5" t="str">
        <f t="shared" si="3"/>
        <v/>
      </c>
      <c r="I1839" s="5" t="str">
        <f t="shared" si="4"/>
        <v/>
      </c>
      <c r="J1839" s="5" t="str">
        <f t="shared" si="5"/>
        <v/>
      </c>
      <c r="K1839" s="5" t="str">
        <f>IFERROR(__xludf.DUMMYFUNCTION("IF(C1839&lt;&gt;"""",HYPERLINK(""https://wa.me/507""&amp;REGEXREPLACE(C1839,""[^0-9]"","""")&amp;""?text=""&amp;ENCODEURL(""Ya llegue. Codigo: ""&amp;A1839&amp;"". Ubicacion: ""&amp;""https://www.google.com/maps/search/?api=1&amp;query=""&amp;SUBSTITUTE(F1839,"" "","""")),""📲 Avisar al clien"&amp;"te""),"""")"),"")</f>
        <v/>
      </c>
      <c r="L1839" s="5" t="str">
        <f>IFERROR(__xludf.DUMMYFUNCTION("IF(C1839&lt;&gt;"""",""https://api.qrserver.com/v1/create-qr-code/?size=200x200&amp;data=""&amp;ENCODEURL(""https://wa.me/507""&amp;REGEXREPLACE(C1839,""[^0-9]"","""")&amp;""?text=""&amp;ENCODEURL(""Ya llegue. Codigo: ""&amp;A1839&amp;"". Ubicacion: ""&amp;""https://www.google.com/maps/search"&amp;"/?api=1&amp;query=""&amp;SUBSTITUTE(F1839,"" "",""""))),"""")"),"")</f>
        <v/>
      </c>
      <c r="M1839" s="5" t="str">
        <f t="shared" si="6"/>
        <v/>
      </c>
      <c r="N1839" s="5" t="str">
        <f>IFERROR(__xludf.DUMMYFUNCTION("IF(AND(F1839&lt;&gt;"""",REGEXMATCH(SUBSTITUTE(F1839,"" "",""""),""^-?\d+(\.\d+)?,-?\d+(\.\d+)?$""),VALUE(REGEXEXTRACT(SUBSTITUTE(F1839,"" "",""""),""^-?\d+(\.\d+)?""))&gt;=-90,VALUE(REGEXEXTRACT(SUBSTITUTE(F1839,"" "",""""),""^-?\d+(\.\d+)?""))&lt;=90,VALUE(REGEXEXT"&amp;"RACT(SUBSTITUTE(F1839,"" "",""""),""-?\d+(\.\d+)?$""))&gt;=-180,VALUE(REGEXEXTRACT(SUBSTITUTE(F1839,"" "",""""),""-?\d+(\.\d+)?$""))&lt;=180),""OK"",""REVISAR"")"),"#N/A")</f>
        <v>#N/A</v>
      </c>
    </row>
    <row r="1840" ht="15.75" customHeight="1">
      <c r="A1840" s="5" t="str">
        <f t="shared" si="1"/>
        <v>AD507-1838</v>
      </c>
      <c r="C1840" s="5"/>
      <c r="F1840" s="5"/>
      <c r="G1840" s="5" t="str">
        <f t="shared" si="2"/>
        <v/>
      </c>
      <c r="H1840" s="5" t="str">
        <f t="shared" si="3"/>
        <v/>
      </c>
      <c r="I1840" s="5" t="str">
        <f t="shared" si="4"/>
        <v/>
      </c>
      <c r="J1840" s="5" t="str">
        <f t="shared" si="5"/>
        <v/>
      </c>
      <c r="K1840" s="5" t="str">
        <f>IFERROR(__xludf.DUMMYFUNCTION("IF(C1840&lt;&gt;"""",HYPERLINK(""https://wa.me/507""&amp;REGEXREPLACE(C1840,""[^0-9]"","""")&amp;""?text=""&amp;ENCODEURL(""Ya llegue. Codigo: ""&amp;A1840&amp;"". Ubicacion: ""&amp;""https://www.google.com/maps/search/?api=1&amp;query=""&amp;SUBSTITUTE(F1840,"" "","""")),""📲 Avisar al clien"&amp;"te""),"""")"),"")</f>
        <v/>
      </c>
      <c r="L1840" s="5" t="str">
        <f>IFERROR(__xludf.DUMMYFUNCTION("IF(C1840&lt;&gt;"""",""https://api.qrserver.com/v1/create-qr-code/?size=200x200&amp;data=""&amp;ENCODEURL(""https://wa.me/507""&amp;REGEXREPLACE(C1840,""[^0-9]"","""")&amp;""?text=""&amp;ENCODEURL(""Ya llegue. Codigo: ""&amp;A1840&amp;"". Ubicacion: ""&amp;""https://www.google.com/maps/search"&amp;"/?api=1&amp;query=""&amp;SUBSTITUTE(F1840,"" "",""""))),"""")"),"")</f>
        <v/>
      </c>
      <c r="M1840" s="5" t="str">
        <f t="shared" si="6"/>
        <v/>
      </c>
      <c r="N1840" s="5" t="str">
        <f>IFERROR(__xludf.DUMMYFUNCTION("IF(AND(F1840&lt;&gt;"""",REGEXMATCH(SUBSTITUTE(F1840,"" "",""""),""^-?\d+(\.\d+)?,-?\d+(\.\d+)?$""),VALUE(REGEXEXTRACT(SUBSTITUTE(F1840,"" "",""""),""^-?\d+(\.\d+)?""))&gt;=-90,VALUE(REGEXEXTRACT(SUBSTITUTE(F1840,"" "",""""),""^-?\d+(\.\d+)?""))&lt;=90,VALUE(REGEXEXT"&amp;"RACT(SUBSTITUTE(F1840,"" "",""""),""-?\d+(\.\d+)?$""))&gt;=-180,VALUE(REGEXEXTRACT(SUBSTITUTE(F1840,"" "",""""),""-?\d+(\.\d+)?$""))&lt;=180),""OK"",""REVISAR"")"),"#N/A")</f>
        <v>#N/A</v>
      </c>
    </row>
    <row r="1841" ht="15.75" customHeight="1">
      <c r="A1841" s="5" t="str">
        <f t="shared" si="1"/>
        <v>AD507-1839</v>
      </c>
      <c r="C1841" s="5"/>
      <c r="F1841" s="5"/>
      <c r="G1841" s="5" t="str">
        <f t="shared" si="2"/>
        <v/>
      </c>
      <c r="H1841" s="5" t="str">
        <f t="shared" si="3"/>
        <v/>
      </c>
      <c r="I1841" s="5" t="str">
        <f t="shared" si="4"/>
        <v/>
      </c>
      <c r="J1841" s="5" t="str">
        <f t="shared" si="5"/>
        <v/>
      </c>
      <c r="K1841" s="5" t="str">
        <f>IFERROR(__xludf.DUMMYFUNCTION("IF(C1841&lt;&gt;"""",HYPERLINK(""https://wa.me/507""&amp;REGEXREPLACE(C1841,""[^0-9]"","""")&amp;""?text=""&amp;ENCODEURL(""Ya llegue. Codigo: ""&amp;A1841&amp;"". Ubicacion: ""&amp;""https://www.google.com/maps/search/?api=1&amp;query=""&amp;SUBSTITUTE(F1841,"" "","""")),""📲 Avisar al clien"&amp;"te""),"""")"),"")</f>
        <v/>
      </c>
      <c r="L1841" s="5" t="str">
        <f>IFERROR(__xludf.DUMMYFUNCTION("IF(C1841&lt;&gt;"""",""https://api.qrserver.com/v1/create-qr-code/?size=200x200&amp;data=""&amp;ENCODEURL(""https://wa.me/507""&amp;REGEXREPLACE(C1841,""[^0-9]"","""")&amp;""?text=""&amp;ENCODEURL(""Ya llegue. Codigo: ""&amp;A1841&amp;"". Ubicacion: ""&amp;""https://www.google.com/maps/search"&amp;"/?api=1&amp;query=""&amp;SUBSTITUTE(F1841,"" "",""""))),"""")"),"")</f>
        <v/>
      </c>
      <c r="M1841" s="5" t="str">
        <f t="shared" si="6"/>
        <v/>
      </c>
      <c r="N1841" s="5" t="str">
        <f>IFERROR(__xludf.DUMMYFUNCTION("IF(AND(F1841&lt;&gt;"""",REGEXMATCH(SUBSTITUTE(F1841,"" "",""""),""^-?\d+(\.\d+)?,-?\d+(\.\d+)?$""),VALUE(REGEXEXTRACT(SUBSTITUTE(F1841,"" "",""""),""^-?\d+(\.\d+)?""))&gt;=-90,VALUE(REGEXEXTRACT(SUBSTITUTE(F1841,"" "",""""),""^-?\d+(\.\d+)?""))&lt;=90,VALUE(REGEXEXT"&amp;"RACT(SUBSTITUTE(F1841,"" "",""""),""-?\d+(\.\d+)?$""))&gt;=-180,VALUE(REGEXEXTRACT(SUBSTITUTE(F1841,"" "",""""),""-?\d+(\.\d+)?$""))&lt;=180),""OK"",""REVISAR"")"),"#N/A")</f>
        <v>#N/A</v>
      </c>
    </row>
    <row r="1842" ht="15.75" customHeight="1">
      <c r="A1842" s="5" t="str">
        <f t="shared" si="1"/>
        <v>AD507-1840</v>
      </c>
      <c r="C1842" s="5"/>
      <c r="F1842" s="5"/>
      <c r="G1842" s="5" t="str">
        <f t="shared" si="2"/>
        <v/>
      </c>
      <c r="H1842" s="5" t="str">
        <f t="shared" si="3"/>
        <v/>
      </c>
      <c r="I1842" s="5" t="str">
        <f t="shared" si="4"/>
        <v/>
      </c>
      <c r="J1842" s="5" t="str">
        <f t="shared" si="5"/>
        <v/>
      </c>
      <c r="K1842" s="5" t="str">
        <f>IFERROR(__xludf.DUMMYFUNCTION("IF(C1842&lt;&gt;"""",HYPERLINK(""https://wa.me/507""&amp;REGEXREPLACE(C1842,""[^0-9]"","""")&amp;""?text=""&amp;ENCODEURL(""Ya llegue. Codigo: ""&amp;A1842&amp;"". Ubicacion: ""&amp;""https://www.google.com/maps/search/?api=1&amp;query=""&amp;SUBSTITUTE(F1842,"" "","""")),""📲 Avisar al clien"&amp;"te""),"""")"),"")</f>
        <v/>
      </c>
      <c r="L1842" s="5" t="str">
        <f>IFERROR(__xludf.DUMMYFUNCTION("IF(C1842&lt;&gt;"""",""https://api.qrserver.com/v1/create-qr-code/?size=200x200&amp;data=""&amp;ENCODEURL(""https://wa.me/507""&amp;REGEXREPLACE(C1842,""[^0-9]"","""")&amp;""?text=""&amp;ENCODEURL(""Ya llegue. Codigo: ""&amp;A1842&amp;"". Ubicacion: ""&amp;""https://www.google.com/maps/search"&amp;"/?api=1&amp;query=""&amp;SUBSTITUTE(F1842,"" "",""""))),"""")"),"")</f>
        <v/>
      </c>
      <c r="M1842" s="5" t="str">
        <f t="shared" si="6"/>
        <v/>
      </c>
      <c r="N1842" s="5" t="str">
        <f>IFERROR(__xludf.DUMMYFUNCTION("IF(AND(F1842&lt;&gt;"""",REGEXMATCH(SUBSTITUTE(F1842,"" "",""""),""^-?\d+(\.\d+)?,-?\d+(\.\d+)?$""),VALUE(REGEXEXTRACT(SUBSTITUTE(F1842,"" "",""""),""^-?\d+(\.\d+)?""))&gt;=-90,VALUE(REGEXEXTRACT(SUBSTITUTE(F1842,"" "",""""),""^-?\d+(\.\d+)?""))&lt;=90,VALUE(REGEXEXT"&amp;"RACT(SUBSTITUTE(F1842,"" "",""""),""-?\d+(\.\d+)?$""))&gt;=-180,VALUE(REGEXEXTRACT(SUBSTITUTE(F1842,"" "",""""),""-?\d+(\.\d+)?$""))&lt;=180),""OK"",""REVISAR"")"),"#N/A")</f>
        <v>#N/A</v>
      </c>
    </row>
    <row r="1843" ht="15.75" customHeight="1">
      <c r="A1843" s="5" t="str">
        <f t="shared" si="1"/>
        <v>AD507-1841</v>
      </c>
      <c r="C1843" s="5"/>
      <c r="F1843" s="5"/>
      <c r="G1843" s="5" t="str">
        <f t="shared" si="2"/>
        <v/>
      </c>
      <c r="H1843" s="5" t="str">
        <f t="shared" si="3"/>
        <v/>
      </c>
      <c r="I1843" s="5" t="str">
        <f t="shared" si="4"/>
        <v/>
      </c>
      <c r="J1843" s="5" t="str">
        <f t="shared" si="5"/>
        <v/>
      </c>
      <c r="K1843" s="5" t="str">
        <f>IFERROR(__xludf.DUMMYFUNCTION("IF(C1843&lt;&gt;"""",HYPERLINK(""https://wa.me/507""&amp;REGEXREPLACE(C1843,""[^0-9]"","""")&amp;""?text=""&amp;ENCODEURL(""Ya llegue. Codigo: ""&amp;A1843&amp;"". Ubicacion: ""&amp;""https://www.google.com/maps/search/?api=1&amp;query=""&amp;SUBSTITUTE(F1843,"" "","""")),""📲 Avisar al clien"&amp;"te""),"""")"),"")</f>
        <v/>
      </c>
      <c r="L1843" s="5" t="str">
        <f>IFERROR(__xludf.DUMMYFUNCTION("IF(C1843&lt;&gt;"""",""https://api.qrserver.com/v1/create-qr-code/?size=200x200&amp;data=""&amp;ENCODEURL(""https://wa.me/507""&amp;REGEXREPLACE(C1843,""[^0-9]"","""")&amp;""?text=""&amp;ENCODEURL(""Ya llegue. Codigo: ""&amp;A1843&amp;"". Ubicacion: ""&amp;""https://www.google.com/maps/search"&amp;"/?api=1&amp;query=""&amp;SUBSTITUTE(F1843,"" "",""""))),"""")"),"")</f>
        <v/>
      </c>
      <c r="M1843" s="5" t="str">
        <f t="shared" si="6"/>
        <v/>
      </c>
      <c r="N1843" s="5" t="str">
        <f>IFERROR(__xludf.DUMMYFUNCTION("IF(AND(F1843&lt;&gt;"""",REGEXMATCH(SUBSTITUTE(F1843,"" "",""""),""^-?\d+(\.\d+)?,-?\d+(\.\d+)?$""),VALUE(REGEXEXTRACT(SUBSTITUTE(F1843,"" "",""""),""^-?\d+(\.\d+)?""))&gt;=-90,VALUE(REGEXEXTRACT(SUBSTITUTE(F1843,"" "",""""),""^-?\d+(\.\d+)?""))&lt;=90,VALUE(REGEXEXT"&amp;"RACT(SUBSTITUTE(F1843,"" "",""""),""-?\d+(\.\d+)?$""))&gt;=-180,VALUE(REGEXEXTRACT(SUBSTITUTE(F1843,"" "",""""),""-?\d+(\.\d+)?$""))&lt;=180),""OK"",""REVISAR"")"),"#N/A")</f>
        <v>#N/A</v>
      </c>
    </row>
    <row r="1844" ht="15.75" customHeight="1">
      <c r="A1844" s="5" t="str">
        <f t="shared" si="1"/>
        <v>AD507-1842</v>
      </c>
      <c r="C1844" s="5"/>
      <c r="F1844" s="5"/>
      <c r="G1844" s="5" t="str">
        <f t="shared" si="2"/>
        <v/>
      </c>
      <c r="H1844" s="5" t="str">
        <f t="shared" si="3"/>
        <v/>
      </c>
      <c r="I1844" s="5" t="str">
        <f t="shared" si="4"/>
        <v/>
      </c>
      <c r="J1844" s="5" t="str">
        <f t="shared" si="5"/>
        <v/>
      </c>
      <c r="K1844" s="5" t="str">
        <f>IFERROR(__xludf.DUMMYFUNCTION("IF(C1844&lt;&gt;"""",HYPERLINK(""https://wa.me/507""&amp;REGEXREPLACE(C1844,""[^0-9]"","""")&amp;""?text=""&amp;ENCODEURL(""Ya llegue. Codigo: ""&amp;A1844&amp;"". Ubicacion: ""&amp;""https://www.google.com/maps/search/?api=1&amp;query=""&amp;SUBSTITUTE(F1844,"" "","""")),""📲 Avisar al clien"&amp;"te""),"""")"),"")</f>
        <v/>
      </c>
      <c r="L1844" s="5" t="str">
        <f>IFERROR(__xludf.DUMMYFUNCTION("IF(C1844&lt;&gt;"""",""https://api.qrserver.com/v1/create-qr-code/?size=200x200&amp;data=""&amp;ENCODEURL(""https://wa.me/507""&amp;REGEXREPLACE(C1844,""[^0-9]"","""")&amp;""?text=""&amp;ENCODEURL(""Ya llegue. Codigo: ""&amp;A1844&amp;"". Ubicacion: ""&amp;""https://www.google.com/maps/search"&amp;"/?api=1&amp;query=""&amp;SUBSTITUTE(F1844,"" "",""""))),"""")"),"")</f>
        <v/>
      </c>
      <c r="M1844" s="5" t="str">
        <f t="shared" si="6"/>
        <v/>
      </c>
      <c r="N1844" s="5" t="str">
        <f>IFERROR(__xludf.DUMMYFUNCTION("IF(AND(F1844&lt;&gt;"""",REGEXMATCH(SUBSTITUTE(F1844,"" "",""""),""^-?\d+(\.\d+)?,-?\d+(\.\d+)?$""),VALUE(REGEXEXTRACT(SUBSTITUTE(F1844,"" "",""""),""^-?\d+(\.\d+)?""))&gt;=-90,VALUE(REGEXEXTRACT(SUBSTITUTE(F1844,"" "",""""),""^-?\d+(\.\d+)?""))&lt;=90,VALUE(REGEXEXT"&amp;"RACT(SUBSTITUTE(F1844,"" "",""""),""-?\d+(\.\d+)?$""))&gt;=-180,VALUE(REGEXEXTRACT(SUBSTITUTE(F1844,"" "",""""),""-?\d+(\.\d+)?$""))&lt;=180),""OK"",""REVISAR"")"),"#N/A")</f>
        <v>#N/A</v>
      </c>
    </row>
    <row r="1845" ht="15.75" customHeight="1">
      <c r="A1845" s="5" t="str">
        <f t="shared" si="1"/>
        <v>AD507-1843</v>
      </c>
      <c r="C1845" s="5"/>
      <c r="F1845" s="5"/>
      <c r="G1845" s="5" t="str">
        <f t="shared" si="2"/>
        <v/>
      </c>
      <c r="H1845" s="5" t="str">
        <f t="shared" si="3"/>
        <v/>
      </c>
      <c r="I1845" s="5" t="str">
        <f t="shared" si="4"/>
        <v/>
      </c>
      <c r="J1845" s="5" t="str">
        <f t="shared" si="5"/>
        <v/>
      </c>
      <c r="K1845" s="5" t="str">
        <f>IFERROR(__xludf.DUMMYFUNCTION("IF(C1845&lt;&gt;"""",HYPERLINK(""https://wa.me/507""&amp;REGEXREPLACE(C1845,""[^0-9]"","""")&amp;""?text=""&amp;ENCODEURL(""Ya llegue. Codigo: ""&amp;A1845&amp;"". Ubicacion: ""&amp;""https://www.google.com/maps/search/?api=1&amp;query=""&amp;SUBSTITUTE(F1845,"" "","""")),""📲 Avisar al clien"&amp;"te""),"""")"),"")</f>
        <v/>
      </c>
      <c r="L1845" s="5" t="str">
        <f>IFERROR(__xludf.DUMMYFUNCTION("IF(C1845&lt;&gt;"""",""https://api.qrserver.com/v1/create-qr-code/?size=200x200&amp;data=""&amp;ENCODEURL(""https://wa.me/507""&amp;REGEXREPLACE(C1845,""[^0-9]"","""")&amp;""?text=""&amp;ENCODEURL(""Ya llegue. Codigo: ""&amp;A1845&amp;"". Ubicacion: ""&amp;""https://www.google.com/maps/search"&amp;"/?api=1&amp;query=""&amp;SUBSTITUTE(F1845,"" "",""""))),"""")"),"")</f>
        <v/>
      </c>
      <c r="M1845" s="5" t="str">
        <f t="shared" si="6"/>
        <v/>
      </c>
      <c r="N1845" s="5" t="str">
        <f>IFERROR(__xludf.DUMMYFUNCTION("IF(AND(F1845&lt;&gt;"""",REGEXMATCH(SUBSTITUTE(F1845,"" "",""""),""^-?\d+(\.\d+)?,-?\d+(\.\d+)?$""),VALUE(REGEXEXTRACT(SUBSTITUTE(F1845,"" "",""""),""^-?\d+(\.\d+)?""))&gt;=-90,VALUE(REGEXEXTRACT(SUBSTITUTE(F1845,"" "",""""),""^-?\d+(\.\d+)?""))&lt;=90,VALUE(REGEXEXT"&amp;"RACT(SUBSTITUTE(F1845,"" "",""""),""-?\d+(\.\d+)?$""))&gt;=-180,VALUE(REGEXEXTRACT(SUBSTITUTE(F1845,"" "",""""),""-?\d+(\.\d+)?$""))&lt;=180),""OK"",""REVISAR"")"),"#N/A")</f>
        <v>#N/A</v>
      </c>
    </row>
    <row r="1846" ht="15.75" customHeight="1">
      <c r="A1846" s="5" t="str">
        <f t="shared" si="1"/>
        <v>AD507-1844</v>
      </c>
      <c r="C1846" s="5"/>
      <c r="F1846" s="5"/>
      <c r="G1846" s="5" t="str">
        <f t="shared" si="2"/>
        <v/>
      </c>
      <c r="H1846" s="5" t="str">
        <f t="shared" si="3"/>
        <v/>
      </c>
      <c r="I1846" s="5" t="str">
        <f t="shared" si="4"/>
        <v/>
      </c>
      <c r="J1846" s="5" t="str">
        <f t="shared" si="5"/>
        <v/>
      </c>
      <c r="K1846" s="5" t="str">
        <f>IFERROR(__xludf.DUMMYFUNCTION("IF(C1846&lt;&gt;"""",HYPERLINK(""https://wa.me/507""&amp;REGEXREPLACE(C1846,""[^0-9]"","""")&amp;""?text=""&amp;ENCODEURL(""Ya llegue. Codigo: ""&amp;A1846&amp;"". Ubicacion: ""&amp;""https://www.google.com/maps/search/?api=1&amp;query=""&amp;SUBSTITUTE(F1846,"" "","""")),""📲 Avisar al clien"&amp;"te""),"""")"),"")</f>
        <v/>
      </c>
      <c r="L1846" s="5" t="str">
        <f>IFERROR(__xludf.DUMMYFUNCTION("IF(C1846&lt;&gt;"""",""https://api.qrserver.com/v1/create-qr-code/?size=200x200&amp;data=""&amp;ENCODEURL(""https://wa.me/507""&amp;REGEXREPLACE(C1846,""[^0-9]"","""")&amp;""?text=""&amp;ENCODEURL(""Ya llegue. Codigo: ""&amp;A1846&amp;"". Ubicacion: ""&amp;""https://www.google.com/maps/search"&amp;"/?api=1&amp;query=""&amp;SUBSTITUTE(F1846,"" "",""""))),"""")"),"")</f>
        <v/>
      </c>
      <c r="M1846" s="5" t="str">
        <f t="shared" si="6"/>
        <v/>
      </c>
      <c r="N1846" s="5" t="str">
        <f>IFERROR(__xludf.DUMMYFUNCTION("IF(AND(F1846&lt;&gt;"""",REGEXMATCH(SUBSTITUTE(F1846,"" "",""""),""^-?\d+(\.\d+)?,-?\d+(\.\d+)?$""),VALUE(REGEXEXTRACT(SUBSTITUTE(F1846,"" "",""""),""^-?\d+(\.\d+)?""))&gt;=-90,VALUE(REGEXEXTRACT(SUBSTITUTE(F1846,"" "",""""),""^-?\d+(\.\d+)?""))&lt;=90,VALUE(REGEXEXT"&amp;"RACT(SUBSTITUTE(F1846,"" "",""""),""-?\d+(\.\d+)?$""))&gt;=-180,VALUE(REGEXEXTRACT(SUBSTITUTE(F1846,"" "",""""),""-?\d+(\.\d+)?$""))&lt;=180),""OK"",""REVISAR"")"),"#N/A")</f>
        <v>#N/A</v>
      </c>
    </row>
    <row r="1847" ht="15.75" customHeight="1">
      <c r="A1847" s="5" t="str">
        <f t="shared" si="1"/>
        <v>AD507-1845</v>
      </c>
      <c r="C1847" s="5"/>
      <c r="F1847" s="5"/>
      <c r="G1847" s="5" t="str">
        <f t="shared" si="2"/>
        <v/>
      </c>
      <c r="H1847" s="5" t="str">
        <f t="shared" si="3"/>
        <v/>
      </c>
      <c r="I1847" s="5" t="str">
        <f t="shared" si="4"/>
        <v/>
      </c>
      <c r="J1847" s="5" t="str">
        <f t="shared" si="5"/>
        <v/>
      </c>
      <c r="K1847" s="5" t="str">
        <f>IFERROR(__xludf.DUMMYFUNCTION("IF(C1847&lt;&gt;"""",HYPERLINK(""https://wa.me/507""&amp;REGEXREPLACE(C1847,""[^0-9]"","""")&amp;""?text=""&amp;ENCODEURL(""Ya llegue. Codigo: ""&amp;A1847&amp;"". Ubicacion: ""&amp;""https://www.google.com/maps/search/?api=1&amp;query=""&amp;SUBSTITUTE(F1847,"" "","""")),""📲 Avisar al clien"&amp;"te""),"""")"),"")</f>
        <v/>
      </c>
      <c r="L1847" s="5" t="str">
        <f>IFERROR(__xludf.DUMMYFUNCTION("IF(C1847&lt;&gt;"""",""https://api.qrserver.com/v1/create-qr-code/?size=200x200&amp;data=""&amp;ENCODEURL(""https://wa.me/507""&amp;REGEXREPLACE(C1847,""[^0-9]"","""")&amp;""?text=""&amp;ENCODEURL(""Ya llegue. Codigo: ""&amp;A1847&amp;"". Ubicacion: ""&amp;""https://www.google.com/maps/search"&amp;"/?api=1&amp;query=""&amp;SUBSTITUTE(F1847,"" "",""""))),"""")"),"")</f>
        <v/>
      </c>
      <c r="M1847" s="5" t="str">
        <f t="shared" si="6"/>
        <v/>
      </c>
      <c r="N1847" s="5" t="str">
        <f>IFERROR(__xludf.DUMMYFUNCTION("IF(AND(F1847&lt;&gt;"""",REGEXMATCH(SUBSTITUTE(F1847,"" "",""""),""^-?\d+(\.\d+)?,-?\d+(\.\d+)?$""),VALUE(REGEXEXTRACT(SUBSTITUTE(F1847,"" "",""""),""^-?\d+(\.\d+)?""))&gt;=-90,VALUE(REGEXEXTRACT(SUBSTITUTE(F1847,"" "",""""),""^-?\d+(\.\d+)?""))&lt;=90,VALUE(REGEXEXT"&amp;"RACT(SUBSTITUTE(F1847,"" "",""""),""-?\d+(\.\d+)?$""))&gt;=-180,VALUE(REGEXEXTRACT(SUBSTITUTE(F1847,"" "",""""),""-?\d+(\.\d+)?$""))&lt;=180),""OK"",""REVISAR"")"),"#N/A")</f>
        <v>#N/A</v>
      </c>
    </row>
    <row r="1848" ht="15.75" customHeight="1">
      <c r="A1848" s="5" t="str">
        <f t="shared" si="1"/>
        <v>AD507-1846</v>
      </c>
      <c r="C1848" s="5"/>
      <c r="F1848" s="5"/>
      <c r="G1848" s="5" t="str">
        <f t="shared" si="2"/>
        <v/>
      </c>
      <c r="H1848" s="5" t="str">
        <f t="shared" si="3"/>
        <v/>
      </c>
      <c r="I1848" s="5" t="str">
        <f t="shared" si="4"/>
        <v/>
      </c>
      <c r="J1848" s="5" t="str">
        <f t="shared" si="5"/>
        <v/>
      </c>
      <c r="K1848" s="5" t="str">
        <f>IFERROR(__xludf.DUMMYFUNCTION("IF(C1848&lt;&gt;"""",HYPERLINK(""https://wa.me/507""&amp;REGEXREPLACE(C1848,""[^0-9]"","""")&amp;""?text=""&amp;ENCODEURL(""Ya llegue. Codigo: ""&amp;A1848&amp;"". Ubicacion: ""&amp;""https://www.google.com/maps/search/?api=1&amp;query=""&amp;SUBSTITUTE(F1848,"" "","""")),""📲 Avisar al clien"&amp;"te""),"""")"),"")</f>
        <v/>
      </c>
      <c r="L1848" s="5" t="str">
        <f>IFERROR(__xludf.DUMMYFUNCTION("IF(C1848&lt;&gt;"""",""https://api.qrserver.com/v1/create-qr-code/?size=200x200&amp;data=""&amp;ENCODEURL(""https://wa.me/507""&amp;REGEXREPLACE(C1848,""[^0-9]"","""")&amp;""?text=""&amp;ENCODEURL(""Ya llegue. Codigo: ""&amp;A1848&amp;"". Ubicacion: ""&amp;""https://www.google.com/maps/search"&amp;"/?api=1&amp;query=""&amp;SUBSTITUTE(F1848,"" "",""""))),"""")"),"")</f>
        <v/>
      </c>
      <c r="M1848" s="5" t="str">
        <f t="shared" si="6"/>
        <v/>
      </c>
      <c r="N1848" s="5" t="str">
        <f>IFERROR(__xludf.DUMMYFUNCTION("IF(AND(F1848&lt;&gt;"""",REGEXMATCH(SUBSTITUTE(F1848,"" "",""""),""^-?\d+(\.\d+)?,-?\d+(\.\d+)?$""),VALUE(REGEXEXTRACT(SUBSTITUTE(F1848,"" "",""""),""^-?\d+(\.\d+)?""))&gt;=-90,VALUE(REGEXEXTRACT(SUBSTITUTE(F1848,"" "",""""),""^-?\d+(\.\d+)?""))&lt;=90,VALUE(REGEXEXT"&amp;"RACT(SUBSTITUTE(F1848,"" "",""""),""-?\d+(\.\d+)?$""))&gt;=-180,VALUE(REGEXEXTRACT(SUBSTITUTE(F1848,"" "",""""),""-?\d+(\.\d+)?$""))&lt;=180),""OK"",""REVISAR"")"),"#N/A")</f>
        <v>#N/A</v>
      </c>
    </row>
    <row r="1849" ht="15.75" customHeight="1">
      <c r="A1849" s="5" t="str">
        <f t="shared" si="1"/>
        <v>AD507-1847</v>
      </c>
      <c r="C1849" s="5"/>
      <c r="F1849" s="5"/>
      <c r="G1849" s="5" t="str">
        <f t="shared" si="2"/>
        <v/>
      </c>
      <c r="H1849" s="5" t="str">
        <f t="shared" si="3"/>
        <v/>
      </c>
      <c r="I1849" s="5" t="str">
        <f t="shared" si="4"/>
        <v/>
      </c>
      <c r="J1849" s="5" t="str">
        <f t="shared" si="5"/>
        <v/>
      </c>
      <c r="K1849" s="5" t="str">
        <f>IFERROR(__xludf.DUMMYFUNCTION("IF(C1849&lt;&gt;"""",HYPERLINK(""https://wa.me/507""&amp;REGEXREPLACE(C1849,""[^0-9]"","""")&amp;""?text=""&amp;ENCODEURL(""Ya llegue. Codigo: ""&amp;A1849&amp;"". Ubicacion: ""&amp;""https://www.google.com/maps/search/?api=1&amp;query=""&amp;SUBSTITUTE(F1849,"" "","""")),""📲 Avisar al clien"&amp;"te""),"""")"),"")</f>
        <v/>
      </c>
      <c r="L1849" s="5" t="str">
        <f>IFERROR(__xludf.DUMMYFUNCTION("IF(C1849&lt;&gt;"""",""https://api.qrserver.com/v1/create-qr-code/?size=200x200&amp;data=""&amp;ENCODEURL(""https://wa.me/507""&amp;REGEXREPLACE(C1849,""[^0-9]"","""")&amp;""?text=""&amp;ENCODEURL(""Ya llegue. Codigo: ""&amp;A1849&amp;"". Ubicacion: ""&amp;""https://www.google.com/maps/search"&amp;"/?api=1&amp;query=""&amp;SUBSTITUTE(F1849,"" "",""""))),"""")"),"")</f>
        <v/>
      </c>
      <c r="M1849" s="5" t="str">
        <f t="shared" si="6"/>
        <v/>
      </c>
      <c r="N1849" s="5" t="str">
        <f>IFERROR(__xludf.DUMMYFUNCTION("IF(AND(F1849&lt;&gt;"""",REGEXMATCH(SUBSTITUTE(F1849,"" "",""""),""^-?\d+(\.\d+)?,-?\d+(\.\d+)?$""),VALUE(REGEXEXTRACT(SUBSTITUTE(F1849,"" "",""""),""^-?\d+(\.\d+)?""))&gt;=-90,VALUE(REGEXEXTRACT(SUBSTITUTE(F1849,"" "",""""),""^-?\d+(\.\d+)?""))&lt;=90,VALUE(REGEXEXT"&amp;"RACT(SUBSTITUTE(F1849,"" "",""""),""-?\d+(\.\d+)?$""))&gt;=-180,VALUE(REGEXEXTRACT(SUBSTITUTE(F1849,"" "",""""),""-?\d+(\.\d+)?$""))&lt;=180),""OK"",""REVISAR"")"),"#N/A")</f>
        <v>#N/A</v>
      </c>
    </row>
    <row r="1850" ht="15.75" customHeight="1">
      <c r="A1850" s="5" t="str">
        <f t="shared" si="1"/>
        <v>AD507-1848</v>
      </c>
      <c r="C1850" s="5"/>
      <c r="F1850" s="5"/>
      <c r="G1850" s="5" t="str">
        <f t="shared" si="2"/>
        <v/>
      </c>
      <c r="H1850" s="5" t="str">
        <f t="shared" si="3"/>
        <v/>
      </c>
      <c r="I1850" s="5" t="str">
        <f t="shared" si="4"/>
        <v/>
      </c>
      <c r="J1850" s="5" t="str">
        <f t="shared" si="5"/>
        <v/>
      </c>
      <c r="K1850" s="5" t="str">
        <f>IFERROR(__xludf.DUMMYFUNCTION("IF(C1850&lt;&gt;"""",HYPERLINK(""https://wa.me/507""&amp;REGEXREPLACE(C1850,""[^0-9]"","""")&amp;""?text=""&amp;ENCODEURL(""Ya llegue. Codigo: ""&amp;A1850&amp;"". Ubicacion: ""&amp;""https://www.google.com/maps/search/?api=1&amp;query=""&amp;SUBSTITUTE(F1850,"" "","""")),""📲 Avisar al clien"&amp;"te""),"""")"),"")</f>
        <v/>
      </c>
      <c r="L1850" s="5" t="str">
        <f>IFERROR(__xludf.DUMMYFUNCTION("IF(C1850&lt;&gt;"""",""https://api.qrserver.com/v1/create-qr-code/?size=200x200&amp;data=""&amp;ENCODEURL(""https://wa.me/507""&amp;REGEXREPLACE(C1850,""[^0-9]"","""")&amp;""?text=""&amp;ENCODEURL(""Ya llegue. Codigo: ""&amp;A1850&amp;"". Ubicacion: ""&amp;""https://www.google.com/maps/search"&amp;"/?api=1&amp;query=""&amp;SUBSTITUTE(F1850,"" "",""""))),"""")"),"")</f>
        <v/>
      </c>
      <c r="M1850" s="5" t="str">
        <f t="shared" si="6"/>
        <v/>
      </c>
      <c r="N1850" s="5" t="str">
        <f>IFERROR(__xludf.DUMMYFUNCTION("IF(AND(F1850&lt;&gt;"""",REGEXMATCH(SUBSTITUTE(F1850,"" "",""""),""^-?\d+(\.\d+)?,-?\d+(\.\d+)?$""),VALUE(REGEXEXTRACT(SUBSTITUTE(F1850,"" "",""""),""^-?\d+(\.\d+)?""))&gt;=-90,VALUE(REGEXEXTRACT(SUBSTITUTE(F1850,"" "",""""),""^-?\d+(\.\d+)?""))&lt;=90,VALUE(REGEXEXT"&amp;"RACT(SUBSTITUTE(F1850,"" "",""""),""-?\d+(\.\d+)?$""))&gt;=-180,VALUE(REGEXEXTRACT(SUBSTITUTE(F1850,"" "",""""),""-?\d+(\.\d+)?$""))&lt;=180),""OK"",""REVISAR"")"),"#N/A")</f>
        <v>#N/A</v>
      </c>
    </row>
    <row r="1851" ht="15.75" customHeight="1">
      <c r="A1851" s="5" t="str">
        <f t="shared" si="1"/>
        <v>AD507-1849</v>
      </c>
      <c r="C1851" s="5"/>
      <c r="F1851" s="5"/>
      <c r="G1851" s="5" t="str">
        <f t="shared" si="2"/>
        <v/>
      </c>
      <c r="H1851" s="5" t="str">
        <f t="shared" si="3"/>
        <v/>
      </c>
      <c r="I1851" s="5" t="str">
        <f t="shared" si="4"/>
        <v/>
      </c>
      <c r="J1851" s="5" t="str">
        <f t="shared" si="5"/>
        <v/>
      </c>
      <c r="K1851" s="5" t="str">
        <f>IFERROR(__xludf.DUMMYFUNCTION("IF(C1851&lt;&gt;"""",HYPERLINK(""https://wa.me/507""&amp;REGEXREPLACE(C1851,""[^0-9]"","""")&amp;""?text=""&amp;ENCODEURL(""Ya llegue. Codigo: ""&amp;A1851&amp;"". Ubicacion: ""&amp;""https://www.google.com/maps/search/?api=1&amp;query=""&amp;SUBSTITUTE(F1851,"" "","""")),""📲 Avisar al clien"&amp;"te""),"""")"),"")</f>
        <v/>
      </c>
      <c r="L1851" s="5" t="str">
        <f>IFERROR(__xludf.DUMMYFUNCTION("IF(C1851&lt;&gt;"""",""https://api.qrserver.com/v1/create-qr-code/?size=200x200&amp;data=""&amp;ENCODEURL(""https://wa.me/507""&amp;REGEXREPLACE(C1851,""[^0-9]"","""")&amp;""?text=""&amp;ENCODEURL(""Ya llegue. Codigo: ""&amp;A1851&amp;"". Ubicacion: ""&amp;""https://www.google.com/maps/search"&amp;"/?api=1&amp;query=""&amp;SUBSTITUTE(F1851,"" "",""""))),"""")"),"")</f>
        <v/>
      </c>
      <c r="M1851" s="5" t="str">
        <f t="shared" si="6"/>
        <v/>
      </c>
      <c r="N1851" s="5" t="str">
        <f>IFERROR(__xludf.DUMMYFUNCTION("IF(AND(F1851&lt;&gt;"""",REGEXMATCH(SUBSTITUTE(F1851,"" "",""""),""^-?\d+(\.\d+)?,-?\d+(\.\d+)?$""),VALUE(REGEXEXTRACT(SUBSTITUTE(F1851,"" "",""""),""^-?\d+(\.\d+)?""))&gt;=-90,VALUE(REGEXEXTRACT(SUBSTITUTE(F1851,"" "",""""),""^-?\d+(\.\d+)?""))&lt;=90,VALUE(REGEXEXT"&amp;"RACT(SUBSTITUTE(F1851,"" "",""""),""-?\d+(\.\d+)?$""))&gt;=-180,VALUE(REGEXEXTRACT(SUBSTITUTE(F1851,"" "",""""),""-?\d+(\.\d+)?$""))&lt;=180),""OK"",""REVISAR"")"),"#N/A")</f>
        <v>#N/A</v>
      </c>
    </row>
    <row r="1852" ht="15.75" customHeight="1">
      <c r="A1852" s="5" t="str">
        <f t="shared" si="1"/>
        <v>AD507-1850</v>
      </c>
      <c r="C1852" s="5"/>
      <c r="F1852" s="5"/>
      <c r="G1852" s="5" t="str">
        <f t="shared" si="2"/>
        <v/>
      </c>
      <c r="H1852" s="5" t="str">
        <f t="shared" si="3"/>
        <v/>
      </c>
      <c r="I1852" s="5" t="str">
        <f t="shared" si="4"/>
        <v/>
      </c>
      <c r="J1852" s="5" t="str">
        <f t="shared" si="5"/>
        <v/>
      </c>
      <c r="K1852" s="5" t="str">
        <f>IFERROR(__xludf.DUMMYFUNCTION("IF(C1852&lt;&gt;"""",HYPERLINK(""https://wa.me/507""&amp;REGEXREPLACE(C1852,""[^0-9]"","""")&amp;""?text=""&amp;ENCODEURL(""Ya llegue. Codigo: ""&amp;A1852&amp;"". Ubicacion: ""&amp;""https://www.google.com/maps/search/?api=1&amp;query=""&amp;SUBSTITUTE(F1852,"" "","""")),""📲 Avisar al clien"&amp;"te""),"""")"),"")</f>
        <v/>
      </c>
      <c r="L1852" s="5" t="str">
        <f>IFERROR(__xludf.DUMMYFUNCTION("IF(C1852&lt;&gt;"""",""https://api.qrserver.com/v1/create-qr-code/?size=200x200&amp;data=""&amp;ENCODEURL(""https://wa.me/507""&amp;REGEXREPLACE(C1852,""[^0-9]"","""")&amp;""?text=""&amp;ENCODEURL(""Ya llegue. Codigo: ""&amp;A1852&amp;"". Ubicacion: ""&amp;""https://www.google.com/maps/search"&amp;"/?api=1&amp;query=""&amp;SUBSTITUTE(F1852,"" "",""""))),"""")"),"")</f>
        <v/>
      </c>
      <c r="M1852" s="5" t="str">
        <f t="shared" si="6"/>
        <v/>
      </c>
      <c r="N1852" s="5" t="str">
        <f>IFERROR(__xludf.DUMMYFUNCTION("IF(AND(F1852&lt;&gt;"""",REGEXMATCH(SUBSTITUTE(F1852,"" "",""""),""^-?\d+(\.\d+)?,-?\d+(\.\d+)?$""),VALUE(REGEXEXTRACT(SUBSTITUTE(F1852,"" "",""""),""^-?\d+(\.\d+)?""))&gt;=-90,VALUE(REGEXEXTRACT(SUBSTITUTE(F1852,"" "",""""),""^-?\d+(\.\d+)?""))&lt;=90,VALUE(REGEXEXT"&amp;"RACT(SUBSTITUTE(F1852,"" "",""""),""-?\d+(\.\d+)?$""))&gt;=-180,VALUE(REGEXEXTRACT(SUBSTITUTE(F1852,"" "",""""),""-?\d+(\.\d+)?$""))&lt;=180),""OK"",""REVISAR"")"),"#N/A")</f>
        <v>#N/A</v>
      </c>
    </row>
    <row r="1853" ht="15.75" customHeight="1">
      <c r="A1853" s="5" t="str">
        <f t="shared" si="1"/>
        <v>AD507-1851</v>
      </c>
      <c r="C1853" s="5"/>
      <c r="F1853" s="5"/>
      <c r="G1853" s="5" t="str">
        <f t="shared" si="2"/>
        <v/>
      </c>
      <c r="H1853" s="5" t="str">
        <f t="shared" si="3"/>
        <v/>
      </c>
      <c r="I1853" s="5" t="str">
        <f t="shared" si="4"/>
        <v/>
      </c>
      <c r="J1853" s="5" t="str">
        <f t="shared" si="5"/>
        <v/>
      </c>
      <c r="K1853" s="5" t="str">
        <f>IFERROR(__xludf.DUMMYFUNCTION("IF(C1853&lt;&gt;"""",HYPERLINK(""https://wa.me/507""&amp;REGEXREPLACE(C1853,""[^0-9]"","""")&amp;""?text=""&amp;ENCODEURL(""Ya llegue. Codigo: ""&amp;A1853&amp;"". Ubicacion: ""&amp;""https://www.google.com/maps/search/?api=1&amp;query=""&amp;SUBSTITUTE(F1853,"" "","""")),""📲 Avisar al clien"&amp;"te""),"""")"),"")</f>
        <v/>
      </c>
      <c r="L1853" s="5" t="str">
        <f>IFERROR(__xludf.DUMMYFUNCTION("IF(C1853&lt;&gt;"""",""https://api.qrserver.com/v1/create-qr-code/?size=200x200&amp;data=""&amp;ENCODEURL(""https://wa.me/507""&amp;REGEXREPLACE(C1853,""[^0-9]"","""")&amp;""?text=""&amp;ENCODEURL(""Ya llegue. Codigo: ""&amp;A1853&amp;"". Ubicacion: ""&amp;""https://www.google.com/maps/search"&amp;"/?api=1&amp;query=""&amp;SUBSTITUTE(F1853,"" "",""""))),"""")"),"")</f>
        <v/>
      </c>
      <c r="M1853" s="5" t="str">
        <f t="shared" si="6"/>
        <v/>
      </c>
      <c r="N1853" s="5" t="str">
        <f>IFERROR(__xludf.DUMMYFUNCTION("IF(AND(F1853&lt;&gt;"""",REGEXMATCH(SUBSTITUTE(F1853,"" "",""""),""^-?\d+(\.\d+)?,-?\d+(\.\d+)?$""),VALUE(REGEXEXTRACT(SUBSTITUTE(F1853,"" "",""""),""^-?\d+(\.\d+)?""))&gt;=-90,VALUE(REGEXEXTRACT(SUBSTITUTE(F1853,"" "",""""),""^-?\d+(\.\d+)?""))&lt;=90,VALUE(REGEXEXT"&amp;"RACT(SUBSTITUTE(F1853,"" "",""""),""-?\d+(\.\d+)?$""))&gt;=-180,VALUE(REGEXEXTRACT(SUBSTITUTE(F1853,"" "",""""),""-?\d+(\.\d+)?$""))&lt;=180),""OK"",""REVISAR"")"),"#N/A")</f>
        <v>#N/A</v>
      </c>
    </row>
    <row r="1854" ht="15.75" customHeight="1">
      <c r="A1854" s="5" t="str">
        <f t="shared" si="1"/>
        <v>AD507-1852</v>
      </c>
      <c r="C1854" s="5"/>
      <c r="F1854" s="5"/>
      <c r="G1854" s="5" t="str">
        <f t="shared" si="2"/>
        <v/>
      </c>
      <c r="H1854" s="5" t="str">
        <f t="shared" si="3"/>
        <v/>
      </c>
      <c r="I1854" s="5" t="str">
        <f t="shared" si="4"/>
        <v/>
      </c>
      <c r="J1854" s="5" t="str">
        <f t="shared" si="5"/>
        <v/>
      </c>
      <c r="K1854" s="5" t="str">
        <f>IFERROR(__xludf.DUMMYFUNCTION("IF(C1854&lt;&gt;"""",HYPERLINK(""https://wa.me/507""&amp;REGEXREPLACE(C1854,""[^0-9]"","""")&amp;""?text=""&amp;ENCODEURL(""Ya llegue. Codigo: ""&amp;A1854&amp;"". Ubicacion: ""&amp;""https://www.google.com/maps/search/?api=1&amp;query=""&amp;SUBSTITUTE(F1854,"" "","""")),""📲 Avisar al clien"&amp;"te""),"""")"),"")</f>
        <v/>
      </c>
      <c r="L1854" s="5" t="str">
        <f>IFERROR(__xludf.DUMMYFUNCTION("IF(C1854&lt;&gt;"""",""https://api.qrserver.com/v1/create-qr-code/?size=200x200&amp;data=""&amp;ENCODEURL(""https://wa.me/507""&amp;REGEXREPLACE(C1854,""[^0-9]"","""")&amp;""?text=""&amp;ENCODEURL(""Ya llegue. Codigo: ""&amp;A1854&amp;"". Ubicacion: ""&amp;""https://www.google.com/maps/search"&amp;"/?api=1&amp;query=""&amp;SUBSTITUTE(F1854,"" "",""""))),"""")"),"")</f>
        <v/>
      </c>
      <c r="M1854" s="5" t="str">
        <f t="shared" si="6"/>
        <v/>
      </c>
      <c r="N1854" s="5" t="str">
        <f>IFERROR(__xludf.DUMMYFUNCTION("IF(AND(F1854&lt;&gt;"""",REGEXMATCH(SUBSTITUTE(F1854,"" "",""""),""^-?\d+(\.\d+)?,-?\d+(\.\d+)?$""),VALUE(REGEXEXTRACT(SUBSTITUTE(F1854,"" "",""""),""^-?\d+(\.\d+)?""))&gt;=-90,VALUE(REGEXEXTRACT(SUBSTITUTE(F1854,"" "",""""),""^-?\d+(\.\d+)?""))&lt;=90,VALUE(REGEXEXT"&amp;"RACT(SUBSTITUTE(F1854,"" "",""""),""-?\d+(\.\d+)?$""))&gt;=-180,VALUE(REGEXEXTRACT(SUBSTITUTE(F1854,"" "",""""),""-?\d+(\.\d+)?$""))&lt;=180),""OK"",""REVISAR"")"),"#N/A")</f>
        <v>#N/A</v>
      </c>
    </row>
    <row r="1855" ht="15.75" customHeight="1">
      <c r="A1855" s="5" t="str">
        <f t="shared" si="1"/>
        <v>AD507-1853</v>
      </c>
      <c r="C1855" s="5"/>
      <c r="F1855" s="5"/>
      <c r="G1855" s="5" t="str">
        <f t="shared" si="2"/>
        <v/>
      </c>
      <c r="H1855" s="5" t="str">
        <f t="shared" si="3"/>
        <v/>
      </c>
      <c r="I1855" s="5" t="str">
        <f t="shared" si="4"/>
        <v/>
      </c>
      <c r="J1855" s="5" t="str">
        <f t="shared" si="5"/>
        <v/>
      </c>
      <c r="K1855" s="5" t="str">
        <f>IFERROR(__xludf.DUMMYFUNCTION("IF(C1855&lt;&gt;"""",HYPERLINK(""https://wa.me/507""&amp;REGEXREPLACE(C1855,""[^0-9]"","""")&amp;""?text=""&amp;ENCODEURL(""Ya llegue. Codigo: ""&amp;A1855&amp;"". Ubicacion: ""&amp;""https://www.google.com/maps/search/?api=1&amp;query=""&amp;SUBSTITUTE(F1855,"" "","""")),""📲 Avisar al clien"&amp;"te""),"""")"),"")</f>
        <v/>
      </c>
      <c r="L1855" s="5" t="str">
        <f>IFERROR(__xludf.DUMMYFUNCTION("IF(C1855&lt;&gt;"""",""https://api.qrserver.com/v1/create-qr-code/?size=200x200&amp;data=""&amp;ENCODEURL(""https://wa.me/507""&amp;REGEXREPLACE(C1855,""[^0-9]"","""")&amp;""?text=""&amp;ENCODEURL(""Ya llegue. Codigo: ""&amp;A1855&amp;"". Ubicacion: ""&amp;""https://www.google.com/maps/search"&amp;"/?api=1&amp;query=""&amp;SUBSTITUTE(F1855,"" "",""""))),"""")"),"")</f>
        <v/>
      </c>
      <c r="M1855" s="5" t="str">
        <f t="shared" si="6"/>
        <v/>
      </c>
      <c r="N1855" s="5" t="str">
        <f>IFERROR(__xludf.DUMMYFUNCTION("IF(AND(F1855&lt;&gt;"""",REGEXMATCH(SUBSTITUTE(F1855,"" "",""""),""^-?\d+(\.\d+)?,-?\d+(\.\d+)?$""),VALUE(REGEXEXTRACT(SUBSTITUTE(F1855,"" "",""""),""^-?\d+(\.\d+)?""))&gt;=-90,VALUE(REGEXEXTRACT(SUBSTITUTE(F1855,"" "",""""),""^-?\d+(\.\d+)?""))&lt;=90,VALUE(REGEXEXT"&amp;"RACT(SUBSTITUTE(F1855,"" "",""""),""-?\d+(\.\d+)?$""))&gt;=-180,VALUE(REGEXEXTRACT(SUBSTITUTE(F1855,"" "",""""),""-?\d+(\.\d+)?$""))&lt;=180),""OK"",""REVISAR"")"),"#N/A")</f>
        <v>#N/A</v>
      </c>
    </row>
    <row r="1856" ht="15.75" customHeight="1">
      <c r="A1856" s="5" t="str">
        <f t="shared" si="1"/>
        <v>AD507-1854</v>
      </c>
      <c r="C1856" s="5"/>
      <c r="F1856" s="5"/>
      <c r="G1856" s="5" t="str">
        <f t="shared" si="2"/>
        <v/>
      </c>
      <c r="H1856" s="5" t="str">
        <f t="shared" si="3"/>
        <v/>
      </c>
      <c r="I1856" s="5" t="str">
        <f t="shared" si="4"/>
        <v/>
      </c>
      <c r="J1856" s="5" t="str">
        <f t="shared" si="5"/>
        <v/>
      </c>
      <c r="K1856" s="5" t="str">
        <f>IFERROR(__xludf.DUMMYFUNCTION("IF(C1856&lt;&gt;"""",HYPERLINK(""https://wa.me/507""&amp;REGEXREPLACE(C1856,""[^0-9]"","""")&amp;""?text=""&amp;ENCODEURL(""Ya llegue. Codigo: ""&amp;A1856&amp;"". Ubicacion: ""&amp;""https://www.google.com/maps/search/?api=1&amp;query=""&amp;SUBSTITUTE(F1856,"" "","""")),""📲 Avisar al clien"&amp;"te""),"""")"),"")</f>
        <v/>
      </c>
      <c r="L1856" s="5" t="str">
        <f>IFERROR(__xludf.DUMMYFUNCTION("IF(C1856&lt;&gt;"""",""https://api.qrserver.com/v1/create-qr-code/?size=200x200&amp;data=""&amp;ENCODEURL(""https://wa.me/507""&amp;REGEXREPLACE(C1856,""[^0-9]"","""")&amp;""?text=""&amp;ENCODEURL(""Ya llegue. Codigo: ""&amp;A1856&amp;"". Ubicacion: ""&amp;""https://www.google.com/maps/search"&amp;"/?api=1&amp;query=""&amp;SUBSTITUTE(F1856,"" "",""""))),"""")"),"")</f>
        <v/>
      </c>
      <c r="M1856" s="5" t="str">
        <f t="shared" si="6"/>
        <v/>
      </c>
      <c r="N1856" s="5" t="str">
        <f>IFERROR(__xludf.DUMMYFUNCTION("IF(AND(F1856&lt;&gt;"""",REGEXMATCH(SUBSTITUTE(F1856,"" "",""""),""^-?\d+(\.\d+)?,-?\d+(\.\d+)?$""),VALUE(REGEXEXTRACT(SUBSTITUTE(F1856,"" "",""""),""^-?\d+(\.\d+)?""))&gt;=-90,VALUE(REGEXEXTRACT(SUBSTITUTE(F1856,"" "",""""),""^-?\d+(\.\d+)?""))&lt;=90,VALUE(REGEXEXT"&amp;"RACT(SUBSTITUTE(F1856,"" "",""""),""-?\d+(\.\d+)?$""))&gt;=-180,VALUE(REGEXEXTRACT(SUBSTITUTE(F1856,"" "",""""),""-?\d+(\.\d+)?$""))&lt;=180),""OK"",""REVISAR"")"),"#N/A")</f>
        <v>#N/A</v>
      </c>
    </row>
    <row r="1857" ht="15.75" customHeight="1">
      <c r="A1857" s="5" t="str">
        <f t="shared" si="1"/>
        <v>AD507-1855</v>
      </c>
      <c r="C1857" s="5"/>
      <c r="F1857" s="5"/>
      <c r="G1857" s="5" t="str">
        <f t="shared" si="2"/>
        <v/>
      </c>
      <c r="H1857" s="5" t="str">
        <f t="shared" si="3"/>
        <v/>
      </c>
      <c r="I1857" s="5" t="str">
        <f t="shared" si="4"/>
        <v/>
      </c>
      <c r="J1857" s="5" t="str">
        <f t="shared" si="5"/>
        <v/>
      </c>
      <c r="K1857" s="5" t="str">
        <f>IFERROR(__xludf.DUMMYFUNCTION("IF(C1857&lt;&gt;"""",HYPERLINK(""https://wa.me/507""&amp;REGEXREPLACE(C1857,""[^0-9]"","""")&amp;""?text=""&amp;ENCODEURL(""Ya llegue. Codigo: ""&amp;A1857&amp;"". Ubicacion: ""&amp;""https://www.google.com/maps/search/?api=1&amp;query=""&amp;SUBSTITUTE(F1857,"" "","""")),""📲 Avisar al clien"&amp;"te""),"""")"),"")</f>
        <v/>
      </c>
      <c r="L1857" s="5" t="str">
        <f>IFERROR(__xludf.DUMMYFUNCTION("IF(C1857&lt;&gt;"""",""https://api.qrserver.com/v1/create-qr-code/?size=200x200&amp;data=""&amp;ENCODEURL(""https://wa.me/507""&amp;REGEXREPLACE(C1857,""[^0-9]"","""")&amp;""?text=""&amp;ENCODEURL(""Ya llegue. Codigo: ""&amp;A1857&amp;"". Ubicacion: ""&amp;""https://www.google.com/maps/search"&amp;"/?api=1&amp;query=""&amp;SUBSTITUTE(F1857,"" "",""""))),"""")"),"")</f>
        <v/>
      </c>
      <c r="M1857" s="5" t="str">
        <f t="shared" si="6"/>
        <v/>
      </c>
      <c r="N1857" s="5" t="str">
        <f>IFERROR(__xludf.DUMMYFUNCTION("IF(AND(F1857&lt;&gt;"""",REGEXMATCH(SUBSTITUTE(F1857,"" "",""""),""^-?\d+(\.\d+)?,-?\d+(\.\d+)?$""),VALUE(REGEXEXTRACT(SUBSTITUTE(F1857,"" "",""""),""^-?\d+(\.\d+)?""))&gt;=-90,VALUE(REGEXEXTRACT(SUBSTITUTE(F1857,"" "",""""),""^-?\d+(\.\d+)?""))&lt;=90,VALUE(REGEXEXT"&amp;"RACT(SUBSTITUTE(F1857,"" "",""""),""-?\d+(\.\d+)?$""))&gt;=-180,VALUE(REGEXEXTRACT(SUBSTITUTE(F1857,"" "",""""),""-?\d+(\.\d+)?$""))&lt;=180),""OK"",""REVISAR"")"),"#N/A")</f>
        <v>#N/A</v>
      </c>
    </row>
    <row r="1858" ht="15.75" customHeight="1">
      <c r="A1858" s="5" t="str">
        <f t="shared" si="1"/>
        <v>AD507-1856</v>
      </c>
      <c r="C1858" s="5"/>
      <c r="F1858" s="5"/>
      <c r="G1858" s="5" t="str">
        <f t="shared" si="2"/>
        <v/>
      </c>
      <c r="H1858" s="5" t="str">
        <f t="shared" si="3"/>
        <v/>
      </c>
      <c r="I1858" s="5" t="str">
        <f t="shared" si="4"/>
        <v/>
      </c>
      <c r="J1858" s="5" t="str">
        <f t="shared" si="5"/>
        <v/>
      </c>
      <c r="K1858" s="5" t="str">
        <f>IFERROR(__xludf.DUMMYFUNCTION("IF(C1858&lt;&gt;"""",HYPERLINK(""https://wa.me/507""&amp;REGEXREPLACE(C1858,""[^0-9]"","""")&amp;""?text=""&amp;ENCODEURL(""Ya llegue. Codigo: ""&amp;A1858&amp;"". Ubicacion: ""&amp;""https://www.google.com/maps/search/?api=1&amp;query=""&amp;SUBSTITUTE(F1858,"" "","""")),""📲 Avisar al clien"&amp;"te""),"""")"),"")</f>
        <v/>
      </c>
      <c r="L1858" s="5" t="str">
        <f>IFERROR(__xludf.DUMMYFUNCTION("IF(C1858&lt;&gt;"""",""https://api.qrserver.com/v1/create-qr-code/?size=200x200&amp;data=""&amp;ENCODEURL(""https://wa.me/507""&amp;REGEXREPLACE(C1858,""[^0-9]"","""")&amp;""?text=""&amp;ENCODEURL(""Ya llegue. Codigo: ""&amp;A1858&amp;"". Ubicacion: ""&amp;""https://www.google.com/maps/search"&amp;"/?api=1&amp;query=""&amp;SUBSTITUTE(F1858,"" "",""""))),"""")"),"")</f>
        <v/>
      </c>
      <c r="M1858" s="5" t="str">
        <f t="shared" si="6"/>
        <v/>
      </c>
      <c r="N1858" s="5" t="str">
        <f>IFERROR(__xludf.DUMMYFUNCTION("IF(AND(F1858&lt;&gt;"""",REGEXMATCH(SUBSTITUTE(F1858,"" "",""""),""^-?\d+(\.\d+)?,-?\d+(\.\d+)?$""),VALUE(REGEXEXTRACT(SUBSTITUTE(F1858,"" "",""""),""^-?\d+(\.\d+)?""))&gt;=-90,VALUE(REGEXEXTRACT(SUBSTITUTE(F1858,"" "",""""),""^-?\d+(\.\d+)?""))&lt;=90,VALUE(REGEXEXT"&amp;"RACT(SUBSTITUTE(F1858,"" "",""""),""-?\d+(\.\d+)?$""))&gt;=-180,VALUE(REGEXEXTRACT(SUBSTITUTE(F1858,"" "",""""),""-?\d+(\.\d+)?$""))&lt;=180),""OK"",""REVISAR"")"),"#N/A")</f>
        <v>#N/A</v>
      </c>
    </row>
    <row r="1859" ht="15.75" customHeight="1">
      <c r="A1859" s="5" t="str">
        <f t="shared" si="1"/>
        <v>AD507-1857</v>
      </c>
      <c r="C1859" s="5"/>
      <c r="F1859" s="5"/>
      <c r="G1859" s="5" t="str">
        <f t="shared" si="2"/>
        <v/>
      </c>
      <c r="H1859" s="5" t="str">
        <f t="shared" si="3"/>
        <v/>
      </c>
      <c r="I1859" s="5" t="str">
        <f t="shared" si="4"/>
        <v/>
      </c>
      <c r="J1859" s="5" t="str">
        <f t="shared" si="5"/>
        <v/>
      </c>
      <c r="K1859" s="5" t="str">
        <f>IFERROR(__xludf.DUMMYFUNCTION("IF(C1859&lt;&gt;"""",HYPERLINK(""https://wa.me/507""&amp;REGEXREPLACE(C1859,""[^0-9]"","""")&amp;""?text=""&amp;ENCODEURL(""Ya llegue. Codigo: ""&amp;A1859&amp;"". Ubicacion: ""&amp;""https://www.google.com/maps/search/?api=1&amp;query=""&amp;SUBSTITUTE(F1859,"" "","""")),""📲 Avisar al clien"&amp;"te""),"""")"),"")</f>
        <v/>
      </c>
      <c r="L1859" s="5" t="str">
        <f>IFERROR(__xludf.DUMMYFUNCTION("IF(C1859&lt;&gt;"""",""https://api.qrserver.com/v1/create-qr-code/?size=200x200&amp;data=""&amp;ENCODEURL(""https://wa.me/507""&amp;REGEXREPLACE(C1859,""[^0-9]"","""")&amp;""?text=""&amp;ENCODEURL(""Ya llegue. Codigo: ""&amp;A1859&amp;"". Ubicacion: ""&amp;""https://www.google.com/maps/search"&amp;"/?api=1&amp;query=""&amp;SUBSTITUTE(F1859,"" "",""""))),"""")"),"")</f>
        <v/>
      </c>
      <c r="M1859" s="5" t="str">
        <f t="shared" si="6"/>
        <v/>
      </c>
      <c r="N1859" s="5" t="str">
        <f>IFERROR(__xludf.DUMMYFUNCTION("IF(AND(F1859&lt;&gt;"""",REGEXMATCH(SUBSTITUTE(F1859,"" "",""""),""^-?\d+(\.\d+)?,-?\d+(\.\d+)?$""),VALUE(REGEXEXTRACT(SUBSTITUTE(F1859,"" "",""""),""^-?\d+(\.\d+)?""))&gt;=-90,VALUE(REGEXEXTRACT(SUBSTITUTE(F1859,"" "",""""),""^-?\d+(\.\d+)?""))&lt;=90,VALUE(REGEXEXT"&amp;"RACT(SUBSTITUTE(F1859,"" "",""""),""-?\d+(\.\d+)?$""))&gt;=-180,VALUE(REGEXEXTRACT(SUBSTITUTE(F1859,"" "",""""),""-?\d+(\.\d+)?$""))&lt;=180),""OK"",""REVISAR"")"),"#N/A")</f>
        <v>#N/A</v>
      </c>
    </row>
    <row r="1860" ht="15.75" customHeight="1">
      <c r="A1860" s="5" t="str">
        <f t="shared" si="1"/>
        <v>AD507-1858</v>
      </c>
      <c r="C1860" s="5"/>
      <c r="F1860" s="5"/>
      <c r="G1860" s="5" t="str">
        <f t="shared" si="2"/>
        <v/>
      </c>
      <c r="H1860" s="5" t="str">
        <f t="shared" si="3"/>
        <v/>
      </c>
      <c r="I1860" s="5" t="str">
        <f t="shared" si="4"/>
        <v/>
      </c>
      <c r="J1860" s="5" t="str">
        <f t="shared" si="5"/>
        <v/>
      </c>
      <c r="K1860" s="5" t="str">
        <f>IFERROR(__xludf.DUMMYFUNCTION("IF(C1860&lt;&gt;"""",HYPERLINK(""https://wa.me/507""&amp;REGEXREPLACE(C1860,""[^0-9]"","""")&amp;""?text=""&amp;ENCODEURL(""Ya llegue. Codigo: ""&amp;A1860&amp;"". Ubicacion: ""&amp;""https://www.google.com/maps/search/?api=1&amp;query=""&amp;SUBSTITUTE(F1860,"" "","""")),""📲 Avisar al clien"&amp;"te""),"""")"),"")</f>
        <v/>
      </c>
      <c r="L1860" s="5" t="str">
        <f>IFERROR(__xludf.DUMMYFUNCTION("IF(C1860&lt;&gt;"""",""https://api.qrserver.com/v1/create-qr-code/?size=200x200&amp;data=""&amp;ENCODEURL(""https://wa.me/507""&amp;REGEXREPLACE(C1860,""[^0-9]"","""")&amp;""?text=""&amp;ENCODEURL(""Ya llegue. Codigo: ""&amp;A1860&amp;"". Ubicacion: ""&amp;""https://www.google.com/maps/search"&amp;"/?api=1&amp;query=""&amp;SUBSTITUTE(F1860,"" "",""""))),"""")"),"")</f>
        <v/>
      </c>
      <c r="M1860" s="5" t="str">
        <f t="shared" si="6"/>
        <v/>
      </c>
      <c r="N1860" s="5" t="str">
        <f>IFERROR(__xludf.DUMMYFUNCTION("IF(AND(F1860&lt;&gt;"""",REGEXMATCH(SUBSTITUTE(F1860,"" "",""""),""^-?\d+(\.\d+)?,-?\d+(\.\d+)?$""),VALUE(REGEXEXTRACT(SUBSTITUTE(F1860,"" "",""""),""^-?\d+(\.\d+)?""))&gt;=-90,VALUE(REGEXEXTRACT(SUBSTITUTE(F1860,"" "",""""),""^-?\d+(\.\d+)?""))&lt;=90,VALUE(REGEXEXT"&amp;"RACT(SUBSTITUTE(F1860,"" "",""""),""-?\d+(\.\d+)?$""))&gt;=-180,VALUE(REGEXEXTRACT(SUBSTITUTE(F1860,"" "",""""),""-?\d+(\.\d+)?$""))&lt;=180),""OK"",""REVISAR"")"),"#N/A")</f>
        <v>#N/A</v>
      </c>
    </row>
    <row r="1861" ht="15.75" customHeight="1">
      <c r="A1861" s="5" t="str">
        <f t="shared" si="1"/>
        <v>AD507-1859</v>
      </c>
      <c r="C1861" s="5"/>
      <c r="F1861" s="5"/>
      <c r="G1861" s="5" t="str">
        <f t="shared" si="2"/>
        <v/>
      </c>
      <c r="H1861" s="5" t="str">
        <f t="shared" si="3"/>
        <v/>
      </c>
      <c r="I1861" s="5" t="str">
        <f t="shared" si="4"/>
        <v/>
      </c>
      <c r="J1861" s="5" t="str">
        <f t="shared" si="5"/>
        <v/>
      </c>
      <c r="K1861" s="5" t="str">
        <f>IFERROR(__xludf.DUMMYFUNCTION("IF(C1861&lt;&gt;"""",HYPERLINK(""https://wa.me/507""&amp;REGEXREPLACE(C1861,""[^0-9]"","""")&amp;""?text=""&amp;ENCODEURL(""Ya llegue. Codigo: ""&amp;A1861&amp;"". Ubicacion: ""&amp;""https://www.google.com/maps/search/?api=1&amp;query=""&amp;SUBSTITUTE(F1861,"" "","""")),""📲 Avisar al clien"&amp;"te""),"""")"),"")</f>
        <v/>
      </c>
      <c r="L1861" s="5" t="str">
        <f>IFERROR(__xludf.DUMMYFUNCTION("IF(C1861&lt;&gt;"""",""https://api.qrserver.com/v1/create-qr-code/?size=200x200&amp;data=""&amp;ENCODEURL(""https://wa.me/507""&amp;REGEXREPLACE(C1861,""[^0-9]"","""")&amp;""?text=""&amp;ENCODEURL(""Ya llegue. Codigo: ""&amp;A1861&amp;"". Ubicacion: ""&amp;""https://www.google.com/maps/search"&amp;"/?api=1&amp;query=""&amp;SUBSTITUTE(F1861,"" "",""""))),"""")"),"")</f>
        <v/>
      </c>
      <c r="M1861" s="5" t="str">
        <f t="shared" si="6"/>
        <v/>
      </c>
      <c r="N1861" s="5" t="str">
        <f>IFERROR(__xludf.DUMMYFUNCTION("IF(AND(F1861&lt;&gt;"""",REGEXMATCH(SUBSTITUTE(F1861,"" "",""""),""^-?\d+(\.\d+)?,-?\d+(\.\d+)?$""),VALUE(REGEXEXTRACT(SUBSTITUTE(F1861,"" "",""""),""^-?\d+(\.\d+)?""))&gt;=-90,VALUE(REGEXEXTRACT(SUBSTITUTE(F1861,"" "",""""),""^-?\d+(\.\d+)?""))&lt;=90,VALUE(REGEXEXT"&amp;"RACT(SUBSTITUTE(F1861,"" "",""""),""-?\d+(\.\d+)?$""))&gt;=-180,VALUE(REGEXEXTRACT(SUBSTITUTE(F1861,"" "",""""),""-?\d+(\.\d+)?$""))&lt;=180),""OK"",""REVISAR"")"),"#N/A")</f>
        <v>#N/A</v>
      </c>
    </row>
    <row r="1862" ht="15.75" customHeight="1">
      <c r="A1862" s="5" t="str">
        <f t="shared" si="1"/>
        <v>AD507-1860</v>
      </c>
      <c r="C1862" s="5"/>
      <c r="F1862" s="5"/>
      <c r="G1862" s="5" t="str">
        <f t="shared" si="2"/>
        <v/>
      </c>
      <c r="H1862" s="5" t="str">
        <f t="shared" si="3"/>
        <v/>
      </c>
      <c r="I1862" s="5" t="str">
        <f t="shared" si="4"/>
        <v/>
      </c>
      <c r="J1862" s="5" t="str">
        <f t="shared" si="5"/>
        <v/>
      </c>
      <c r="K1862" s="5" t="str">
        <f>IFERROR(__xludf.DUMMYFUNCTION("IF(C1862&lt;&gt;"""",HYPERLINK(""https://wa.me/507""&amp;REGEXREPLACE(C1862,""[^0-9]"","""")&amp;""?text=""&amp;ENCODEURL(""Ya llegue. Codigo: ""&amp;A1862&amp;"". Ubicacion: ""&amp;""https://www.google.com/maps/search/?api=1&amp;query=""&amp;SUBSTITUTE(F1862,"" "","""")),""📲 Avisar al clien"&amp;"te""),"""")"),"")</f>
        <v/>
      </c>
      <c r="L1862" s="5" t="str">
        <f>IFERROR(__xludf.DUMMYFUNCTION("IF(C1862&lt;&gt;"""",""https://api.qrserver.com/v1/create-qr-code/?size=200x200&amp;data=""&amp;ENCODEURL(""https://wa.me/507""&amp;REGEXREPLACE(C1862,""[^0-9]"","""")&amp;""?text=""&amp;ENCODEURL(""Ya llegue. Codigo: ""&amp;A1862&amp;"". Ubicacion: ""&amp;""https://www.google.com/maps/search"&amp;"/?api=1&amp;query=""&amp;SUBSTITUTE(F1862,"" "",""""))),"""")"),"")</f>
        <v/>
      </c>
      <c r="M1862" s="5" t="str">
        <f t="shared" si="6"/>
        <v/>
      </c>
      <c r="N1862" s="5" t="str">
        <f>IFERROR(__xludf.DUMMYFUNCTION("IF(AND(F1862&lt;&gt;"""",REGEXMATCH(SUBSTITUTE(F1862,"" "",""""),""^-?\d+(\.\d+)?,-?\d+(\.\d+)?$""),VALUE(REGEXEXTRACT(SUBSTITUTE(F1862,"" "",""""),""^-?\d+(\.\d+)?""))&gt;=-90,VALUE(REGEXEXTRACT(SUBSTITUTE(F1862,"" "",""""),""^-?\d+(\.\d+)?""))&lt;=90,VALUE(REGEXEXT"&amp;"RACT(SUBSTITUTE(F1862,"" "",""""),""-?\d+(\.\d+)?$""))&gt;=-180,VALUE(REGEXEXTRACT(SUBSTITUTE(F1862,"" "",""""),""-?\d+(\.\d+)?$""))&lt;=180),""OK"",""REVISAR"")"),"#N/A")</f>
        <v>#N/A</v>
      </c>
    </row>
    <row r="1863" ht="15.75" customHeight="1">
      <c r="A1863" s="5" t="str">
        <f t="shared" si="1"/>
        <v>AD507-1861</v>
      </c>
      <c r="C1863" s="5"/>
      <c r="F1863" s="5"/>
      <c r="G1863" s="5" t="str">
        <f t="shared" si="2"/>
        <v/>
      </c>
      <c r="H1863" s="5" t="str">
        <f t="shared" si="3"/>
        <v/>
      </c>
      <c r="I1863" s="5" t="str">
        <f t="shared" si="4"/>
        <v/>
      </c>
      <c r="J1863" s="5" t="str">
        <f t="shared" si="5"/>
        <v/>
      </c>
      <c r="K1863" s="5" t="str">
        <f>IFERROR(__xludf.DUMMYFUNCTION("IF(C1863&lt;&gt;"""",HYPERLINK(""https://wa.me/507""&amp;REGEXREPLACE(C1863,""[^0-9]"","""")&amp;""?text=""&amp;ENCODEURL(""Ya llegue. Codigo: ""&amp;A1863&amp;"". Ubicacion: ""&amp;""https://www.google.com/maps/search/?api=1&amp;query=""&amp;SUBSTITUTE(F1863,"" "","""")),""📲 Avisar al clien"&amp;"te""),"""")"),"")</f>
        <v/>
      </c>
      <c r="L1863" s="5" t="str">
        <f>IFERROR(__xludf.DUMMYFUNCTION("IF(C1863&lt;&gt;"""",""https://api.qrserver.com/v1/create-qr-code/?size=200x200&amp;data=""&amp;ENCODEURL(""https://wa.me/507""&amp;REGEXREPLACE(C1863,""[^0-9]"","""")&amp;""?text=""&amp;ENCODEURL(""Ya llegue. Codigo: ""&amp;A1863&amp;"". Ubicacion: ""&amp;""https://www.google.com/maps/search"&amp;"/?api=1&amp;query=""&amp;SUBSTITUTE(F1863,"" "",""""))),"""")"),"")</f>
        <v/>
      </c>
      <c r="M1863" s="5" t="str">
        <f t="shared" si="6"/>
        <v/>
      </c>
      <c r="N1863" s="5" t="str">
        <f>IFERROR(__xludf.DUMMYFUNCTION("IF(AND(F1863&lt;&gt;"""",REGEXMATCH(SUBSTITUTE(F1863,"" "",""""),""^-?\d+(\.\d+)?,-?\d+(\.\d+)?$""),VALUE(REGEXEXTRACT(SUBSTITUTE(F1863,"" "",""""),""^-?\d+(\.\d+)?""))&gt;=-90,VALUE(REGEXEXTRACT(SUBSTITUTE(F1863,"" "",""""),""^-?\d+(\.\d+)?""))&lt;=90,VALUE(REGEXEXT"&amp;"RACT(SUBSTITUTE(F1863,"" "",""""),""-?\d+(\.\d+)?$""))&gt;=-180,VALUE(REGEXEXTRACT(SUBSTITUTE(F1863,"" "",""""),""-?\d+(\.\d+)?$""))&lt;=180),""OK"",""REVISAR"")"),"#N/A")</f>
        <v>#N/A</v>
      </c>
    </row>
    <row r="1864" ht="15.75" customHeight="1">
      <c r="A1864" s="5" t="str">
        <f t="shared" si="1"/>
        <v>AD507-1862</v>
      </c>
      <c r="C1864" s="5"/>
      <c r="F1864" s="5"/>
      <c r="G1864" s="5" t="str">
        <f t="shared" si="2"/>
        <v/>
      </c>
      <c r="H1864" s="5" t="str">
        <f t="shared" si="3"/>
        <v/>
      </c>
      <c r="I1864" s="5" t="str">
        <f t="shared" si="4"/>
        <v/>
      </c>
      <c r="J1864" s="5" t="str">
        <f t="shared" si="5"/>
        <v/>
      </c>
      <c r="K1864" s="5" t="str">
        <f>IFERROR(__xludf.DUMMYFUNCTION("IF(C1864&lt;&gt;"""",HYPERLINK(""https://wa.me/507""&amp;REGEXREPLACE(C1864,""[^0-9]"","""")&amp;""?text=""&amp;ENCODEURL(""Ya llegue. Codigo: ""&amp;A1864&amp;"". Ubicacion: ""&amp;""https://www.google.com/maps/search/?api=1&amp;query=""&amp;SUBSTITUTE(F1864,"" "","""")),""📲 Avisar al clien"&amp;"te""),"""")"),"")</f>
        <v/>
      </c>
      <c r="L1864" s="5" t="str">
        <f>IFERROR(__xludf.DUMMYFUNCTION("IF(C1864&lt;&gt;"""",""https://api.qrserver.com/v1/create-qr-code/?size=200x200&amp;data=""&amp;ENCODEURL(""https://wa.me/507""&amp;REGEXREPLACE(C1864,""[^0-9]"","""")&amp;""?text=""&amp;ENCODEURL(""Ya llegue. Codigo: ""&amp;A1864&amp;"". Ubicacion: ""&amp;""https://www.google.com/maps/search"&amp;"/?api=1&amp;query=""&amp;SUBSTITUTE(F1864,"" "",""""))),"""")"),"")</f>
        <v/>
      </c>
      <c r="M1864" s="5" t="str">
        <f t="shared" si="6"/>
        <v/>
      </c>
      <c r="N1864" s="5" t="str">
        <f>IFERROR(__xludf.DUMMYFUNCTION("IF(AND(F1864&lt;&gt;"""",REGEXMATCH(SUBSTITUTE(F1864,"" "",""""),""^-?\d+(\.\d+)?,-?\d+(\.\d+)?$""),VALUE(REGEXEXTRACT(SUBSTITUTE(F1864,"" "",""""),""^-?\d+(\.\d+)?""))&gt;=-90,VALUE(REGEXEXTRACT(SUBSTITUTE(F1864,"" "",""""),""^-?\d+(\.\d+)?""))&lt;=90,VALUE(REGEXEXT"&amp;"RACT(SUBSTITUTE(F1864,"" "",""""),""-?\d+(\.\d+)?$""))&gt;=-180,VALUE(REGEXEXTRACT(SUBSTITUTE(F1864,"" "",""""),""-?\d+(\.\d+)?$""))&lt;=180),""OK"",""REVISAR"")"),"#N/A")</f>
        <v>#N/A</v>
      </c>
    </row>
    <row r="1865" ht="15.75" customHeight="1">
      <c r="A1865" s="5" t="str">
        <f t="shared" si="1"/>
        <v>AD507-1863</v>
      </c>
      <c r="C1865" s="5"/>
      <c r="F1865" s="5"/>
      <c r="G1865" s="5" t="str">
        <f t="shared" si="2"/>
        <v/>
      </c>
      <c r="H1865" s="5" t="str">
        <f t="shared" si="3"/>
        <v/>
      </c>
      <c r="I1865" s="5" t="str">
        <f t="shared" si="4"/>
        <v/>
      </c>
      <c r="J1865" s="5" t="str">
        <f t="shared" si="5"/>
        <v/>
      </c>
      <c r="K1865" s="5" t="str">
        <f>IFERROR(__xludf.DUMMYFUNCTION("IF(C1865&lt;&gt;"""",HYPERLINK(""https://wa.me/507""&amp;REGEXREPLACE(C1865,""[^0-9]"","""")&amp;""?text=""&amp;ENCODEURL(""Ya llegue. Codigo: ""&amp;A1865&amp;"". Ubicacion: ""&amp;""https://www.google.com/maps/search/?api=1&amp;query=""&amp;SUBSTITUTE(F1865,"" "","""")),""📲 Avisar al clien"&amp;"te""),"""")"),"")</f>
        <v/>
      </c>
      <c r="L1865" s="5" t="str">
        <f>IFERROR(__xludf.DUMMYFUNCTION("IF(C1865&lt;&gt;"""",""https://api.qrserver.com/v1/create-qr-code/?size=200x200&amp;data=""&amp;ENCODEURL(""https://wa.me/507""&amp;REGEXREPLACE(C1865,""[^0-9]"","""")&amp;""?text=""&amp;ENCODEURL(""Ya llegue. Codigo: ""&amp;A1865&amp;"". Ubicacion: ""&amp;""https://www.google.com/maps/search"&amp;"/?api=1&amp;query=""&amp;SUBSTITUTE(F1865,"" "",""""))),"""")"),"")</f>
        <v/>
      </c>
      <c r="M1865" s="5" t="str">
        <f t="shared" si="6"/>
        <v/>
      </c>
      <c r="N1865" s="5" t="str">
        <f>IFERROR(__xludf.DUMMYFUNCTION("IF(AND(F1865&lt;&gt;"""",REGEXMATCH(SUBSTITUTE(F1865,"" "",""""),""^-?\d+(\.\d+)?,-?\d+(\.\d+)?$""),VALUE(REGEXEXTRACT(SUBSTITUTE(F1865,"" "",""""),""^-?\d+(\.\d+)?""))&gt;=-90,VALUE(REGEXEXTRACT(SUBSTITUTE(F1865,"" "",""""),""^-?\d+(\.\d+)?""))&lt;=90,VALUE(REGEXEXT"&amp;"RACT(SUBSTITUTE(F1865,"" "",""""),""-?\d+(\.\d+)?$""))&gt;=-180,VALUE(REGEXEXTRACT(SUBSTITUTE(F1865,"" "",""""),""-?\d+(\.\d+)?$""))&lt;=180),""OK"",""REVISAR"")"),"#N/A")</f>
        <v>#N/A</v>
      </c>
    </row>
    <row r="1866" ht="15.75" customHeight="1">
      <c r="A1866" s="5" t="str">
        <f t="shared" si="1"/>
        <v>AD507-1864</v>
      </c>
      <c r="C1866" s="5"/>
      <c r="F1866" s="5"/>
      <c r="G1866" s="5" t="str">
        <f t="shared" si="2"/>
        <v/>
      </c>
      <c r="H1866" s="5" t="str">
        <f t="shared" si="3"/>
        <v/>
      </c>
      <c r="I1866" s="5" t="str">
        <f t="shared" si="4"/>
        <v/>
      </c>
      <c r="J1866" s="5" t="str">
        <f t="shared" si="5"/>
        <v/>
      </c>
      <c r="K1866" s="5" t="str">
        <f>IFERROR(__xludf.DUMMYFUNCTION("IF(C1866&lt;&gt;"""",HYPERLINK(""https://wa.me/507""&amp;REGEXREPLACE(C1866,""[^0-9]"","""")&amp;""?text=""&amp;ENCODEURL(""Ya llegue. Codigo: ""&amp;A1866&amp;"". Ubicacion: ""&amp;""https://www.google.com/maps/search/?api=1&amp;query=""&amp;SUBSTITUTE(F1866,"" "","""")),""📲 Avisar al clien"&amp;"te""),"""")"),"")</f>
        <v/>
      </c>
      <c r="L1866" s="5" t="str">
        <f>IFERROR(__xludf.DUMMYFUNCTION("IF(C1866&lt;&gt;"""",""https://api.qrserver.com/v1/create-qr-code/?size=200x200&amp;data=""&amp;ENCODEURL(""https://wa.me/507""&amp;REGEXREPLACE(C1866,""[^0-9]"","""")&amp;""?text=""&amp;ENCODEURL(""Ya llegue. Codigo: ""&amp;A1866&amp;"". Ubicacion: ""&amp;""https://www.google.com/maps/search"&amp;"/?api=1&amp;query=""&amp;SUBSTITUTE(F1866,"" "",""""))),"""")"),"")</f>
        <v/>
      </c>
      <c r="M1866" s="5" t="str">
        <f t="shared" si="6"/>
        <v/>
      </c>
      <c r="N1866" s="5" t="str">
        <f>IFERROR(__xludf.DUMMYFUNCTION("IF(AND(F1866&lt;&gt;"""",REGEXMATCH(SUBSTITUTE(F1866,"" "",""""),""^-?\d+(\.\d+)?,-?\d+(\.\d+)?$""),VALUE(REGEXEXTRACT(SUBSTITUTE(F1866,"" "",""""),""^-?\d+(\.\d+)?""))&gt;=-90,VALUE(REGEXEXTRACT(SUBSTITUTE(F1866,"" "",""""),""^-?\d+(\.\d+)?""))&lt;=90,VALUE(REGEXEXT"&amp;"RACT(SUBSTITUTE(F1866,"" "",""""),""-?\d+(\.\d+)?$""))&gt;=-180,VALUE(REGEXEXTRACT(SUBSTITUTE(F1866,"" "",""""),""-?\d+(\.\d+)?$""))&lt;=180),""OK"",""REVISAR"")"),"#N/A")</f>
        <v>#N/A</v>
      </c>
    </row>
    <row r="1867" ht="15.75" customHeight="1">
      <c r="A1867" s="5" t="str">
        <f t="shared" si="1"/>
        <v>AD507-1865</v>
      </c>
      <c r="C1867" s="5"/>
      <c r="F1867" s="5"/>
      <c r="G1867" s="5" t="str">
        <f t="shared" si="2"/>
        <v/>
      </c>
      <c r="H1867" s="5" t="str">
        <f t="shared" si="3"/>
        <v/>
      </c>
      <c r="I1867" s="5" t="str">
        <f t="shared" si="4"/>
        <v/>
      </c>
      <c r="J1867" s="5" t="str">
        <f t="shared" si="5"/>
        <v/>
      </c>
      <c r="K1867" s="5" t="str">
        <f>IFERROR(__xludf.DUMMYFUNCTION("IF(C1867&lt;&gt;"""",HYPERLINK(""https://wa.me/507""&amp;REGEXREPLACE(C1867,""[^0-9]"","""")&amp;""?text=""&amp;ENCODEURL(""Ya llegue. Codigo: ""&amp;A1867&amp;"". Ubicacion: ""&amp;""https://www.google.com/maps/search/?api=1&amp;query=""&amp;SUBSTITUTE(F1867,"" "","""")),""📲 Avisar al clien"&amp;"te""),"""")"),"")</f>
        <v/>
      </c>
      <c r="L1867" s="5" t="str">
        <f>IFERROR(__xludf.DUMMYFUNCTION("IF(C1867&lt;&gt;"""",""https://api.qrserver.com/v1/create-qr-code/?size=200x200&amp;data=""&amp;ENCODEURL(""https://wa.me/507""&amp;REGEXREPLACE(C1867,""[^0-9]"","""")&amp;""?text=""&amp;ENCODEURL(""Ya llegue. Codigo: ""&amp;A1867&amp;"". Ubicacion: ""&amp;""https://www.google.com/maps/search"&amp;"/?api=1&amp;query=""&amp;SUBSTITUTE(F1867,"" "",""""))),"""")"),"")</f>
        <v/>
      </c>
      <c r="M1867" s="5" t="str">
        <f t="shared" si="6"/>
        <v/>
      </c>
      <c r="N1867" s="5" t="str">
        <f>IFERROR(__xludf.DUMMYFUNCTION("IF(AND(F1867&lt;&gt;"""",REGEXMATCH(SUBSTITUTE(F1867,"" "",""""),""^-?\d+(\.\d+)?,-?\d+(\.\d+)?$""),VALUE(REGEXEXTRACT(SUBSTITUTE(F1867,"" "",""""),""^-?\d+(\.\d+)?""))&gt;=-90,VALUE(REGEXEXTRACT(SUBSTITUTE(F1867,"" "",""""),""^-?\d+(\.\d+)?""))&lt;=90,VALUE(REGEXEXT"&amp;"RACT(SUBSTITUTE(F1867,"" "",""""),""-?\d+(\.\d+)?$""))&gt;=-180,VALUE(REGEXEXTRACT(SUBSTITUTE(F1867,"" "",""""),""-?\d+(\.\d+)?$""))&lt;=180),""OK"",""REVISAR"")"),"#N/A")</f>
        <v>#N/A</v>
      </c>
    </row>
    <row r="1868" ht="15.75" customHeight="1">
      <c r="A1868" s="5" t="str">
        <f t="shared" si="1"/>
        <v>AD507-1866</v>
      </c>
      <c r="C1868" s="5"/>
      <c r="F1868" s="5"/>
      <c r="G1868" s="5" t="str">
        <f t="shared" si="2"/>
        <v/>
      </c>
      <c r="H1868" s="5" t="str">
        <f t="shared" si="3"/>
        <v/>
      </c>
      <c r="I1868" s="5" t="str">
        <f t="shared" si="4"/>
        <v/>
      </c>
      <c r="J1868" s="5" t="str">
        <f t="shared" si="5"/>
        <v/>
      </c>
      <c r="K1868" s="5" t="str">
        <f>IFERROR(__xludf.DUMMYFUNCTION("IF(C1868&lt;&gt;"""",HYPERLINK(""https://wa.me/507""&amp;REGEXREPLACE(C1868,""[^0-9]"","""")&amp;""?text=""&amp;ENCODEURL(""Ya llegue. Codigo: ""&amp;A1868&amp;"". Ubicacion: ""&amp;""https://www.google.com/maps/search/?api=1&amp;query=""&amp;SUBSTITUTE(F1868,"" "","""")),""📲 Avisar al clien"&amp;"te""),"""")"),"")</f>
        <v/>
      </c>
      <c r="L1868" s="5" t="str">
        <f>IFERROR(__xludf.DUMMYFUNCTION("IF(C1868&lt;&gt;"""",""https://api.qrserver.com/v1/create-qr-code/?size=200x200&amp;data=""&amp;ENCODEURL(""https://wa.me/507""&amp;REGEXREPLACE(C1868,""[^0-9]"","""")&amp;""?text=""&amp;ENCODEURL(""Ya llegue. Codigo: ""&amp;A1868&amp;"". Ubicacion: ""&amp;""https://www.google.com/maps/search"&amp;"/?api=1&amp;query=""&amp;SUBSTITUTE(F1868,"" "",""""))),"""")"),"")</f>
        <v/>
      </c>
      <c r="M1868" s="5" t="str">
        <f t="shared" si="6"/>
        <v/>
      </c>
      <c r="N1868" s="5" t="str">
        <f>IFERROR(__xludf.DUMMYFUNCTION("IF(AND(F1868&lt;&gt;"""",REGEXMATCH(SUBSTITUTE(F1868,"" "",""""),""^-?\d+(\.\d+)?,-?\d+(\.\d+)?$""),VALUE(REGEXEXTRACT(SUBSTITUTE(F1868,"" "",""""),""^-?\d+(\.\d+)?""))&gt;=-90,VALUE(REGEXEXTRACT(SUBSTITUTE(F1868,"" "",""""),""^-?\d+(\.\d+)?""))&lt;=90,VALUE(REGEXEXT"&amp;"RACT(SUBSTITUTE(F1868,"" "",""""),""-?\d+(\.\d+)?$""))&gt;=-180,VALUE(REGEXEXTRACT(SUBSTITUTE(F1868,"" "",""""),""-?\d+(\.\d+)?$""))&lt;=180),""OK"",""REVISAR"")"),"#N/A")</f>
        <v>#N/A</v>
      </c>
    </row>
    <row r="1869" ht="15.75" customHeight="1">
      <c r="A1869" s="5" t="str">
        <f t="shared" si="1"/>
        <v>AD507-1867</v>
      </c>
      <c r="C1869" s="5"/>
      <c r="F1869" s="5"/>
      <c r="G1869" s="5" t="str">
        <f t="shared" si="2"/>
        <v/>
      </c>
      <c r="H1869" s="5" t="str">
        <f t="shared" si="3"/>
        <v/>
      </c>
      <c r="I1869" s="5" t="str">
        <f t="shared" si="4"/>
        <v/>
      </c>
      <c r="J1869" s="5" t="str">
        <f t="shared" si="5"/>
        <v/>
      </c>
      <c r="K1869" s="5" t="str">
        <f>IFERROR(__xludf.DUMMYFUNCTION("IF(C1869&lt;&gt;"""",HYPERLINK(""https://wa.me/507""&amp;REGEXREPLACE(C1869,""[^0-9]"","""")&amp;""?text=""&amp;ENCODEURL(""Ya llegue. Codigo: ""&amp;A1869&amp;"". Ubicacion: ""&amp;""https://www.google.com/maps/search/?api=1&amp;query=""&amp;SUBSTITUTE(F1869,"" "","""")),""📲 Avisar al clien"&amp;"te""),"""")"),"")</f>
        <v/>
      </c>
      <c r="L1869" s="5" t="str">
        <f>IFERROR(__xludf.DUMMYFUNCTION("IF(C1869&lt;&gt;"""",""https://api.qrserver.com/v1/create-qr-code/?size=200x200&amp;data=""&amp;ENCODEURL(""https://wa.me/507""&amp;REGEXREPLACE(C1869,""[^0-9]"","""")&amp;""?text=""&amp;ENCODEURL(""Ya llegue. Codigo: ""&amp;A1869&amp;"". Ubicacion: ""&amp;""https://www.google.com/maps/search"&amp;"/?api=1&amp;query=""&amp;SUBSTITUTE(F1869,"" "",""""))),"""")"),"")</f>
        <v/>
      </c>
      <c r="M1869" s="5" t="str">
        <f t="shared" si="6"/>
        <v/>
      </c>
      <c r="N1869" s="5" t="str">
        <f>IFERROR(__xludf.DUMMYFUNCTION("IF(AND(F1869&lt;&gt;"""",REGEXMATCH(SUBSTITUTE(F1869,"" "",""""),""^-?\d+(\.\d+)?,-?\d+(\.\d+)?$""),VALUE(REGEXEXTRACT(SUBSTITUTE(F1869,"" "",""""),""^-?\d+(\.\d+)?""))&gt;=-90,VALUE(REGEXEXTRACT(SUBSTITUTE(F1869,"" "",""""),""^-?\d+(\.\d+)?""))&lt;=90,VALUE(REGEXEXT"&amp;"RACT(SUBSTITUTE(F1869,"" "",""""),""-?\d+(\.\d+)?$""))&gt;=-180,VALUE(REGEXEXTRACT(SUBSTITUTE(F1869,"" "",""""),""-?\d+(\.\d+)?$""))&lt;=180),""OK"",""REVISAR"")"),"#N/A")</f>
        <v>#N/A</v>
      </c>
    </row>
    <row r="1870" ht="15.75" customHeight="1">
      <c r="A1870" s="5" t="str">
        <f t="shared" si="1"/>
        <v>AD507-1868</v>
      </c>
      <c r="C1870" s="5"/>
      <c r="F1870" s="5"/>
      <c r="G1870" s="5" t="str">
        <f t="shared" si="2"/>
        <v/>
      </c>
      <c r="H1870" s="5" t="str">
        <f t="shared" si="3"/>
        <v/>
      </c>
      <c r="I1870" s="5" t="str">
        <f t="shared" si="4"/>
        <v/>
      </c>
      <c r="J1870" s="5" t="str">
        <f t="shared" si="5"/>
        <v/>
      </c>
      <c r="K1870" s="5" t="str">
        <f>IFERROR(__xludf.DUMMYFUNCTION("IF(C1870&lt;&gt;"""",HYPERLINK(""https://wa.me/507""&amp;REGEXREPLACE(C1870,""[^0-9]"","""")&amp;""?text=""&amp;ENCODEURL(""Ya llegue. Codigo: ""&amp;A1870&amp;"". Ubicacion: ""&amp;""https://www.google.com/maps/search/?api=1&amp;query=""&amp;SUBSTITUTE(F1870,"" "","""")),""📲 Avisar al clien"&amp;"te""),"""")"),"")</f>
        <v/>
      </c>
      <c r="L1870" s="5" t="str">
        <f>IFERROR(__xludf.DUMMYFUNCTION("IF(C1870&lt;&gt;"""",""https://api.qrserver.com/v1/create-qr-code/?size=200x200&amp;data=""&amp;ENCODEURL(""https://wa.me/507""&amp;REGEXREPLACE(C1870,""[^0-9]"","""")&amp;""?text=""&amp;ENCODEURL(""Ya llegue. Codigo: ""&amp;A1870&amp;"". Ubicacion: ""&amp;""https://www.google.com/maps/search"&amp;"/?api=1&amp;query=""&amp;SUBSTITUTE(F1870,"" "",""""))),"""")"),"")</f>
        <v/>
      </c>
      <c r="M1870" s="5" t="str">
        <f t="shared" si="6"/>
        <v/>
      </c>
      <c r="N1870" s="5" t="str">
        <f>IFERROR(__xludf.DUMMYFUNCTION("IF(AND(F1870&lt;&gt;"""",REGEXMATCH(SUBSTITUTE(F1870,"" "",""""),""^-?\d+(\.\d+)?,-?\d+(\.\d+)?$""),VALUE(REGEXEXTRACT(SUBSTITUTE(F1870,"" "",""""),""^-?\d+(\.\d+)?""))&gt;=-90,VALUE(REGEXEXTRACT(SUBSTITUTE(F1870,"" "",""""),""^-?\d+(\.\d+)?""))&lt;=90,VALUE(REGEXEXT"&amp;"RACT(SUBSTITUTE(F1870,"" "",""""),""-?\d+(\.\d+)?$""))&gt;=-180,VALUE(REGEXEXTRACT(SUBSTITUTE(F1870,"" "",""""),""-?\d+(\.\d+)?$""))&lt;=180),""OK"",""REVISAR"")"),"#N/A")</f>
        <v>#N/A</v>
      </c>
    </row>
    <row r="1871" ht="15.75" customHeight="1">
      <c r="A1871" s="5" t="str">
        <f t="shared" si="1"/>
        <v>AD507-1869</v>
      </c>
      <c r="C1871" s="5"/>
      <c r="F1871" s="5"/>
      <c r="G1871" s="5" t="str">
        <f t="shared" si="2"/>
        <v/>
      </c>
      <c r="H1871" s="5" t="str">
        <f t="shared" si="3"/>
        <v/>
      </c>
      <c r="I1871" s="5" t="str">
        <f t="shared" si="4"/>
        <v/>
      </c>
      <c r="J1871" s="5" t="str">
        <f t="shared" si="5"/>
        <v/>
      </c>
      <c r="K1871" s="5" t="str">
        <f>IFERROR(__xludf.DUMMYFUNCTION("IF(C1871&lt;&gt;"""",HYPERLINK(""https://wa.me/507""&amp;REGEXREPLACE(C1871,""[^0-9]"","""")&amp;""?text=""&amp;ENCODEURL(""Ya llegue. Codigo: ""&amp;A1871&amp;"". Ubicacion: ""&amp;""https://www.google.com/maps/search/?api=1&amp;query=""&amp;SUBSTITUTE(F1871,"" "","""")),""📲 Avisar al clien"&amp;"te""),"""")"),"")</f>
        <v/>
      </c>
      <c r="L1871" s="5" t="str">
        <f>IFERROR(__xludf.DUMMYFUNCTION("IF(C1871&lt;&gt;"""",""https://api.qrserver.com/v1/create-qr-code/?size=200x200&amp;data=""&amp;ENCODEURL(""https://wa.me/507""&amp;REGEXREPLACE(C1871,""[^0-9]"","""")&amp;""?text=""&amp;ENCODEURL(""Ya llegue. Codigo: ""&amp;A1871&amp;"". Ubicacion: ""&amp;""https://www.google.com/maps/search"&amp;"/?api=1&amp;query=""&amp;SUBSTITUTE(F1871,"" "",""""))),"""")"),"")</f>
        <v/>
      </c>
      <c r="M1871" s="5" t="str">
        <f t="shared" si="6"/>
        <v/>
      </c>
      <c r="N1871" s="5" t="str">
        <f>IFERROR(__xludf.DUMMYFUNCTION("IF(AND(F1871&lt;&gt;"""",REGEXMATCH(SUBSTITUTE(F1871,"" "",""""),""^-?\d+(\.\d+)?,-?\d+(\.\d+)?$""),VALUE(REGEXEXTRACT(SUBSTITUTE(F1871,"" "",""""),""^-?\d+(\.\d+)?""))&gt;=-90,VALUE(REGEXEXTRACT(SUBSTITUTE(F1871,"" "",""""),""^-?\d+(\.\d+)?""))&lt;=90,VALUE(REGEXEXT"&amp;"RACT(SUBSTITUTE(F1871,"" "",""""),""-?\d+(\.\d+)?$""))&gt;=-180,VALUE(REGEXEXTRACT(SUBSTITUTE(F1871,"" "",""""),""-?\d+(\.\d+)?$""))&lt;=180),""OK"",""REVISAR"")"),"#N/A")</f>
        <v>#N/A</v>
      </c>
    </row>
    <row r="1872" ht="15.75" customHeight="1">
      <c r="A1872" s="5" t="str">
        <f t="shared" si="1"/>
        <v>AD507-1870</v>
      </c>
      <c r="C1872" s="5"/>
      <c r="F1872" s="5"/>
      <c r="G1872" s="5" t="str">
        <f t="shared" si="2"/>
        <v/>
      </c>
      <c r="H1872" s="5" t="str">
        <f t="shared" si="3"/>
        <v/>
      </c>
      <c r="I1872" s="5" t="str">
        <f t="shared" si="4"/>
        <v/>
      </c>
      <c r="J1872" s="5" t="str">
        <f t="shared" si="5"/>
        <v/>
      </c>
      <c r="K1872" s="5" t="str">
        <f>IFERROR(__xludf.DUMMYFUNCTION("IF(C1872&lt;&gt;"""",HYPERLINK(""https://wa.me/507""&amp;REGEXREPLACE(C1872,""[^0-9]"","""")&amp;""?text=""&amp;ENCODEURL(""Ya llegue. Codigo: ""&amp;A1872&amp;"". Ubicacion: ""&amp;""https://www.google.com/maps/search/?api=1&amp;query=""&amp;SUBSTITUTE(F1872,"" "","""")),""📲 Avisar al clien"&amp;"te""),"""")"),"")</f>
        <v/>
      </c>
      <c r="L1872" s="5" t="str">
        <f>IFERROR(__xludf.DUMMYFUNCTION("IF(C1872&lt;&gt;"""",""https://api.qrserver.com/v1/create-qr-code/?size=200x200&amp;data=""&amp;ENCODEURL(""https://wa.me/507""&amp;REGEXREPLACE(C1872,""[^0-9]"","""")&amp;""?text=""&amp;ENCODEURL(""Ya llegue. Codigo: ""&amp;A1872&amp;"". Ubicacion: ""&amp;""https://www.google.com/maps/search"&amp;"/?api=1&amp;query=""&amp;SUBSTITUTE(F1872,"" "",""""))),"""")"),"")</f>
        <v/>
      </c>
      <c r="M1872" s="5" t="str">
        <f t="shared" si="6"/>
        <v/>
      </c>
      <c r="N1872" s="5" t="str">
        <f>IFERROR(__xludf.DUMMYFUNCTION("IF(AND(F1872&lt;&gt;"""",REGEXMATCH(SUBSTITUTE(F1872,"" "",""""),""^-?\d+(\.\d+)?,-?\d+(\.\d+)?$""),VALUE(REGEXEXTRACT(SUBSTITUTE(F1872,"" "",""""),""^-?\d+(\.\d+)?""))&gt;=-90,VALUE(REGEXEXTRACT(SUBSTITUTE(F1872,"" "",""""),""^-?\d+(\.\d+)?""))&lt;=90,VALUE(REGEXEXT"&amp;"RACT(SUBSTITUTE(F1872,"" "",""""),""-?\d+(\.\d+)?$""))&gt;=-180,VALUE(REGEXEXTRACT(SUBSTITUTE(F1872,"" "",""""),""-?\d+(\.\d+)?$""))&lt;=180),""OK"",""REVISAR"")"),"#N/A")</f>
        <v>#N/A</v>
      </c>
    </row>
    <row r="1873" ht="15.75" customHeight="1">
      <c r="A1873" s="5" t="str">
        <f t="shared" si="1"/>
        <v>AD507-1871</v>
      </c>
      <c r="C1873" s="5"/>
      <c r="F1873" s="5"/>
      <c r="G1873" s="5" t="str">
        <f t="shared" si="2"/>
        <v/>
      </c>
      <c r="H1873" s="5" t="str">
        <f t="shared" si="3"/>
        <v/>
      </c>
      <c r="I1873" s="5" t="str">
        <f t="shared" si="4"/>
        <v/>
      </c>
      <c r="J1873" s="5" t="str">
        <f t="shared" si="5"/>
        <v/>
      </c>
      <c r="K1873" s="5" t="str">
        <f>IFERROR(__xludf.DUMMYFUNCTION("IF(C1873&lt;&gt;"""",HYPERLINK(""https://wa.me/507""&amp;REGEXREPLACE(C1873,""[^0-9]"","""")&amp;""?text=""&amp;ENCODEURL(""Ya llegue. Codigo: ""&amp;A1873&amp;"". Ubicacion: ""&amp;""https://www.google.com/maps/search/?api=1&amp;query=""&amp;SUBSTITUTE(F1873,"" "","""")),""📲 Avisar al clien"&amp;"te""),"""")"),"")</f>
        <v/>
      </c>
      <c r="L1873" s="5" t="str">
        <f>IFERROR(__xludf.DUMMYFUNCTION("IF(C1873&lt;&gt;"""",""https://api.qrserver.com/v1/create-qr-code/?size=200x200&amp;data=""&amp;ENCODEURL(""https://wa.me/507""&amp;REGEXREPLACE(C1873,""[^0-9]"","""")&amp;""?text=""&amp;ENCODEURL(""Ya llegue. Codigo: ""&amp;A1873&amp;"". Ubicacion: ""&amp;""https://www.google.com/maps/search"&amp;"/?api=1&amp;query=""&amp;SUBSTITUTE(F1873,"" "",""""))),"""")"),"")</f>
        <v/>
      </c>
      <c r="M1873" s="5" t="str">
        <f t="shared" si="6"/>
        <v/>
      </c>
      <c r="N1873" s="5" t="str">
        <f>IFERROR(__xludf.DUMMYFUNCTION("IF(AND(F1873&lt;&gt;"""",REGEXMATCH(SUBSTITUTE(F1873,"" "",""""),""^-?\d+(\.\d+)?,-?\d+(\.\d+)?$""),VALUE(REGEXEXTRACT(SUBSTITUTE(F1873,"" "",""""),""^-?\d+(\.\d+)?""))&gt;=-90,VALUE(REGEXEXTRACT(SUBSTITUTE(F1873,"" "",""""),""^-?\d+(\.\d+)?""))&lt;=90,VALUE(REGEXEXT"&amp;"RACT(SUBSTITUTE(F1873,"" "",""""),""-?\d+(\.\d+)?$""))&gt;=-180,VALUE(REGEXEXTRACT(SUBSTITUTE(F1873,"" "",""""),""-?\d+(\.\d+)?$""))&lt;=180),""OK"",""REVISAR"")"),"#N/A")</f>
        <v>#N/A</v>
      </c>
    </row>
    <row r="1874" ht="15.75" customHeight="1">
      <c r="A1874" s="5" t="str">
        <f t="shared" si="1"/>
        <v>AD507-1872</v>
      </c>
      <c r="C1874" s="5"/>
      <c r="F1874" s="5"/>
      <c r="G1874" s="5" t="str">
        <f t="shared" si="2"/>
        <v/>
      </c>
      <c r="H1874" s="5" t="str">
        <f t="shared" si="3"/>
        <v/>
      </c>
      <c r="I1874" s="5" t="str">
        <f t="shared" si="4"/>
        <v/>
      </c>
      <c r="J1874" s="5" t="str">
        <f t="shared" si="5"/>
        <v/>
      </c>
      <c r="K1874" s="5" t="str">
        <f>IFERROR(__xludf.DUMMYFUNCTION("IF(C1874&lt;&gt;"""",HYPERLINK(""https://wa.me/507""&amp;REGEXREPLACE(C1874,""[^0-9]"","""")&amp;""?text=""&amp;ENCODEURL(""Ya llegue. Codigo: ""&amp;A1874&amp;"". Ubicacion: ""&amp;""https://www.google.com/maps/search/?api=1&amp;query=""&amp;SUBSTITUTE(F1874,"" "","""")),""📲 Avisar al clien"&amp;"te""),"""")"),"")</f>
        <v/>
      </c>
      <c r="L1874" s="5" t="str">
        <f>IFERROR(__xludf.DUMMYFUNCTION("IF(C1874&lt;&gt;"""",""https://api.qrserver.com/v1/create-qr-code/?size=200x200&amp;data=""&amp;ENCODEURL(""https://wa.me/507""&amp;REGEXREPLACE(C1874,""[^0-9]"","""")&amp;""?text=""&amp;ENCODEURL(""Ya llegue. Codigo: ""&amp;A1874&amp;"". Ubicacion: ""&amp;""https://www.google.com/maps/search"&amp;"/?api=1&amp;query=""&amp;SUBSTITUTE(F1874,"" "",""""))),"""")"),"")</f>
        <v/>
      </c>
      <c r="M1874" s="5" t="str">
        <f t="shared" si="6"/>
        <v/>
      </c>
      <c r="N1874" s="5" t="str">
        <f>IFERROR(__xludf.DUMMYFUNCTION("IF(AND(F1874&lt;&gt;"""",REGEXMATCH(SUBSTITUTE(F1874,"" "",""""),""^-?\d+(\.\d+)?,-?\d+(\.\d+)?$""),VALUE(REGEXEXTRACT(SUBSTITUTE(F1874,"" "",""""),""^-?\d+(\.\d+)?""))&gt;=-90,VALUE(REGEXEXTRACT(SUBSTITUTE(F1874,"" "",""""),""^-?\d+(\.\d+)?""))&lt;=90,VALUE(REGEXEXT"&amp;"RACT(SUBSTITUTE(F1874,"" "",""""),""-?\d+(\.\d+)?$""))&gt;=-180,VALUE(REGEXEXTRACT(SUBSTITUTE(F1874,"" "",""""),""-?\d+(\.\d+)?$""))&lt;=180),""OK"",""REVISAR"")"),"#N/A")</f>
        <v>#N/A</v>
      </c>
    </row>
    <row r="1875" ht="15.75" customHeight="1">
      <c r="A1875" s="5" t="str">
        <f t="shared" si="1"/>
        <v>AD507-1873</v>
      </c>
      <c r="C1875" s="5"/>
      <c r="F1875" s="5"/>
      <c r="G1875" s="5" t="str">
        <f t="shared" si="2"/>
        <v/>
      </c>
      <c r="H1875" s="5" t="str">
        <f t="shared" si="3"/>
        <v/>
      </c>
      <c r="I1875" s="5" t="str">
        <f t="shared" si="4"/>
        <v/>
      </c>
      <c r="J1875" s="5" t="str">
        <f t="shared" si="5"/>
        <v/>
      </c>
      <c r="K1875" s="5" t="str">
        <f>IFERROR(__xludf.DUMMYFUNCTION("IF(C1875&lt;&gt;"""",HYPERLINK(""https://wa.me/507""&amp;REGEXREPLACE(C1875,""[^0-9]"","""")&amp;""?text=""&amp;ENCODEURL(""Ya llegue. Codigo: ""&amp;A1875&amp;"". Ubicacion: ""&amp;""https://www.google.com/maps/search/?api=1&amp;query=""&amp;SUBSTITUTE(F1875,"" "","""")),""📲 Avisar al clien"&amp;"te""),"""")"),"")</f>
        <v/>
      </c>
      <c r="L1875" s="5" t="str">
        <f>IFERROR(__xludf.DUMMYFUNCTION("IF(C1875&lt;&gt;"""",""https://api.qrserver.com/v1/create-qr-code/?size=200x200&amp;data=""&amp;ENCODEURL(""https://wa.me/507""&amp;REGEXREPLACE(C1875,""[^0-9]"","""")&amp;""?text=""&amp;ENCODEURL(""Ya llegue. Codigo: ""&amp;A1875&amp;"". Ubicacion: ""&amp;""https://www.google.com/maps/search"&amp;"/?api=1&amp;query=""&amp;SUBSTITUTE(F1875,"" "",""""))),"""")"),"")</f>
        <v/>
      </c>
      <c r="M1875" s="5" t="str">
        <f t="shared" si="6"/>
        <v/>
      </c>
      <c r="N1875" s="5" t="str">
        <f>IFERROR(__xludf.DUMMYFUNCTION("IF(AND(F1875&lt;&gt;"""",REGEXMATCH(SUBSTITUTE(F1875,"" "",""""),""^-?\d+(\.\d+)?,-?\d+(\.\d+)?$""),VALUE(REGEXEXTRACT(SUBSTITUTE(F1875,"" "",""""),""^-?\d+(\.\d+)?""))&gt;=-90,VALUE(REGEXEXTRACT(SUBSTITUTE(F1875,"" "",""""),""^-?\d+(\.\d+)?""))&lt;=90,VALUE(REGEXEXT"&amp;"RACT(SUBSTITUTE(F1875,"" "",""""),""-?\d+(\.\d+)?$""))&gt;=-180,VALUE(REGEXEXTRACT(SUBSTITUTE(F1875,"" "",""""),""-?\d+(\.\d+)?$""))&lt;=180),""OK"",""REVISAR"")"),"#N/A")</f>
        <v>#N/A</v>
      </c>
    </row>
    <row r="1876" ht="15.75" customHeight="1">
      <c r="A1876" s="5" t="str">
        <f t="shared" si="1"/>
        <v>AD507-1874</v>
      </c>
      <c r="C1876" s="5"/>
      <c r="F1876" s="5"/>
      <c r="G1876" s="5" t="str">
        <f t="shared" si="2"/>
        <v/>
      </c>
      <c r="H1876" s="5" t="str">
        <f t="shared" si="3"/>
        <v/>
      </c>
      <c r="I1876" s="5" t="str">
        <f t="shared" si="4"/>
        <v/>
      </c>
      <c r="J1876" s="5" t="str">
        <f t="shared" si="5"/>
        <v/>
      </c>
      <c r="K1876" s="5" t="str">
        <f>IFERROR(__xludf.DUMMYFUNCTION("IF(C1876&lt;&gt;"""",HYPERLINK(""https://wa.me/507""&amp;REGEXREPLACE(C1876,""[^0-9]"","""")&amp;""?text=""&amp;ENCODEURL(""Ya llegue. Codigo: ""&amp;A1876&amp;"". Ubicacion: ""&amp;""https://www.google.com/maps/search/?api=1&amp;query=""&amp;SUBSTITUTE(F1876,"" "","""")),""📲 Avisar al clien"&amp;"te""),"""")"),"")</f>
        <v/>
      </c>
      <c r="L1876" s="5" t="str">
        <f>IFERROR(__xludf.DUMMYFUNCTION("IF(C1876&lt;&gt;"""",""https://api.qrserver.com/v1/create-qr-code/?size=200x200&amp;data=""&amp;ENCODEURL(""https://wa.me/507""&amp;REGEXREPLACE(C1876,""[^0-9]"","""")&amp;""?text=""&amp;ENCODEURL(""Ya llegue. Codigo: ""&amp;A1876&amp;"". Ubicacion: ""&amp;""https://www.google.com/maps/search"&amp;"/?api=1&amp;query=""&amp;SUBSTITUTE(F1876,"" "",""""))),"""")"),"")</f>
        <v/>
      </c>
      <c r="M1876" s="5" t="str">
        <f t="shared" si="6"/>
        <v/>
      </c>
      <c r="N1876" s="5" t="str">
        <f>IFERROR(__xludf.DUMMYFUNCTION("IF(AND(F1876&lt;&gt;"""",REGEXMATCH(SUBSTITUTE(F1876,"" "",""""),""^-?\d+(\.\d+)?,-?\d+(\.\d+)?$""),VALUE(REGEXEXTRACT(SUBSTITUTE(F1876,"" "",""""),""^-?\d+(\.\d+)?""))&gt;=-90,VALUE(REGEXEXTRACT(SUBSTITUTE(F1876,"" "",""""),""^-?\d+(\.\d+)?""))&lt;=90,VALUE(REGEXEXT"&amp;"RACT(SUBSTITUTE(F1876,"" "",""""),""-?\d+(\.\d+)?$""))&gt;=-180,VALUE(REGEXEXTRACT(SUBSTITUTE(F1876,"" "",""""),""-?\d+(\.\d+)?$""))&lt;=180),""OK"",""REVISAR"")"),"#N/A")</f>
        <v>#N/A</v>
      </c>
    </row>
    <row r="1877" ht="15.75" customHeight="1">
      <c r="A1877" s="5" t="str">
        <f t="shared" si="1"/>
        <v>AD507-1875</v>
      </c>
      <c r="C1877" s="5"/>
      <c r="F1877" s="5"/>
      <c r="G1877" s="5" t="str">
        <f t="shared" si="2"/>
        <v/>
      </c>
      <c r="H1877" s="5" t="str">
        <f t="shared" si="3"/>
        <v/>
      </c>
      <c r="I1877" s="5" t="str">
        <f t="shared" si="4"/>
        <v/>
      </c>
      <c r="J1877" s="5" t="str">
        <f t="shared" si="5"/>
        <v/>
      </c>
      <c r="K1877" s="5" t="str">
        <f>IFERROR(__xludf.DUMMYFUNCTION("IF(C1877&lt;&gt;"""",HYPERLINK(""https://wa.me/507""&amp;REGEXREPLACE(C1877,""[^0-9]"","""")&amp;""?text=""&amp;ENCODEURL(""Ya llegue. Codigo: ""&amp;A1877&amp;"". Ubicacion: ""&amp;""https://www.google.com/maps/search/?api=1&amp;query=""&amp;SUBSTITUTE(F1877,"" "","""")),""📲 Avisar al clien"&amp;"te""),"""")"),"")</f>
        <v/>
      </c>
      <c r="L1877" s="5" t="str">
        <f>IFERROR(__xludf.DUMMYFUNCTION("IF(C1877&lt;&gt;"""",""https://api.qrserver.com/v1/create-qr-code/?size=200x200&amp;data=""&amp;ENCODEURL(""https://wa.me/507""&amp;REGEXREPLACE(C1877,""[^0-9]"","""")&amp;""?text=""&amp;ENCODEURL(""Ya llegue. Codigo: ""&amp;A1877&amp;"". Ubicacion: ""&amp;""https://www.google.com/maps/search"&amp;"/?api=1&amp;query=""&amp;SUBSTITUTE(F1877,"" "",""""))),"""")"),"")</f>
        <v/>
      </c>
      <c r="M1877" s="5" t="str">
        <f t="shared" si="6"/>
        <v/>
      </c>
      <c r="N1877" s="5" t="str">
        <f>IFERROR(__xludf.DUMMYFUNCTION("IF(AND(F1877&lt;&gt;"""",REGEXMATCH(SUBSTITUTE(F1877,"" "",""""),""^-?\d+(\.\d+)?,-?\d+(\.\d+)?$""),VALUE(REGEXEXTRACT(SUBSTITUTE(F1877,"" "",""""),""^-?\d+(\.\d+)?""))&gt;=-90,VALUE(REGEXEXTRACT(SUBSTITUTE(F1877,"" "",""""),""^-?\d+(\.\d+)?""))&lt;=90,VALUE(REGEXEXT"&amp;"RACT(SUBSTITUTE(F1877,"" "",""""),""-?\d+(\.\d+)?$""))&gt;=-180,VALUE(REGEXEXTRACT(SUBSTITUTE(F1877,"" "",""""),""-?\d+(\.\d+)?$""))&lt;=180),""OK"",""REVISAR"")"),"#N/A")</f>
        <v>#N/A</v>
      </c>
    </row>
    <row r="1878" ht="15.75" customHeight="1">
      <c r="A1878" s="5" t="str">
        <f t="shared" si="1"/>
        <v>AD507-1876</v>
      </c>
      <c r="C1878" s="5"/>
      <c r="F1878" s="5"/>
      <c r="G1878" s="5" t="str">
        <f t="shared" si="2"/>
        <v/>
      </c>
      <c r="H1878" s="5" t="str">
        <f t="shared" si="3"/>
        <v/>
      </c>
      <c r="I1878" s="5" t="str">
        <f t="shared" si="4"/>
        <v/>
      </c>
      <c r="J1878" s="5" t="str">
        <f t="shared" si="5"/>
        <v/>
      </c>
      <c r="K1878" s="5" t="str">
        <f>IFERROR(__xludf.DUMMYFUNCTION("IF(C1878&lt;&gt;"""",HYPERLINK(""https://wa.me/507""&amp;REGEXREPLACE(C1878,""[^0-9]"","""")&amp;""?text=""&amp;ENCODEURL(""Ya llegue. Codigo: ""&amp;A1878&amp;"". Ubicacion: ""&amp;""https://www.google.com/maps/search/?api=1&amp;query=""&amp;SUBSTITUTE(F1878,"" "","""")),""📲 Avisar al clien"&amp;"te""),"""")"),"")</f>
        <v/>
      </c>
      <c r="L1878" s="5" t="str">
        <f>IFERROR(__xludf.DUMMYFUNCTION("IF(C1878&lt;&gt;"""",""https://api.qrserver.com/v1/create-qr-code/?size=200x200&amp;data=""&amp;ENCODEURL(""https://wa.me/507""&amp;REGEXREPLACE(C1878,""[^0-9]"","""")&amp;""?text=""&amp;ENCODEURL(""Ya llegue. Codigo: ""&amp;A1878&amp;"". Ubicacion: ""&amp;""https://www.google.com/maps/search"&amp;"/?api=1&amp;query=""&amp;SUBSTITUTE(F1878,"" "",""""))),"""")"),"")</f>
        <v/>
      </c>
      <c r="M1878" s="5" t="str">
        <f t="shared" si="6"/>
        <v/>
      </c>
      <c r="N1878" s="5" t="str">
        <f>IFERROR(__xludf.DUMMYFUNCTION("IF(AND(F1878&lt;&gt;"""",REGEXMATCH(SUBSTITUTE(F1878,"" "",""""),""^-?\d+(\.\d+)?,-?\d+(\.\d+)?$""),VALUE(REGEXEXTRACT(SUBSTITUTE(F1878,"" "",""""),""^-?\d+(\.\d+)?""))&gt;=-90,VALUE(REGEXEXTRACT(SUBSTITUTE(F1878,"" "",""""),""^-?\d+(\.\d+)?""))&lt;=90,VALUE(REGEXEXT"&amp;"RACT(SUBSTITUTE(F1878,"" "",""""),""-?\d+(\.\d+)?$""))&gt;=-180,VALUE(REGEXEXTRACT(SUBSTITUTE(F1878,"" "",""""),""-?\d+(\.\d+)?$""))&lt;=180),""OK"",""REVISAR"")"),"#N/A")</f>
        <v>#N/A</v>
      </c>
    </row>
    <row r="1879" ht="15.75" customHeight="1">
      <c r="A1879" s="5" t="str">
        <f t="shared" si="1"/>
        <v>AD507-1877</v>
      </c>
      <c r="C1879" s="5"/>
      <c r="F1879" s="5"/>
      <c r="G1879" s="5" t="str">
        <f t="shared" si="2"/>
        <v/>
      </c>
      <c r="H1879" s="5" t="str">
        <f t="shared" si="3"/>
        <v/>
      </c>
      <c r="I1879" s="5" t="str">
        <f t="shared" si="4"/>
        <v/>
      </c>
      <c r="J1879" s="5" t="str">
        <f t="shared" si="5"/>
        <v/>
      </c>
      <c r="K1879" s="5" t="str">
        <f>IFERROR(__xludf.DUMMYFUNCTION("IF(C1879&lt;&gt;"""",HYPERLINK(""https://wa.me/507""&amp;REGEXREPLACE(C1879,""[^0-9]"","""")&amp;""?text=""&amp;ENCODEURL(""Ya llegue. Codigo: ""&amp;A1879&amp;"". Ubicacion: ""&amp;""https://www.google.com/maps/search/?api=1&amp;query=""&amp;SUBSTITUTE(F1879,"" "","""")),""📲 Avisar al clien"&amp;"te""),"""")"),"")</f>
        <v/>
      </c>
      <c r="L1879" s="5" t="str">
        <f>IFERROR(__xludf.DUMMYFUNCTION("IF(C1879&lt;&gt;"""",""https://api.qrserver.com/v1/create-qr-code/?size=200x200&amp;data=""&amp;ENCODEURL(""https://wa.me/507""&amp;REGEXREPLACE(C1879,""[^0-9]"","""")&amp;""?text=""&amp;ENCODEURL(""Ya llegue. Codigo: ""&amp;A1879&amp;"". Ubicacion: ""&amp;""https://www.google.com/maps/search"&amp;"/?api=1&amp;query=""&amp;SUBSTITUTE(F1879,"" "",""""))),"""")"),"")</f>
        <v/>
      </c>
      <c r="M1879" s="5" t="str">
        <f t="shared" si="6"/>
        <v/>
      </c>
      <c r="N1879" s="5" t="str">
        <f>IFERROR(__xludf.DUMMYFUNCTION("IF(AND(F1879&lt;&gt;"""",REGEXMATCH(SUBSTITUTE(F1879,"" "",""""),""^-?\d+(\.\d+)?,-?\d+(\.\d+)?$""),VALUE(REGEXEXTRACT(SUBSTITUTE(F1879,"" "",""""),""^-?\d+(\.\d+)?""))&gt;=-90,VALUE(REGEXEXTRACT(SUBSTITUTE(F1879,"" "",""""),""^-?\d+(\.\d+)?""))&lt;=90,VALUE(REGEXEXT"&amp;"RACT(SUBSTITUTE(F1879,"" "",""""),""-?\d+(\.\d+)?$""))&gt;=-180,VALUE(REGEXEXTRACT(SUBSTITUTE(F1879,"" "",""""),""-?\d+(\.\d+)?$""))&lt;=180),""OK"",""REVISAR"")"),"#N/A")</f>
        <v>#N/A</v>
      </c>
    </row>
    <row r="1880" ht="15.75" customHeight="1">
      <c r="A1880" s="5" t="str">
        <f t="shared" si="1"/>
        <v>AD507-1878</v>
      </c>
      <c r="C1880" s="5"/>
      <c r="F1880" s="5"/>
      <c r="G1880" s="5" t="str">
        <f t="shared" si="2"/>
        <v/>
      </c>
      <c r="H1880" s="5" t="str">
        <f t="shared" si="3"/>
        <v/>
      </c>
      <c r="I1880" s="5" t="str">
        <f t="shared" si="4"/>
        <v/>
      </c>
      <c r="J1880" s="5" t="str">
        <f t="shared" si="5"/>
        <v/>
      </c>
      <c r="K1880" s="5" t="str">
        <f>IFERROR(__xludf.DUMMYFUNCTION("IF(C1880&lt;&gt;"""",HYPERLINK(""https://wa.me/507""&amp;REGEXREPLACE(C1880,""[^0-9]"","""")&amp;""?text=""&amp;ENCODEURL(""Ya llegue. Codigo: ""&amp;A1880&amp;"". Ubicacion: ""&amp;""https://www.google.com/maps/search/?api=1&amp;query=""&amp;SUBSTITUTE(F1880,"" "","""")),""📲 Avisar al clien"&amp;"te""),"""")"),"")</f>
        <v/>
      </c>
      <c r="L1880" s="5" t="str">
        <f>IFERROR(__xludf.DUMMYFUNCTION("IF(C1880&lt;&gt;"""",""https://api.qrserver.com/v1/create-qr-code/?size=200x200&amp;data=""&amp;ENCODEURL(""https://wa.me/507""&amp;REGEXREPLACE(C1880,""[^0-9]"","""")&amp;""?text=""&amp;ENCODEURL(""Ya llegue. Codigo: ""&amp;A1880&amp;"". Ubicacion: ""&amp;""https://www.google.com/maps/search"&amp;"/?api=1&amp;query=""&amp;SUBSTITUTE(F1880,"" "",""""))),"""")"),"")</f>
        <v/>
      </c>
      <c r="M1880" s="5" t="str">
        <f t="shared" si="6"/>
        <v/>
      </c>
      <c r="N1880" s="5" t="str">
        <f>IFERROR(__xludf.DUMMYFUNCTION("IF(AND(F1880&lt;&gt;"""",REGEXMATCH(SUBSTITUTE(F1880,"" "",""""),""^-?\d+(\.\d+)?,-?\d+(\.\d+)?$""),VALUE(REGEXEXTRACT(SUBSTITUTE(F1880,"" "",""""),""^-?\d+(\.\d+)?""))&gt;=-90,VALUE(REGEXEXTRACT(SUBSTITUTE(F1880,"" "",""""),""^-?\d+(\.\d+)?""))&lt;=90,VALUE(REGEXEXT"&amp;"RACT(SUBSTITUTE(F1880,"" "",""""),""-?\d+(\.\d+)?$""))&gt;=-180,VALUE(REGEXEXTRACT(SUBSTITUTE(F1880,"" "",""""),""-?\d+(\.\d+)?$""))&lt;=180),""OK"",""REVISAR"")"),"#N/A")</f>
        <v>#N/A</v>
      </c>
    </row>
    <row r="1881" ht="15.75" customHeight="1">
      <c r="A1881" s="5" t="str">
        <f t="shared" si="1"/>
        <v>AD507-1879</v>
      </c>
      <c r="C1881" s="5"/>
      <c r="F1881" s="5"/>
      <c r="G1881" s="5" t="str">
        <f t="shared" si="2"/>
        <v/>
      </c>
      <c r="H1881" s="5" t="str">
        <f t="shared" si="3"/>
        <v/>
      </c>
      <c r="I1881" s="5" t="str">
        <f t="shared" si="4"/>
        <v/>
      </c>
      <c r="J1881" s="5" t="str">
        <f t="shared" si="5"/>
        <v/>
      </c>
      <c r="K1881" s="5" t="str">
        <f>IFERROR(__xludf.DUMMYFUNCTION("IF(C1881&lt;&gt;"""",HYPERLINK(""https://wa.me/507""&amp;REGEXREPLACE(C1881,""[^0-9]"","""")&amp;""?text=""&amp;ENCODEURL(""Ya llegue. Codigo: ""&amp;A1881&amp;"". Ubicacion: ""&amp;""https://www.google.com/maps/search/?api=1&amp;query=""&amp;SUBSTITUTE(F1881,"" "","""")),""📲 Avisar al clien"&amp;"te""),"""")"),"")</f>
        <v/>
      </c>
      <c r="L1881" s="5" t="str">
        <f>IFERROR(__xludf.DUMMYFUNCTION("IF(C1881&lt;&gt;"""",""https://api.qrserver.com/v1/create-qr-code/?size=200x200&amp;data=""&amp;ENCODEURL(""https://wa.me/507""&amp;REGEXREPLACE(C1881,""[^0-9]"","""")&amp;""?text=""&amp;ENCODEURL(""Ya llegue. Codigo: ""&amp;A1881&amp;"". Ubicacion: ""&amp;""https://www.google.com/maps/search"&amp;"/?api=1&amp;query=""&amp;SUBSTITUTE(F1881,"" "",""""))),"""")"),"")</f>
        <v/>
      </c>
      <c r="M1881" s="5" t="str">
        <f t="shared" si="6"/>
        <v/>
      </c>
      <c r="N1881" s="5" t="str">
        <f>IFERROR(__xludf.DUMMYFUNCTION("IF(AND(F1881&lt;&gt;"""",REGEXMATCH(SUBSTITUTE(F1881,"" "",""""),""^-?\d+(\.\d+)?,-?\d+(\.\d+)?$""),VALUE(REGEXEXTRACT(SUBSTITUTE(F1881,"" "",""""),""^-?\d+(\.\d+)?""))&gt;=-90,VALUE(REGEXEXTRACT(SUBSTITUTE(F1881,"" "",""""),""^-?\d+(\.\d+)?""))&lt;=90,VALUE(REGEXEXT"&amp;"RACT(SUBSTITUTE(F1881,"" "",""""),""-?\d+(\.\d+)?$""))&gt;=-180,VALUE(REGEXEXTRACT(SUBSTITUTE(F1881,"" "",""""),""-?\d+(\.\d+)?$""))&lt;=180),""OK"",""REVISAR"")"),"#N/A")</f>
        <v>#N/A</v>
      </c>
    </row>
    <row r="1882" ht="15.75" customHeight="1">
      <c r="A1882" s="5" t="str">
        <f t="shared" si="1"/>
        <v>AD507-1880</v>
      </c>
      <c r="C1882" s="5"/>
      <c r="F1882" s="5"/>
      <c r="G1882" s="5" t="str">
        <f t="shared" si="2"/>
        <v/>
      </c>
      <c r="H1882" s="5" t="str">
        <f t="shared" si="3"/>
        <v/>
      </c>
      <c r="I1882" s="5" t="str">
        <f t="shared" si="4"/>
        <v/>
      </c>
      <c r="J1882" s="5" t="str">
        <f t="shared" si="5"/>
        <v/>
      </c>
      <c r="K1882" s="5" t="str">
        <f>IFERROR(__xludf.DUMMYFUNCTION("IF(C1882&lt;&gt;"""",HYPERLINK(""https://wa.me/507""&amp;REGEXREPLACE(C1882,""[^0-9]"","""")&amp;""?text=""&amp;ENCODEURL(""Ya llegue. Codigo: ""&amp;A1882&amp;"". Ubicacion: ""&amp;""https://www.google.com/maps/search/?api=1&amp;query=""&amp;SUBSTITUTE(F1882,"" "","""")),""📲 Avisar al clien"&amp;"te""),"""")"),"")</f>
        <v/>
      </c>
      <c r="L1882" s="5" t="str">
        <f>IFERROR(__xludf.DUMMYFUNCTION("IF(C1882&lt;&gt;"""",""https://api.qrserver.com/v1/create-qr-code/?size=200x200&amp;data=""&amp;ENCODEURL(""https://wa.me/507""&amp;REGEXREPLACE(C1882,""[^0-9]"","""")&amp;""?text=""&amp;ENCODEURL(""Ya llegue. Codigo: ""&amp;A1882&amp;"". Ubicacion: ""&amp;""https://www.google.com/maps/search"&amp;"/?api=1&amp;query=""&amp;SUBSTITUTE(F1882,"" "",""""))),"""")"),"")</f>
        <v/>
      </c>
      <c r="M1882" s="5" t="str">
        <f t="shared" si="6"/>
        <v/>
      </c>
      <c r="N1882" s="5" t="str">
        <f>IFERROR(__xludf.DUMMYFUNCTION("IF(AND(F1882&lt;&gt;"""",REGEXMATCH(SUBSTITUTE(F1882,"" "",""""),""^-?\d+(\.\d+)?,-?\d+(\.\d+)?$""),VALUE(REGEXEXTRACT(SUBSTITUTE(F1882,"" "",""""),""^-?\d+(\.\d+)?""))&gt;=-90,VALUE(REGEXEXTRACT(SUBSTITUTE(F1882,"" "",""""),""^-?\d+(\.\d+)?""))&lt;=90,VALUE(REGEXEXT"&amp;"RACT(SUBSTITUTE(F1882,"" "",""""),""-?\d+(\.\d+)?$""))&gt;=-180,VALUE(REGEXEXTRACT(SUBSTITUTE(F1882,"" "",""""),""-?\d+(\.\d+)?$""))&lt;=180),""OK"",""REVISAR"")"),"#N/A")</f>
        <v>#N/A</v>
      </c>
    </row>
    <row r="1883" ht="15.75" customHeight="1">
      <c r="A1883" s="5" t="str">
        <f t="shared" si="1"/>
        <v>AD507-1881</v>
      </c>
      <c r="C1883" s="5"/>
      <c r="F1883" s="5"/>
      <c r="G1883" s="5" t="str">
        <f t="shared" si="2"/>
        <v/>
      </c>
      <c r="H1883" s="5" t="str">
        <f t="shared" si="3"/>
        <v/>
      </c>
      <c r="I1883" s="5" t="str">
        <f t="shared" si="4"/>
        <v/>
      </c>
      <c r="J1883" s="5" t="str">
        <f t="shared" si="5"/>
        <v/>
      </c>
      <c r="K1883" s="5" t="str">
        <f>IFERROR(__xludf.DUMMYFUNCTION("IF(C1883&lt;&gt;"""",HYPERLINK(""https://wa.me/507""&amp;REGEXREPLACE(C1883,""[^0-9]"","""")&amp;""?text=""&amp;ENCODEURL(""Ya llegue. Codigo: ""&amp;A1883&amp;"". Ubicacion: ""&amp;""https://www.google.com/maps/search/?api=1&amp;query=""&amp;SUBSTITUTE(F1883,"" "","""")),""📲 Avisar al clien"&amp;"te""),"""")"),"")</f>
        <v/>
      </c>
      <c r="L1883" s="5" t="str">
        <f>IFERROR(__xludf.DUMMYFUNCTION("IF(C1883&lt;&gt;"""",""https://api.qrserver.com/v1/create-qr-code/?size=200x200&amp;data=""&amp;ENCODEURL(""https://wa.me/507""&amp;REGEXREPLACE(C1883,""[^0-9]"","""")&amp;""?text=""&amp;ENCODEURL(""Ya llegue. Codigo: ""&amp;A1883&amp;"". Ubicacion: ""&amp;""https://www.google.com/maps/search"&amp;"/?api=1&amp;query=""&amp;SUBSTITUTE(F1883,"" "",""""))),"""")"),"")</f>
        <v/>
      </c>
      <c r="M1883" s="5" t="str">
        <f t="shared" si="6"/>
        <v/>
      </c>
      <c r="N1883" s="5" t="str">
        <f>IFERROR(__xludf.DUMMYFUNCTION("IF(AND(F1883&lt;&gt;"""",REGEXMATCH(SUBSTITUTE(F1883,"" "",""""),""^-?\d+(\.\d+)?,-?\d+(\.\d+)?$""),VALUE(REGEXEXTRACT(SUBSTITUTE(F1883,"" "",""""),""^-?\d+(\.\d+)?""))&gt;=-90,VALUE(REGEXEXTRACT(SUBSTITUTE(F1883,"" "",""""),""^-?\d+(\.\d+)?""))&lt;=90,VALUE(REGEXEXT"&amp;"RACT(SUBSTITUTE(F1883,"" "",""""),""-?\d+(\.\d+)?$""))&gt;=-180,VALUE(REGEXEXTRACT(SUBSTITUTE(F1883,"" "",""""),""-?\d+(\.\d+)?$""))&lt;=180),""OK"",""REVISAR"")"),"#N/A")</f>
        <v>#N/A</v>
      </c>
    </row>
    <row r="1884" ht="15.75" customHeight="1">
      <c r="A1884" s="5" t="str">
        <f t="shared" si="1"/>
        <v>AD507-1882</v>
      </c>
      <c r="C1884" s="5"/>
      <c r="F1884" s="5"/>
      <c r="G1884" s="5" t="str">
        <f t="shared" si="2"/>
        <v/>
      </c>
      <c r="H1884" s="5" t="str">
        <f t="shared" si="3"/>
        <v/>
      </c>
      <c r="I1884" s="5" t="str">
        <f t="shared" si="4"/>
        <v/>
      </c>
      <c r="J1884" s="5" t="str">
        <f t="shared" si="5"/>
        <v/>
      </c>
      <c r="K1884" s="5" t="str">
        <f>IFERROR(__xludf.DUMMYFUNCTION("IF(C1884&lt;&gt;"""",HYPERLINK(""https://wa.me/507""&amp;REGEXREPLACE(C1884,""[^0-9]"","""")&amp;""?text=""&amp;ENCODEURL(""Ya llegue. Codigo: ""&amp;A1884&amp;"". Ubicacion: ""&amp;""https://www.google.com/maps/search/?api=1&amp;query=""&amp;SUBSTITUTE(F1884,"" "","""")),""📲 Avisar al clien"&amp;"te""),"""")"),"")</f>
        <v/>
      </c>
      <c r="L1884" s="5" t="str">
        <f>IFERROR(__xludf.DUMMYFUNCTION("IF(C1884&lt;&gt;"""",""https://api.qrserver.com/v1/create-qr-code/?size=200x200&amp;data=""&amp;ENCODEURL(""https://wa.me/507""&amp;REGEXREPLACE(C1884,""[^0-9]"","""")&amp;""?text=""&amp;ENCODEURL(""Ya llegue. Codigo: ""&amp;A1884&amp;"". Ubicacion: ""&amp;""https://www.google.com/maps/search"&amp;"/?api=1&amp;query=""&amp;SUBSTITUTE(F1884,"" "",""""))),"""")"),"")</f>
        <v/>
      </c>
      <c r="M1884" s="5" t="str">
        <f t="shared" si="6"/>
        <v/>
      </c>
      <c r="N1884" s="5" t="str">
        <f>IFERROR(__xludf.DUMMYFUNCTION("IF(AND(F1884&lt;&gt;"""",REGEXMATCH(SUBSTITUTE(F1884,"" "",""""),""^-?\d+(\.\d+)?,-?\d+(\.\d+)?$""),VALUE(REGEXEXTRACT(SUBSTITUTE(F1884,"" "",""""),""^-?\d+(\.\d+)?""))&gt;=-90,VALUE(REGEXEXTRACT(SUBSTITUTE(F1884,"" "",""""),""^-?\d+(\.\d+)?""))&lt;=90,VALUE(REGEXEXT"&amp;"RACT(SUBSTITUTE(F1884,"" "",""""),""-?\d+(\.\d+)?$""))&gt;=-180,VALUE(REGEXEXTRACT(SUBSTITUTE(F1884,"" "",""""),""-?\d+(\.\d+)?$""))&lt;=180),""OK"",""REVISAR"")"),"#N/A")</f>
        <v>#N/A</v>
      </c>
    </row>
    <row r="1885" ht="15.75" customHeight="1">
      <c r="A1885" s="5" t="str">
        <f t="shared" si="1"/>
        <v>AD507-1883</v>
      </c>
      <c r="C1885" s="5"/>
      <c r="F1885" s="5"/>
      <c r="G1885" s="5" t="str">
        <f t="shared" si="2"/>
        <v/>
      </c>
      <c r="H1885" s="5" t="str">
        <f t="shared" si="3"/>
        <v/>
      </c>
      <c r="I1885" s="5" t="str">
        <f t="shared" si="4"/>
        <v/>
      </c>
      <c r="J1885" s="5" t="str">
        <f t="shared" si="5"/>
        <v/>
      </c>
      <c r="K1885" s="5" t="str">
        <f>IFERROR(__xludf.DUMMYFUNCTION("IF(C1885&lt;&gt;"""",HYPERLINK(""https://wa.me/507""&amp;REGEXREPLACE(C1885,""[^0-9]"","""")&amp;""?text=""&amp;ENCODEURL(""Ya llegue. Codigo: ""&amp;A1885&amp;"". Ubicacion: ""&amp;""https://www.google.com/maps/search/?api=1&amp;query=""&amp;SUBSTITUTE(F1885,"" "","""")),""📲 Avisar al clien"&amp;"te""),"""")"),"")</f>
        <v/>
      </c>
      <c r="L1885" s="5" t="str">
        <f>IFERROR(__xludf.DUMMYFUNCTION("IF(C1885&lt;&gt;"""",""https://api.qrserver.com/v1/create-qr-code/?size=200x200&amp;data=""&amp;ENCODEURL(""https://wa.me/507""&amp;REGEXREPLACE(C1885,""[^0-9]"","""")&amp;""?text=""&amp;ENCODEURL(""Ya llegue. Codigo: ""&amp;A1885&amp;"". Ubicacion: ""&amp;""https://www.google.com/maps/search"&amp;"/?api=1&amp;query=""&amp;SUBSTITUTE(F1885,"" "",""""))),"""")"),"")</f>
        <v/>
      </c>
      <c r="M1885" s="5" t="str">
        <f t="shared" si="6"/>
        <v/>
      </c>
      <c r="N1885" s="5" t="str">
        <f>IFERROR(__xludf.DUMMYFUNCTION("IF(AND(F1885&lt;&gt;"""",REGEXMATCH(SUBSTITUTE(F1885,"" "",""""),""^-?\d+(\.\d+)?,-?\d+(\.\d+)?$""),VALUE(REGEXEXTRACT(SUBSTITUTE(F1885,"" "",""""),""^-?\d+(\.\d+)?""))&gt;=-90,VALUE(REGEXEXTRACT(SUBSTITUTE(F1885,"" "",""""),""^-?\d+(\.\d+)?""))&lt;=90,VALUE(REGEXEXT"&amp;"RACT(SUBSTITUTE(F1885,"" "",""""),""-?\d+(\.\d+)?$""))&gt;=-180,VALUE(REGEXEXTRACT(SUBSTITUTE(F1885,"" "",""""),""-?\d+(\.\d+)?$""))&lt;=180),""OK"",""REVISAR"")"),"#N/A")</f>
        <v>#N/A</v>
      </c>
    </row>
    <row r="1886" ht="15.75" customHeight="1">
      <c r="A1886" s="5" t="str">
        <f t="shared" si="1"/>
        <v>AD507-1884</v>
      </c>
      <c r="C1886" s="5"/>
      <c r="F1886" s="5"/>
      <c r="G1886" s="5" t="str">
        <f t="shared" si="2"/>
        <v/>
      </c>
      <c r="H1886" s="5" t="str">
        <f t="shared" si="3"/>
        <v/>
      </c>
      <c r="I1886" s="5" t="str">
        <f t="shared" si="4"/>
        <v/>
      </c>
      <c r="J1886" s="5" t="str">
        <f t="shared" si="5"/>
        <v/>
      </c>
      <c r="K1886" s="5" t="str">
        <f>IFERROR(__xludf.DUMMYFUNCTION("IF(C1886&lt;&gt;"""",HYPERLINK(""https://wa.me/507""&amp;REGEXREPLACE(C1886,""[^0-9]"","""")&amp;""?text=""&amp;ENCODEURL(""Ya llegue. Codigo: ""&amp;A1886&amp;"". Ubicacion: ""&amp;""https://www.google.com/maps/search/?api=1&amp;query=""&amp;SUBSTITUTE(F1886,"" "","""")),""📲 Avisar al clien"&amp;"te""),"""")"),"")</f>
        <v/>
      </c>
      <c r="L1886" s="5" t="str">
        <f>IFERROR(__xludf.DUMMYFUNCTION("IF(C1886&lt;&gt;"""",""https://api.qrserver.com/v1/create-qr-code/?size=200x200&amp;data=""&amp;ENCODEURL(""https://wa.me/507""&amp;REGEXREPLACE(C1886,""[^0-9]"","""")&amp;""?text=""&amp;ENCODEURL(""Ya llegue. Codigo: ""&amp;A1886&amp;"". Ubicacion: ""&amp;""https://www.google.com/maps/search"&amp;"/?api=1&amp;query=""&amp;SUBSTITUTE(F1886,"" "",""""))),"""")"),"")</f>
        <v/>
      </c>
      <c r="M1886" s="5" t="str">
        <f t="shared" si="6"/>
        <v/>
      </c>
      <c r="N1886" s="5" t="str">
        <f>IFERROR(__xludf.DUMMYFUNCTION("IF(AND(F1886&lt;&gt;"""",REGEXMATCH(SUBSTITUTE(F1886,"" "",""""),""^-?\d+(\.\d+)?,-?\d+(\.\d+)?$""),VALUE(REGEXEXTRACT(SUBSTITUTE(F1886,"" "",""""),""^-?\d+(\.\d+)?""))&gt;=-90,VALUE(REGEXEXTRACT(SUBSTITUTE(F1886,"" "",""""),""^-?\d+(\.\d+)?""))&lt;=90,VALUE(REGEXEXT"&amp;"RACT(SUBSTITUTE(F1886,"" "",""""),""-?\d+(\.\d+)?$""))&gt;=-180,VALUE(REGEXEXTRACT(SUBSTITUTE(F1886,"" "",""""),""-?\d+(\.\d+)?$""))&lt;=180),""OK"",""REVISAR"")"),"#N/A")</f>
        <v>#N/A</v>
      </c>
    </row>
    <row r="1887" ht="15.75" customHeight="1">
      <c r="A1887" s="5" t="str">
        <f t="shared" si="1"/>
        <v>AD507-1885</v>
      </c>
      <c r="C1887" s="5"/>
      <c r="F1887" s="5"/>
      <c r="G1887" s="5" t="str">
        <f t="shared" si="2"/>
        <v/>
      </c>
      <c r="H1887" s="5" t="str">
        <f t="shared" si="3"/>
        <v/>
      </c>
      <c r="I1887" s="5" t="str">
        <f t="shared" si="4"/>
        <v/>
      </c>
      <c r="J1887" s="5" t="str">
        <f t="shared" si="5"/>
        <v/>
      </c>
      <c r="K1887" s="5" t="str">
        <f>IFERROR(__xludf.DUMMYFUNCTION("IF(C1887&lt;&gt;"""",HYPERLINK(""https://wa.me/507""&amp;REGEXREPLACE(C1887,""[^0-9]"","""")&amp;""?text=""&amp;ENCODEURL(""Ya llegue. Codigo: ""&amp;A1887&amp;"". Ubicacion: ""&amp;""https://www.google.com/maps/search/?api=1&amp;query=""&amp;SUBSTITUTE(F1887,"" "","""")),""📲 Avisar al clien"&amp;"te""),"""")"),"")</f>
        <v/>
      </c>
      <c r="L1887" s="5" t="str">
        <f>IFERROR(__xludf.DUMMYFUNCTION("IF(C1887&lt;&gt;"""",""https://api.qrserver.com/v1/create-qr-code/?size=200x200&amp;data=""&amp;ENCODEURL(""https://wa.me/507""&amp;REGEXREPLACE(C1887,""[^0-9]"","""")&amp;""?text=""&amp;ENCODEURL(""Ya llegue. Codigo: ""&amp;A1887&amp;"". Ubicacion: ""&amp;""https://www.google.com/maps/search"&amp;"/?api=1&amp;query=""&amp;SUBSTITUTE(F1887,"" "",""""))),"""")"),"")</f>
        <v/>
      </c>
      <c r="M1887" s="5" t="str">
        <f t="shared" si="6"/>
        <v/>
      </c>
      <c r="N1887" s="5" t="str">
        <f>IFERROR(__xludf.DUMMYFUNCTION("IF(AND(F1887&lt;&gt;"""",REGEXMATCH(SUBSTITUTE(F1887,"" "",""""),""^-?\d+(\.\d+)?,-?\d+(\.\d+)?$""),VALUE(REGEXEXTRACT(SUBSTITUTE(F1887,"" "",""""),""^-?\d+(\.\d+)?""))&gt;=-90,VALUE(REGEXEXTRACT(SUBSTITUTE(F1887,"" "",""""),""^-?\d+(\.\d+)?""))&lt;=90,VALUE(REGEXEXT"&amp;"RACT(SUBSTITUTE(F1887,"" "",""""),""-?\d+(\.\d+)?$""))&gt;=-180,VALUE(REGEXEXTRACT(SUBSTITUTE(F1887,"" "",""""),""-?\d+(\.\d+)?$""))&lt;=180),""OK"",""REVISAR"")"),"#N/A")</f>
        <v>#N/A</v>
      </c>
    </row>
    <row r="1888" ht="15.75" customHeight="1">
      <c r="A1888" s="5" t="str">
        <f t="shared" si="1"/>
        <v>AD507-1886</v>
      </c>
      <c r="C1888" s="5"/>
      <c r="F1888" s="5"/>
      <c r="G1888" s="5" t="str">
        <f t="shared" si="2"/>
        <v/>
      </c>
      <c r="H1888" s="5" t="str">
        <f t="shared" si="3"/>
        <v/>
      </c>
      <c r="I1888" s="5" t="str">
        <f t="shared" si="4"/>
        <v/>
      </c>
      <c r="J1888" s="5" t="str">
        <f t="shared" si="5"/>
        <v/>
      </c>
      <c r="K1888" s="5" t="str">
        <f>IFERROR(__xludf.DUMMYFUNCTION("IF(C1888&lt;&gt;"""",HYPERLINK(""https://wa.me/507""&amp;REGEXREPLACE(C1888,""[^0-9]"","""")&amp;""?text=""&amp;ENCODEURL(""Ya llegue. Codigo: ""&amp;A1888&amp;"". Ubicacion: ""&amp;""https://www.google.com/maps/search/?api=1&amp;query=""&amp;SUBSTITUTE(F1888,"" "","""")),""📲 Avisar al clien"&amp;"te""),"""")"),"")</f>
        <v/>
      </c>
      <c r="L1888" s="5" t="str">
        <f>IFERROR(__xludf.DUMMYFUNCTION("IF(C1888&lt;&gt;"""",""https://api.qrserver.com/v1/create-qr-code/?size=200x200&amp;data=""&amp;ENCODEURL(""https://wa.me/507""&amp;REGEXREPLACE(C1888,""[^0-9]"","""")&amp;""?text=""&amp;ENCODEURL(""Ya llegue. Codigo: ""&amp;A1888&amp;"". Ubicacion: ""&amp;""https://www.google.com/maps/search"&amp;"/?api=1&amp;query=""&amp;SUBSTITUTE(F1888,"" "",""""))),"""")"),"")</f>
        <v/>
      </c>
      <c r="M1888" s="5" t="str">
        <f t="shared" si="6"/>
        <v/>
      </c>
      <c r="N1888" s="5" t="str">
        <f>IFERROR(__xludf.DUMMYFUNCTION("IF(AND(F1888&lt;&gt;"""",REGEXMATCH(SUBSTITUTE(F1888,"" "",""""),""^-?\d+(\.\d+)?,-?\d+(\.\d+)?$""),VALUE(REGEXEXTRACT(SUBSTITUTE(F1888,"" "",""""),""^-?\d+(\.\d+)?""))&gt;=-90,VALUE(REGEXEXTRACT(SUBSTITUTE(F1888,"" "",""""),""^-?\d+(\.\d+)?""))&lt;=90,VALUE(REGEXEXT"&amp;"RACT(SUBSTITUTE(F1888,"" "",""""),""-?\d+(\.\d+)?$""))&gt;=-180,VALUE(REGEXEXTRACT(SUBSTITUTE(F1888,"" "",""""),""-?\d+(\.\d+)?$""))&lt;=180),""OK"",""REVISAR"")"),"#N/A")</f>
        <v>#N/A</v>
      </c>
    </row>
    <row r="1889" ht="15.75" customHeight="1">
      <c r="A1889" s="5" t="str">
        <f t="shared" si="1"/>
        <v>AD507-1887</v>
      </c>
      <c r="C1889" s="5"/>
      <c r="F1889" s="5"/>
      <c r="G1889" s="5" t="str">
        <f t="shared" si="2"/>
        <v/>
      </c>
      <c r="H1889" s="5" t="str">
        <f t="shared" si="3"/>
        <v/>
      </c>
      <c r="I1889" s="5" t="str">
        <f t="shared" si="4"/>
        <v/>
      </c>
      <c r="J1889" s="5" t="str">
        <f t="shared" si="5"/>
        <v/>
      </c>
      <c r="K1889" s="5" t="str">
        <f>IFERROR(__xludf.DUMMYFUNCTION("IF(C1889&lt;&gt;"""",HYPERLINK(""https://wa.me/507""&amp;REGEXREPLACE(C1889,""[^0-9]"","""")&amp;""?text=""&amp;ENCODEURL(""Ya llegue. Codigo: ""&amp;A1889&amp;"". Ubicacion: ""&amp;""https://www.google.com/maps/search/?api=1&amp;query=""&amp;SUBSTITUTE(F1889,"" "","""")),""📲 Avisar al clien"&amp;"te""),"""")"),"")</f>
        <v/>
      </c>
      <c r="L1889" s="5" t="str">
        <f>IFERROR(__xludf.DUMMYFUNCTION("IF(C1889&lt;&gt;"""",""https://api.qrserver.com/v1/create-qr-code/?size=200x200&amp;data=""&amp;ENCODEURL(""https://wa.me/507""&amp;REGEXREPLACE(C1889,""[^0-9]"","""")&amp;""?text=""&amp;ENCODEURL(""Ya llegue. Codigo: ""&amp;A1889&amp;"". Ubicacion: ""&amp;""https://www.google.com/maps/search"&amp;"/?api=1&amp;query=""&amp;SUBSTITUTE(F1889,"" "",""""))),"""")"),"")</f>
        <v/>
      </c>
      <c r="M1889" s="5" t="str">
        <f t="shared" si="6"/>
        <v/>
      </c>
      <c r="N1889" s="5" t="str">
        <f>IFERROR(__xludf.DUMMYFUNCTION("IF(AND(F1889&lt;&gt;"""",REGEXMATCH(SUBSTITUTE(F1889,"" "",""""),""^-?\d+(\.\d+)?,-?\d+(\.\d+)?$""),VALUE(REGEXEXTRACT(SUBSTITUTE(F1889,"" "",""""),""^-?\d+(\.\d+)?""))&gt;=-90,VALUE(REGEXEXTRACT(SUBSTITUTE(F1889,"" "",""""),""^-?\d+(\.\d+)?""))&lt;=90,VALUE(REGEXEXT"&amp;"RACT(SUBSTITUTE(F1889,"" "",""""),""-?\d+(\.\d+)?$""))&gt;=-180,VALUE(REGEXEXTRACT(SUBSTITUTE(F1889,"" "",""""),""-?\d+(\.\d+)?$""))&lt;=180),""OK"",""REVISAR"")"),"#N/A")</f>
        <v>#N/A</v>
      </c>
    </row>
    <row r="1890" ht="15.75" customHeight="1">
      <c r="A1890" s="5" t="str">
        <f t="shared" si="1"/>
        <v>AD507-1888</v>
      </c>
      <c r="C1890" s="5"/>
      <c r="F1890" s="5"/>
      <c r="G1890" s="5" t="str">
        <f t="shared" si="2"/>
        <v/>
      </c>
      <c r="H1890" s="5" t="str">
        <f t="shared" si="3"/>
        <v/>
      </c>
      <c r="I1890" s="5" t="str">
        <f t="shared" si="4"/>
        <v/>
      </c>
      <c r="J1890" s="5" t="str">
        <f t="shared" si="5"/>
        <v/>
      </c>
      <c r="K1890" s="5" t="str">
        <f>IFERROR(__xludf.DUMMYFUNCTION("IF(C1890&lt;&gt;"""",HYPERLINK(""https://wa.me/507""&amp;REGEXREPLACE(C1890,""[^0-9]"","""")&amp;""?text=""&amp;ENCODEURL(""Ya llegue. Codigo: ""&amp;A1890&amp;"". Ubicacion: ""&amp;""https://www.google.com/maps/search/?api=1&amp;query=""&amp;SUBSTITUTE(F1890,"" "","""")),""📲 Avisar al clien"&amp;"te""),"""")"),"")</f>
        <v/>
      </c>
      <c r="L1890" s="5" t="str">
        <f>IFERROR(__xludf.DUMMYFUNCTION("IF(C1890&lt;&gt;"""",""https://api.qrserver.com/v1/create-qr-code/?size=200x200&amp;data=""&amp;ENCODEURL(""https://wa.me/507""&amp;REGEXREPLACE(C1890,""[^0-9]"","""")&amp;""?text=""&amp;ENCODEURL(""Ya llegue. Codigo: ""&amp;A1890&amp;"". Ubicacion: ""&amp;""https://www.google.com/maps/search"&amp;"/?api=1&amp;query=""&amp;SUBSTITUTE(F1890,"" "",""""))),"""")"),"")</f>
        <v/>
      </c>
      <c r="M1890" s="5" t="str">
        <f t="shared" si="6"/>
        <v/>
      </c>
      <c r="N1890" s="5" t="str">
        <f>IFERROR(__xludf.DUMMYFUNCTION("IF(AND(F1890&lt;&gt;"""",REGEXMATCH(SUBSTITUTE(F1890,"" "",""""),""^-?\d+(\.\d+)?,-?\d+(\.\d+)?$""),VALUE(REGEXEXTRACT(SUBSTITUTE(F1890,"" "",""""),""^-?\d+(\.\d+)?""))&gt;=-90,VALUE(REGEXEXTRACT(SUBSTITUTE(F1890,"" "",""""),""^-?\d+(\.\d+)?""))&lt;=90,VALUE(REGEXEXT"&amp;"RACT(SUBSTITUTE(F1890,"" "",""""),""-?\d+(\.\d+)?$""))&gt;=-180,VALUE(REGEXEXTRACT(SUBSTITUTE(F1890,"" "",""""),""-?\d+(\.\d+)?$""))&lt;=180),""OK"",""REVISAR"")"),"#N/A")</f>
        <v>#N/A</v>
      </c>
    </row>
    <row r="1891" ht="15.75" customHeight="1">
      <c r="A1891" s="5" t="str">
        <f t="shared" si="1"/>
        <v>AD507-1889</v>
      </c>
      <c r="C1891" s="5"/>
      <c r="F1891" s="5"/>
      <c r="G1891" s="5" t="str">
        <f t="shared" si="2"/>
        <v/>
      </c>
      <c r="H1891" s="5" t="str">
        <f t="shared" si="3"/>
        <v/>
      </c>
      <c r="I1891" s="5" t="str">
        <f t="shared" si="4"/>
        <v/>
      </c>
      <c r="J1891" s="5" t="str">
        <f t="shared" si="5"/>
        <v/>
      </c>
      <c r="K1891" s="5" t="str">
        <f>IFERROR(__xludf.DUMMYFUNCTION("IF(C1891&lt;&gt;"""",HYPERLINK(""https://wa.me/507""&amp;REGEXREPLACE(C1891,""[^0-9]"","""")&amp;""?text=""&amp;ENCODEURL(""Ya llegue. Codigo: ""&amp;A1891&amp;"". Ubicacion: ""&amp;""https://www.google.com/maps/search/?api=1&amp;query=""&amp;SUBSTITUTE(F1891,"" "","""")),""📲 Avisar al clien"&amp;"te""),"""")"),"")</f>
        <v/>
      </c>
      <c r="L1891" s="5" t="str">
        <f>IFERROR(__xludf.DUMMYFUNCTION("IF(C1891&lt;&gt;"""",""https://api.qrserver.com/v1/create-qr-code/?size=200x200&amp;data=""&amp;ENCODEURL(""https://wa.me/507""&amp;REGEXREPLACE(C1891,""[^0-9]"","""")&amp;""?text=""&amp;ENCODEURL(""Ya llegue. Codigo: ""&amp;A1891&amp;"". Ubicacion: ""&amp;""https://www.google.com/maps/search"&amp;"/?api=1&amp;query=""&amp;SUBSTITUTE(F1891,"" "",""""))),"""")"),"")</f>
        <v/>
      </c>
      <c r="M1891" s="5" t="str">
        <f t="shared" si="6"/>
        <v/>
      </c>
      <c r="N1891" s="5" t="str">
        <f>IFERROR(__xludf.DUMMYFUNCTION("IF(AND(F1891&lt;&gt;"""",REGEXMATCH(SUBSTITUTE(F1891,"" "",""""),""^-?\d+(\.\d+)?,-?\d+(\.\d+)?$""),VALUE(REGEXEXTRACT(SUBSTITUTE(F1891,"" "",""""),""^-?\d+(\.\d+)?""))&gt;=-90,VALUE(REGEXEXTRACT(SUBSTITUTE(F1891,"" "",""""),""^-?\d+(\.\d+)?""))&lt;=90,VALUE(REGEXEXT"&amp;"RACT(SUBSTITUTE(F1891,"" "",""""),""-?\d+(\.\d+)?$""))&gt;=-180,VALUE(REGEXEXTRACT(SUBSTITUTE(F1891,"" "",""""),""-?\d+(\.\d+)?$""))&lt;=180),""OK"",""REVISAR"")"),"#N/A")</f>
        <v>#N/A</v>
      </c>
    </row>
    <row r="1892" ht="15.75" customHeight="1">
      <c r="A1892" s="5" t="str">
        <f t="shared" si="1"/>
        <v>AD507-1890</v>
      </c>
      <c r="C1892" s="5"/>
      <c r="F1892" s="5"/>
      <c r="G1892" s="5" t="str">
        <f t="shared" si="2"/>
        <v/>
      </c>
      <c r="H1892" s="5" t="str">
        <f t="shared" si="3"/>
        <v/>
      </c>
      <c r="I1892" s="5" t="str">
        <f t="shared" si="4"/>
        <v/>
      </c>
      <c r="J1892" s="5" t="str">
        <f t="shared" si="5"/>
        <v/>
      </c>
      <c r="K1892" s="5" t="str">
        <f>IFERROR(__xludf.DUMMYFUNCTION("IF(C1892&lt;&gt;"""",HYPERLINK(""https://wa.me/507""&amp;REGEXREPLACE(C1892,""[^0-9]"","""")&amp;""?text=""&amp;ENCODEURL(""Ya llegue. Codigo: ""&amp;A1892&amp;"". Ubicacion: ""&amp;""https://www.google.com/maps/search/?api=1&amp;query=""&amp;SUBSTITUTE(F1892,"" "","""")),""📲 Avisar al clien"&amp;"te""),"""")"),"")</f>
        <v/>
      </c>
      <c r="L1892" s="5" t="str">
        <f>IFERROR(__xludf.DUMMYFUNCTION("IF(C1892&lt;&gt;"""",""https://api.qrserver.com/v1/create-qr-code/?size=200x200&amp;data=""&amp;ENCODEURL(""https://wa.me/507""&amp;REGEXREPLACE(C1892,""[^0-9]"","""")&amp;""?text=""&amp;ENCODEURL(""Ya llegue. Codigo: ""&amp;A1892&amp;"". Ubicacion: ""&amp;""https://www.google.com/maps/search"&amp;"/?api=1&amp;query=""&amp;SUBSTITUTE(F1892,"" "",""""))),"""")"),"")</f>
        <v/>
      </c>
      <c r="M1892" s="5" t="str">
        <f t="shared" si="6"/>
        <v/>
      </c>
      <c r="N1892" s="5" t="str">
        <f>IFERROR(__xludf.DUMMYFUNCTION("IF(AND(F1892&lt;&gt;"""",REGEXMATCH(SUBSTITUTE(F1892,"" "",""""),""^-?\d+(\.\d+)?,-?\d+(\.\d+)?$""),VALUE(REGEXEXTRACT(SUBSTITUTE(F1892,"" "",""""),""^-?\d+(\.\d+)?""))&gt;=-90,VALUE(REGEXEXTRACT(SUBSTITUTE(F1892,"" "",""""),""^-?\d+(\.\d+)?""))&lt;=90,VALUE(REGEXEXT"&amp;"RACT(SUBSTITUTE(F1892,"" "",""""),""-?\d+(\.\d+)?$""))&gt;=-180,VALUE(REGEXEXTRACT(SUBSTITUTE(F1892,"" "",""""),""-?\d+(\.\d+)?$""))&lt;=180),""OK"",""REVISAR"")"),"#N/A")</f>
        <v>#N/A</v>
      </c>
    </row>
    <row r="1893" ht="15.75" customHeight="1">
      <c r="A1893" s="5" t="str">
        <f t="shared" si="1"/>
        <v>AD507-1891</v>
      </c>
      <c r="C1893" s="5"/>
      <c r="F1893" s="5"/>
      <c r="G1893" s="5" t="str">
        <f t="shared" si="2"/>
        <v/>
      </c>
      <c r="H1893" s="5" t="str">
        <f t="shared" si="3"/>
        <v/>
      </c>
      <c r="I1893" s="5" t="str">
        <f t="shared" si="4"/>
        <v/>
      </c>
      <c r="J1893" s="5" t="str">
        <f t="shared" si="5"/>
        <v/>
      </c>
      <c r="K1893" s="5" t="str">
        <f>IFERROR(__xludf.DUMMYFUNCTION("IF(C1893&lt;&gt;"""",HYPERLINK(""https://wa.me/507""&amp;REGEXREPLACE(C1893,""[^0-9]"","""")&amp;""?text=""&amp;ENCODEURL(""Ya llegue. Codigo: ""&amp;A1893&amp;"". Ubicacion: ""&amp;""https://www.google.com/maps/search/?api=1&amp;query=""&amp;SUBSTITUTE(F1893,"" "","""")),""📲 Avisar al clien"&amp;"te""),"""")"),"")</f>
        <v/>
      </c>
      <c r="L1893" s="5" t="str">
        <f>IFERROR(__xludf.DUMMYFUNCTION("IF(C1893&lt;&gt;"""",""https://api.qrserver.com/v1/create-qr-code/?size=200x200&amp;data=""&amp;ENCODEURL(""https://wa.me/507""&amp;REGEXREPLACE(C1893,""[^0-9]"","""")&amp;""?text=""&amp;ENCODEURL(""Ya llegue. Codigo: ""&amp;A1893&amp;"". Ubicacion: ""&amp;""https://www.google.com/maps/search"&amp;"/?api=1&amp;query=""&amp;SUBSTITUTE(F1893,"" "",""""))),"""")"),"")</f>
        <v/>
      </c>
      <c r="M1893" s="5" t="str">
        <f t="shared" si="6"/>
        <v/>
      </c>
      <c r="N1893" s="5" t="str">
        <f>IFERROR(__xludf.DUMMYFUNCTION("IF(AND(F1893&lt;&gt;"""",REGEXMATCH(SUBSTITUTE(F1893,"" "",""""),""^-?\d+(\.\d+)?,-?\d+(\.\d+)?$""),VALUE(REGEXEXTRACT(SUBSTITUTE(F1893,"" "",""""),""^-?\d+(\.\d+)?""))&gt;=-90,VALUE(REGEXEXTRACT(SUBSTITUTE(F1893,"" "",""""),""^-?\d+(\.\d+)?""))&lt;=90,VALUE(REGEXEXT"&amp;"RACT(SUBSTITUTE(F1893,"" "",""""),""-?\d+(\.\d+)?$""))&gt;=-180,VALUE(REGEXEXTRACT(SUBSTITUTE(F1893,"" "",""""),""-?\d+(\.\d+)?$""))&lt;=180),""OK"",""REVISAR"")"),"#N/A")</f>
        <v>#N/A</v>
      </c>
    </row>
    <row r="1894" ht="15.75" customHeight="1">
      <c r="A1894" s="5" t="str">
        <f t="shared" si="1"/>
        <v>AD507-1892</v>
      </c>
      <c r="C1894" s="5"/>
      <c r="F1894" s="5"/>
      <c r="G1894" s="5" t="str">
        <f t="shared" si="2"/>
        <v/>
      </c>
      <c r="H1894" s="5" t="str">
        <f t="shared" si="3"/>
        <v/>
      </c>
      <c r="I1894" s="5" t="str">
        <f t="shared" si="4"/>
        <v/>
      </c>
      <c r="J1894" s="5" t="str">
        <f t="shared" si="5"/>
        <v/>
      </c>
      <c r="K1894" s="5" t="str">
        <f>IFERROR(__xludf.DUMMYFUNCTION("IF(C1894&lt;&gt;"""",HYPERLINK(""https://wa.me/507""&amp;REGEXREPLACE(C1894,""[^0-9]"","""")&amp;""?text=""&amp;ENCODEURL(""Ya llegue. Codigo: ""&amp;A1894&amp;"". Ubicacion: ""&amp;""https://www.google.com/maps/search/?api=1&amp;query=""&amp;SUBSTITUTE(F1894,"" "","""")),""📲 Avisar al clien"&amp;"te""),"""")"),"")</f>
        <v/>
      </c>
      <c r="L1894" s="5" t="str">
        <f>IFERROR(__xludf.DUMMYFUNCTION("IF(C1894&lt;&gt;"""",""https://api.qrserver.com/v1/create-qr-code/?size=200x200&amp;data=""&amp;ENCODEURL(""https://wa.me/507""&amp;REGEXREPLACE(C1894,""[^0-9]"","""")&amp;""?text=""&amp;ENCODEURL(""Ya llegue. Codigo: ""&amp;A1894&amp;"". Ubicacion: ""&amp;""https://www.google.com/maps/search"&amp;"/?api=1&amp;query=""&amp;SUBSTITUTE(F1894,"" "",""""))),"""")"),"")</f>
        <v/>
      </c>
      <c r="M1894" s="5" t="str">
        <f t="shared" si="6"/>
        <v/>
      </c>
      <c r="N1894" s="5" t="str">
        <f>IFERROR(__xludf.DUMMYFUNCTION("IF(AND(F1894&lt;&gt;"""",REGEXMATCH(SUBSTITUTE(F1894,"" "",""""),""^-?\d+(\.\d+)?,-?\d+(\.\d+)?$""),VALUE(REGEXEXTRACT(SUBSTITUTE(F1894,"" "",""""),""^-?\d+(\.\d+)?""))&gt;=-90,VALUE(REGEXEXTRACT(SUBSTITUTE(F1894,"" "",""""),""^-?\d+(\.\d+)?""))&lt;=90,VALUE(REGEXEXT"&amp;"RACT(SUBSTITUTE(F1894,"" "",""""),""-?\d+(\.\d+)?$""))&gt;=-180,VALUE(REGEXEXTRACT(SUBSTITUTE(F1894,"" "",""""),""-?\d+(\.\d+)?$""))&lt;=180),""OK"",""REVISAR"")"),"#N/A")</f>
        <v>#N/A</v>
      </c>
    </row>
    <row r="1895" ht="15.75" customHeight="1">
      <c r="A1895" s="5" t="str">
        <f t="shared" si="1"/>
        <v>AD507-1893</v>
      </c>
      <c r="C1895" s="5"/>
      <c r="F1895" s="5"/>
      <c r="G1895" s="5" t="str">
        <f t="shared" si="2"/>
        <v/>
      </c>
      <c r="H1895" s="5" t="str">
        <f t="shared" si="3"/>
        <v/>
      </c>
      <c r="I1895" s="5" t="str">
        <f t="shared" si="4"/>
        <v/>
      </c>
      <c r="J1895" s="5" t="str">
        <f t="shared" si="5"/>
        <v/>
      </c>
      <c r="K1895" s="5" t="str">
        <f>IFERROR(__xludf.DUMMYFUNCTION("IF(C1895&lt;&gt;"""",HYPERLINK(""https://wa.me/507""&amp;REGEXREPLACE(C1895,""[^0-9]"","""")&amp;""?text=""&amp;ENCODEURL(""Ya llegue. Codigo: ""&amp;A1895&amp;"". Ubicacion: ""&amp;""https://www.google.com/maps/search/?api=1&amp;query=""&amp;SUBSTITUTE(F1895,"" "","""")),""📲 Avisar al clien"&amp;"te""),"""")"),"")</f>
        <v/>
      </c>
      <c r="L1895" s="5" t="str">
        <f>IFERROR(__xludf.DUMMYFUNCTION("IF(C1895&lt;&gt;"""",""https://api.qrserver.com/v1/create-qr-code/?size=200x200&amp;data=""&amp;ENCODEURL(""https://wa.me/507""&amp;REGEXREPLACE(C1895,""[^0-9]"","""")&amp;""?text=""&amp;ENCODEURL(""Ya llegue. Codigo: ""&amp;A1895&amp;"". Ubicacion: ""&amp;""https://www.google.com/maps/search"&amp;"/?api=1&amp;query=""&amp;SUBSTITUTE(F1895,"" "",""""))),"""")"),"")</f>
        <v/>
      </c>
      <c r="M1895" s="5" t="str">
        <f t="shared" si="6"/>
        <v/>
      </c>
      <c r="N1895" s="5" t="str">
        <f>IFERROR(__xludf.DUMMYFUNCTION("IF(AND(F1895&lt;&gt;"""",REGEXMATCH(SUBSTITUTE(F1895,"" "",""""),""^-?\d+(\.\d+)?,-?\d+(\.\d+)?$""),VALUE(REGEXEXTRACT(SUBSTITUTE(F1895,"" "",""""),""^-?\d+(\.\d+)?""))&gt;=-90,VALUE(REGEXEXTRACT(SUBSTITUTE(F1895,"" "",""""),""^-?\d+(\.\d+)?""))&lt;=90,VALUE(REGEXEXT"&amp;"RACT(SUBSTITUTE(F1895,"" "",""""),""-?\d+(\.\d+)?$""))&gt;=-180,VALUE(REGEXEXTRACT(SUBSTITUTE(F1895,"" "",""""),""-?\d+(\.\d+)?$""))&lt;=180),""OK"",""REVISAR"")"),"#N/A")</f>
        <v>#N/A</v>
      </c>
    </row>
    <row r="1896" ht="15.75" customHeight="1">
      <c r="A1896" s="5" t="str">
        <f t="shared" si="1"/>
        <v>AD507-1894</v>
      </c>
      <c r="C1896" s="5"/>
      <c r="F1896" s="5"/>
      <c r="G1896" s="5" t="str">
        <f t="shared" si="2"/>
        <v/>
      </c>
      <c r="H1896" s="5" t="str">
        <f t="shared" si="3"/>
        <v/>
      </c>
      <c r="I1896" s="5" t="str">
        <f t="shared" si="4"/>
        <v/>
      </c>
      <c r="J1896" s="5" t="str">
        <f t="shared" si="5"/>
        <v/>
      </c>
      <c r="K1896" s="5" t="str">
        <f>IFERROR(__xludf.DUMMYFUNCTION("IF(C1896&lt;&gt;"""",HYPERLINK(""https://wa.me/507""&amp;REGEXREPLACE(C1896,""[^0-9]"","""")&amp;""?text=""&amp;ENCODEURL(""Ya llegue. Codigo: ""&amp;A1896&amp;"". Ubicacion: ""&amp;""https://www.google.com/maps/search/?api=1&amp;query=""&amp;SUBSTITUTE(F1896,"" "","""")),""📲 Avisar al clien"&amp;"te""),"""")"),"")</f>
        <v/>
      </c>
      <c r="L1896" s="5" t="str">
        <f>IFERROR(__xludf.DUMMYFUNCTION("IF(C1896&lt;&gt;"""",""https://api.qrserver.com/v1/create-qr-code/?size=200x200&amp;data=""&amp;ENCODEURL(""https://wa.me/507""&amp;REGEXREPLACE(C1896,""[^0-9]"","""")&amp;""?text=""&amp;ENCODEURL(""Ya llegue. Codigo: ""&amp;A1896&amp;"". Ubicacion: ""&amp;""https://www.google.com/maps/search"&amp;"/?api=1&amp;query=""&amp;SUBSTITUTE(F1896,"" "",""""))),"""")"),"")</f>
        <v/>
      </c>
      <c r="M1896" s="5" t="str">
        <f t="shared" si="6"/>
        <v/>
      </c>
      <c r="N1896" s="5" t="str">
        <f>IFERROR(__xludf.DUMMYFUNCTION("IF(AND(F1896&lt;&gt;"""",REGEXMATCH(SUBSTITUTE(F1896,"" "",""""),""^-?\d+(\.\d+)?,-?\d+(\.\d+)?$""),VALUE(REGEXEXTRACT(SUBSTITUTE(F1896,"" "",""""),""^-?\d+(\.\d+)?""))&gt;=-90,VALUE(REGEXEXTRACT(SUBSTITUTE(F1896,"" "",""""),""^-?\d+(\.\d+)?""))&lt;=90,VALUE(REGEXEXT"&amp;"RACT(SUBSTITUTE(F1896,"" "",""""),""-?\d+(\.\d+)?$""))&gt;=-180,VALUE(REGEXEXTRACT(SUBSTITUTE(F1896,"" "",""""),""-?\d+(\.\d+)?$""))&lt;=180),""OK"",""REVISAR"")"),"#N/A")</f>
        <v>#N/A</v>
      </c>
    </row>
    <row r="1897" ht="15.75" customHeight="1">
      <c r="A1897" s="5" t="str">
        <f t="shared" si="1"/>
        <v>AD507-1895</v>
      </c>
      <c r="C1897" s="5"/>
      <c r="F1897" s="5"/>
      <c r="G1897" s="5" t="str">
        <f t="shared" si="2"/>
        <v/>
      </c>
      <c r="H1897" s="5" t="str">
        <f t="shared" si="3"/>
        <v/>
      </c>
      <c r="I1897" s="5" t="str">
        <f t="shared" si="4"/>
        <v/>
      </c>
      <c r="J1897" s="5" t="str">
        <f t="shared" si="5"/>
        <v/>
      </c>
      <c r="K1897" s="5" t="str">
        <f>IFERROR(__xludf.DUMMYFUNCTION("IF(C1897&lt;&gt;"""",HYPERLINK(""https://wa.me/507""&amp;REGEXREPLACE(C1897,""[^0-9]"","""")&amp;""?text=""&amp;ENCODEURL(""Ya llegue. Codigo: ""&amp;A1897&amp;"". Ubicacion: ""&amp;""https://www.google.com/maps/search/?api=1&amp;query=""&amp;SUBSTITUTE(F1897,"" "","""")),""📲 Avisar al clien"&amp;"te""),"""")"),"")</f>
        <v/>
      </c>
      <c r="L1897" s="5" t="str">
        <f>IFERROR(__xludf.DUMMYFUNCTION("IF(C1897&lt;&gt;"""",""https://api.qrserver.com/v1/create-qr-code/?size=200x200&amp;data=""&amp;ENCODEURL(""https://wa.me/507""&amp;REGEXREPLACE(C1897,""[^0-9]"","""")&amp;""?text=""&amp;ENCODEURL(""Ya llegue. Codigo: ""&amp;A1897&amp;"". Ubicacion: ""&amp;""https://www.google.com/maps/search"&amp;"/?api=1&amp;query=""&amp;SUBSTITUTE(F1897,"" "",""""))),"""")"),"")</f>
        <v/>
      </c>
      <c r="M1897" s="5" t="str">
        <f t="shared" si="6"/>
        <v/>
      </c>
      <c r="N1897" s="5" t="str">
        <f>IFERROR(__xludf.DUMMYFUNCTION("IF(AND(F1897&lt;&gt;"""",REGEXMATCH(SUBSTITUTE(F1897,"" "",""""),""^-?\d+(\.\d+)?,-?\d+(\.\d+)?$""),VALUE(REGEXEXTRACT(SUBSTITUTE(F1897,"" "",""""),""^-?\d+(\.\d+)?""))&gt;=-90,VALUE(REGEXEXTRACT(SUBSTITUTE(F1897,"" "",""""),""^-?\d+(\.\d+)?""))&lt;=90,VALUE(REGEXEXT"&amp;"RACT(SUBSTITUTE(F1897,"" "",""""),""-?\d+(\.\d+)?$""))&gt;=-180,VALUE(REGEXEXTRACT(SUBSTITUTE(F1897,"" "",""""),""-?\d+(\.\d+)?$""))&lt;=180),""OK"",""REVISAR"")"),"#N/A")</f>
        <v>#N/A</v>
      </c>
    </row>
    <row r="1898" ht="15.75" customHeight="1">
      <c r="A1898" s="5" t="str">
        <f t="shared" si="1"/>
        <v>AD507-1896</v>
      </c>
      <c r="C1898" s="5"/>
      <c r="F1898" s="5"/>
      <c r="G1898" s="5" t="str">
        <f t="shared" si="2"/>
        <v/>
      </c>
      <c r="H1898" s="5" t="str">
        <f t="shared" si="3"/>
        <v/>
      </c>
      <c r="I1898" s="5" t="str">
        <f t="shared" si="4"/>
        <v/>
      </c>
      <c r="J1898" s="5" t="str">
        <f t="shared" si="5"/>
        <v/>
      </c>
      <c r="K1898" s="5" t="str">
        <f>IFERROR(__xludf.DUMMYFUNCTION("IF(C1898&lt;&gt;"""",HYPERLINK(""https://wa.me/507""&amp;REGEXREPLACE(C1898,""[^0-9]"","""")&amp;""?text=""&amp;ENCODEURL(""Ya llegue. Codigo: ""&amp;A1898&amp;"". Ubicacion: ""&amp;""https://www.google.com/maps/search/?api=1&amp;query=""&amp;SUBSTITUTE(F1898,"" "","""")),""📲 Avisar al clien"&amp;"te""),"""")"),"")</f>
        <v/>
      </c>
      <c r="L1898" s="5" t="str">
        <f>IFERROR(__xludf.DUMMYFUNCTION("IF(C1898&lt;&gt;"""",""https://api.qrserver.com/v1/create-qr-code/?size=200x200&amp;data=""&amp;ENCODEURL(""https://wa.me/507""&amp;REGEXREPLACE(C1898,""[^0-9]"","""")&amp;""?text=""&amp;ENCODEURL(""Ya llegue. Codigo: ""&amp;A1898&amp;"". Ubicacion: ""&amp;""https://www.google.com/maps/search"&amp;"/?api=1&amp;query=""&amp;SUBSTITUTE(F1898,"" "",""""))),"""")"),"")</f>
        <v/>
      </c>
      <c r="M1898" s="5" t="str">
        <f t="shared" si="6"/>
        <v/>
      </c>
      <c r="N1898" s="5" t="str">
        <f>IFERROR(__xludf.DUMMYFUNCTION("IF(AND(F1898&lt;&gt;"""",REGEXMATCH(SUBSTITUTE(F1898,"" "",""""),""^-?\d+(\.\d+)?,-?\d+(\.\d+)?$""),VALUE(REGEXEXTRACT(SUBSTITUTE(F1898,"" "",""""),""^-?\d+(\.\d+)?""))&gt;=-90,VALUE(REGEXEXTRACT(SUBSTITUTE(F1898,"" "",""""),""^-?\d+(\.\d+)?""))&lt;=90,VALUE(REGEXEXT"&amp;"RACT(SUBSTITUTE(F1898,"" "",""""),""-?\d+(\.\d+)?$""))&gt;=-180,VALUE(REGEXEXTRACT(SUBSTITUTE(F1898,"" "",""""),""-?\d+(\.\d+)?$""))&lt;=180),""OK"",""REVISAR"")"),"#N/A")</f>
        <v>#N/A</v>
      </c>
    </row>
    <row r="1899" ht="15.75" customHeight="1">
      <c r="A1899" s="5" t="str">
        <f t="shared" si="1"/>
        <v>AD507-1897</v>
      </c>
      <c r="C1899" s="5"/>
      <c r="F1899" s="5"/>
      <c r="G1899" s="5" t="str">
        <f t="shared" si="2"/>
        <v/>
      </c>
      <c r="H1899" s="5" t="str">
        <f t="shared" si="3"/>
        <v/>
      </c>
      <c r="I1899" s="5" t="str">
        <f t="shared" si="4"/>
        <v/>
      </c>
      <c r="J1899" s="5" t="str">
        <f t="shared" si="5"/>
        <v/>
      </c>
      <c r="K1899" s="5" t="str">
        <f>IFERROR(__xludf.DUMMYFUNCTION("IF(C1899&lt;&gt;"""",HYPERLINK(""https://wa.me/507""&amp;REGEXREPLACE(C1899,""[^0-9]"","""")&amp;""?text=""&amp;ENCODEURL(""Ya llegue. Codigo: ""&amp;A1899&amp;"". Ubicacion: ""&amp;""https://www.google.com/maps/search/?api=1&amp;query=""&amp;SUBSTITUTE(F1899,"" "","""")),""📲 Avisar al clien"&amp;"te""),"""")"),"")</f>
        <v/>
      </c>
      <c r="L1899" s="5" t="str">
        <f>IFERROR(__xludf.DUMMYFUNCTION("IF(C1899&lt;&gt;"""",""https://api.qrserver.com/v1/create-qr-code/?size=200x200&amp;data=""&amp;ENCODEURL(""https://wa.me/507""&amp;REGEXREPLACE(C1899,""[^0-9]"","""")&amp;""?text=""&amp;ENCODEURL(""Ya llegue. Codigo: ""&amp;A1899&amp;"". Ubicacion: ""&amp;""https://www.google.com/maps/search"&amp;"/?api=1&amp;query=""&amp;SUBSTITUTE(F1899,"" "",""""))),"""")"),"")</f>
        <v/>
      </c>
      <c r="M1899" s="5" t="str">
        <f t="shared" si="6"/>
        <v/>
      </c>
      <c r="N1899" s="5" t="str">
        <f>IFERROR(__xludf.DUMMYFUNCTION("IF(AND(F1899&lt;&gt;"""",REGEXMATCH(SUBSTITUTE(F1899,"" "",""""),""^-?\d+(\.\d+)?,-?\d+(\.\d+)?$""),VALUE(REGEXEXTRACT(SUBSTITUTE(F1899,"" "",""""),""^-?\d+(\.\d+)?""))&gt;=-90,VALUE(REGEXEXTRACT(SUBSTITUTE(F1899,"" "",""""),""^-?\d+(\.\d+)?""))&lt;=90,VALUE(REGEXEXT"&amp;"RACT(SUBSTITUTE(F1899,"" "",""""),""-?\d+(\.\d+)?$""))&gt;=-180,VALUE(REGEXEXTRACT(SUBSTITUTE(F1899,"" "",""""),""-?\d+(\.\d+)?$""))&lt;=180),""OK"",""REVISAR"")"),"#N/A")</f>
        <v>#N/A</v>
      </c>
    </row>
    <row r="1900" ht="15.75" customHeight="1">
      <c r="A1900" s="5" t="str">
        <f t="shared" si="1"/>
        <v>AD507-1898</v>
      </c>
      <c r="C1900" s="5"/>
      <c r="F1900" s="5"/>
      <c r="G1900" s="5" t="str">
        <f t="shared" si="2"/>
        <v/>
      </c>
      <c r="H1900" s="5" t="str">
        <f t="shared" si="3"/>
        <v/>
      </c>
      <c r="I1900" s="5" t="str">
        <f t="shared" si="4"/>
        <v/>
      </c>
      <c r="J1900" s="5" t="str">
        <f t="shared" si="5"/>
        <v/>
      </c>
      <c r="K1900" s="5" t="str">
        <f>IFERROR(__xludf.DUMMYFUNCTION("IF(C1900&lt;&gt;"""",HYPERLINK(""https://wa.me/507""&amp;REGEXREPLACE(C1900,""[^0-9]"","""")&amp;""?text=""&amp;ENCODEURL(""Ya llegue. Codigo: ""&amp;A1900&amp;"". Ubicacion: ""&amp;""https://www.google.com/maps/search/?api=1&amp;query=""&amp;SUBSTITUTE(F1900,"" "","""")),""📲 Avisar al clien"&amp;"te""),"""")"),"")</f>
        <v/>
      </c>
      <c r="L1900" s="5" t="str">
        <f>IFERROR(__xludf.DUMMYFUNCTION("IF(C1900&lt;&gt;"""",""https://api.qrserver.com/v1/create-qr-code/?size=200x200&amp;data=""&amp;ENCODEURL(""https://wa.me/507""&amp;REGEXREPLACE(C1900,""[^0-9]"","""")&amp;""?text=""&amp;ENCODEURL(""Ya llegue. Codigo: ""&amp;A1900&amp;"". Ubicacion: ""&amp;""https://www.google.com/maps/search"&amp;"/?api=1&amp;query=""&amp;SUBSTITUTE(F1900,"" "",""""))),"""")"),"")</f>
        <v/>
      </c>
      <c r="M1900" s="5" t="str">
        <f t="shared" si="6"/>
        <v/>
      </c>
      <c r="N1900" s="5" t="str">
        <f>IFERROR(__xludf.DUMMYFUNCTION("IF(AND(F1900&lt;&gt;"""",REGEXMATCH(SUBSTITUTE(F1900,"" "",""""),""^-?\d+(\.\d+)?,-?\d+(\.\d+)?$""),VALUE(REGEXEXTRACT(SUBSTITUTE(F1900,"" "",""""),""^-?\d+(\.\d+)?""))&gt;=-90,VALUE(REGEXEXTRACT(SUBSTITUTE(F1900,"" "",""""),""^-?\d+(\.\d+)?""))&lt;=90,VALUE(REGEXEXT"&amp;"RACT(SUBSTITUTE(F1900,"" "",""""),""-?\d+(\.\d+)?$""))&gt;=-180,VALUE(REGEXEXTRACT(SUBSTITUTE(F1900,"" "",""""),""-?\d+(\.\d+)?$""))&lt;=180),""OK"",""REVISAR"")"),"#N/A")</f>
        <v>#N/A</v>
      </c>
    </row>
    <row r="1901" ht="15.75" customHeight="1">
      <c r="A1901" s="5" t="str">
        <f t="shared" si="1"/>
        <v>AD507-1899</v>
      </c>
      <c r="C1901" s="5"/>
      <c r="F1901" s="5"/>
      <c r="G1901" s="5" t="str">
        <f t="shared" si="2"/>
        <v/>
      </c>
      <c r="H1901" s="5" t="str">
        <f t="shared" si="3"/>
        <v/>
      </c>
      <c r="I1901" s="5" t="str">
        <f t="shared" si="4"/>
        <v/>
      </c>
      <c r="J1901" s="5" t="str">
        <f t="shared" si="5"/>
        <v/>
      </c>
      <c r="K1901" s="5" t="str">
        <f>IFERROR(__xludf.DUMMYFUNCTION("IF(C1901&lt;&gt;"""",HYPERLINK(""https://wa.me/507""&amp;REGEXREPLACE(C1901,""[^0-9]"","""")&amp;""?text=""&amp;ENCODEURL(""Ya llegue. Codigo: ""&amp;A1901&amp;"". Ubicacion: ""&amp;""https://www.google.com/maps/search/?api=1&amp;query=""&amp;SUBSTITUTE(F1901,"" "","""")),""📲 Avisar al clien"&amp;"te""),"""")"),"")</f>
        <v/>
      </c>
      <c r="L1901" s="5" t="str">
        <f>IFERROR(__xludf.DUMMYFUNCTION("IF(C1901&lt;&gt;"""",""https://api.qrserver.com/v1/create-qr-code/?size=200x200&amp;data=""&amp;ENCODEURL(""https://wa.me/507""&amp;REGEXREPLACE(C1901,""[^0-9]"","""")&amp;""?text=""&amp;ENCODEURL(""Ya llegue. Codigo: ""&amp;A1901&amp;"". Ubicacion: ""&amp;""https://www.google.com/maps/search"&amp;"/?api=1&amp;query=""&amp;SUBSTITUTE(F1901,"" "",""""))),"""")"),"")</f>
        <v/>
      </c>
      <c r="M1901" s="5" t="str">
        <f t="shared" si="6"/>
        <v/>
      </c>
      <c r="N1901" s="5" t="str">
        <f>IFERROR(__xludf.DUMMYFUNCTION("IF(AND(F1901&lt;&gt;"""",REGEXMATCH(SUBSTITUTE(F1901,"" "",""""),""^-?\d+(\.\d+)?,-?\d+(\.\d+)?$""),VALUE(REGEXEXTRACT(SUBSTITUTE(F1901,"" "",""""),""^-?\d+(\.\d+)?""))&gt;=-90,VALUE(REGEXEXTRACT(SUBSTITUTE(F1901,"" "",""""),""^-?\d+(\.\d+)?""))&lt;=90,VALUE(REGEXEXT"&amp;"RACT(SUBSTITUTE(F1901,"" "",""""),""-?\d+(\.\d+)?$""))&gt;=-180,VALUE(REGEXEXTRACT(SUBSTITUTE(F1901,"" "",""""),""-?\d+(\.\d+)?$""))&lt;=180),""OK"",""REVISAR"")"),"#N/A")</f>
        <v>#N/A</v>
      </c>
    </row>
    <row r="1902" ht="15.75" customHeight="1">
      <c r="A1902" s="5" t="str">
        <f t="shared" si="1"/>
        <v>AD507-1900</v>
      </c>
      <c r="C1902" s="5"/>
      <c r="F1902" s="5"/>
      <c r="G1902" s="5" t="str">
        <f t="shared" si="2"/>
        <v/>
      </c>
      <c r="H1902" s="5" t="str">
        <f t="shared" si="3"/>
        <v/>
      </c>
      <c r="I1902" s="5" t="str">
        <f t="shared" si="4"/>
        <v/>
      </c>
      <c r="J1902" s="5" t="str">
        <f t="shared" si="5"/>
        <v/>
      </c>
      <c r="K1902" s="5" t="str">
        <f>IFERROR(__xludf.DUMMYFUNCTION("IF(C1902&lt;&gt;"""",HYPERLINK(""https://wa.me/507""&amp;REGEXREPLACE(C1902,""[^0-9]"","""")&amp;""?text=""&amp;ENCODEURL(""Ya llegue. Codigo: ""&amp;A1902&amp;"". Ubicacion: ""&amp;""https://www.google.com/maps/search/?api=1&amp;query=""&amp;SUBSTITUTE(F1902,"" "","""")),""📲 Avisar al clien"&amp;"te""),"""")"),"")</f>
        <v/>
      </c>
      <c r="L1902" s="5" t="str">
        <f>IFERROR(__xludf.DUMMYFUNCTION("IF(C1902&lt;&gt;"""",""https://api.qrserver.com/v1/create-qr-code/?size=200x200&amp;data=""&amp;ENCODEURL(""https://wa.me/507""&amp;REGEXREPLACE(C1902,""[^0-9]"","""")&amp;""?text=""&amp;ENCODEURL(""Ya llegue. Codigo: ""&amp;A1902&amp;"". Ubicacion: ""&amp;""https://www.google.com/maps/search"&amp;"/?api=1&amp;query=""&amp;SUBSTITUTE(F1902,"" "",""""))),"""")"),"")</f>
        <v/>
      </c>
      <c r="M1902" s="5" t="str">
        <f t="shared" si="6"/>
        <v/>
      </c>
      <c r="N1902" s="5" t="str">
        <f>IFERROR(__xludf.DUMMYFUNCTION("IF(AND(F1902&lt;&gt;"""",REGEXMATCH(SUBSTITUTE(F1902,"" "",""""),""^-?\d+(\.\d+)?,-?\d+(\.\d+)?$""),VALUE(REGEXEXTRACT(SUBSTITUTE(F1902,"" "",""""),""^-?\d+(\.\d+)?""))&gt;=-90,VALUE(REGEXEXTRACT(SUBSTITUTE(F1902,"" "",""""),""^-?\d+(\.\d+)?""))&lt;=90,VALUE(REGEXEXT"&amp;"RACT(SUBSTITUTE(F1902,"" "",""""),""-?\d+(\.\d+)?$""))&gt;=-180,VALUE(REGEXEXTRACT(SUBSTITUTE(F1902,"" "",""""),""-?\d+(\.\d+)?$""))&lt;=180),""OK"",""REVISAR"")"),"#N/A")</f>
        <v>#N/A</v>
      </c>
    </row>
    <row r="1903" ht="15.75" customHeight="1">
      <c r="A1903" s="5" t="str">
        <f t="shared" si="1"/>
        <v>AD507-1901</v>
      </c>
      <c r="C1903" s="5"/>
      <c r="F1903" s="5"/>
      <c r="G1903" s="5" t="str">
        <f t="shared" si="2"/>
        <v/>
      </c>
      <c r="H1903" s="5" t="str">
        <f t="shared" si="3"/>
        <v/>
      </c>
      <c r="I1903" s="5" t="str">
        <f t="shared" si="4"/>
        <v/>
      </c>
      <c r="J1903" s="5" t="str">
        <f t="shared" si="5"/>
        <v/>
      </c>
      <c r="K1903" s="5" t="str">
        <f>IFERROR(__xludf.DUMMYFUNCTION("IF(C1903&lt;&gt;"""",HYPERLINK(""https://wa.me/507""&amp;REGEXREPLACE(C1903,""[^0-9]"","""")&amp;""?text=""&amp;ENCODEURL(""Ya llegue. Codigo: ""&amp;A1903&amp;"". Ubicacion: ""&amp;""https://www.google.com/maps/search/?api=1&amp;query=""&amp;SUBSTITUTE(F1903,"" "","""")),""📲 Avisar al clien"&amp;"te""),"""")"),"")</f>
        <v/>
      </c>
      <c r="L1903" s="5" t="str">
        <f>IFERROR(__xludf.DUMMYFUNCTION("IF(C1903&lt;&gt;"""",""https://api.qrserver.com/v1/create-qr-code/?size=200x200&amp;data=""&amp;ENCODEURL(""https://wa.me/507""&amp;REGEXREPLACE(C1903,""[^0-9]"","""")&amp;""?text=""&amp;ENCODEURL(""Ya llegue. Codigo: ""&amp;A1903&amp;"". Ubicacion: ""&amp;""https://www.google.com/maps/search"&amp;"/?api=1&amp;query=""&amp;SUBSTITUTE(F1903,"" "",""""))),"""")"),"")</f>
        <v/>
      </c>
      <c r="M1903" s="5" t="str">
        <f t="shared" si="6"/>
        <v/>
      </c>
      <c r="N1903" s="5" t="str">
        <f>IFERROR(__xludf.DUMMYFUNCTION("IF(AND(F1903&lt;&gt;"""",REGEXMATCH(SUBSTITUTE(F1903,"" "",""""),""^-?\d+(\.\d+)?,-?\d+(\.\d+)?$""),VALUE(REGEXEXTRACT(SUBSTITUTE(F1903,"" "",""""),""^-?\d+(\.\d+)?""))&gt;=-90,VALUE(REGEXEXTRACT(SUBSTITUTE(F1903,"" "",""""),""^-?\d+(\.\d+)?""))&lt;=90,VALUE(REGEXEXT"&amp;"RACT(SUBSTITUTE(F1903,"" "",""""),""-?\d+(\.\d+)?$""))&gt;=-180,VALUE(REGEXEXTRACT(SUBSTITUTE(F1903,"" "",""""),""-?\d+(\.\d+)?$""))&lt;=180),""OK"",""REVISAR"")"),"#N/A")</f>
        <v>#N/A</v>
      </c>
    </row>
    <row r="1904" ht="15.75" customHeight="1">
      <c r="A1904" s="5" t="str">
        <f t="shared" si="1"/>
        <v>AD507-1902</v>
      </c>
      <c r="C1904" s="5"/>
      <c r="F1904" s="5"/>
      <c r="G1904" s="5" t="str">
        <f t="shared" si="2"/>
        <v/>
      </c>
      <c r="H1904" s="5" t="str">
        <f t="shared" si="3"/>
        <v/>
      </c>
      <c r="I1904" s="5" t="str">
        <f t="shared" si="4"/>
        <v/>
      </c>
      <c r="J1904" s="5" t="str">
        <f t="shared" si="5"/>
        <v/>
      </c>
      <c r="K1904" s="5" t="str">
        <f>IFERROR(__xludf.DUMMYFUNCTION("IF(C1904&lt;&gt;"""",HYPERLINK(""https://wa.me/507""&amp;REGEXREPLACE(C1904,""[^0-9]"","""")&amp;""?text=""&amp;ENCODEURL(""Ya llegue. Codigo: ""&amp;A1904&amp;"". Ubicacion: ""&amp;""https://www.google.com/maps/search/?api=1&amp;query=""&amp;SUBSTITUTE(F1904,"" "","""")),""📲 Avisar al clien"&amp;"te""),"""")"),"")</f>
        <v/>
      </c>
      <c r="L1904" s="5" t="str">
        <f>IFERROR(__xludf.DUMMYFUNCTION("IF(C1904&lt;&gt;"""",""https://api.qrserver.com/v1/create-qr-code/?size=200x200&amp;data=""&amp;ENCODEURL(""https://wa.me/507""&amp;REGEXREPLACE(C1904,""[^0-9]"","""")&amp;""?text=""&amp;ENCODEURL(""Ya llegue. Codigo: ""&amp;A1904&amp;"". Ubicacion: ""&amp;""https://www.google.com/maps/search"&amp;"/?api=1&amp;query=""&amp;SUBSTITUTE(F1904,"" "",""""))),"""")"),"")</f>
        <v/>
      </c>
      <c r="M1904" s="5" t="str">
        <f t="shared" si="6"/>
        <v/>
      </c>
      <c r="N1904" s="5" t="str">
        <f>IFERROR(__xludf.DUMMYFUNCTION("IF(AND(F1904&lt;&gt;"""",REGEXMATCH(SUBSTITUTE(F1904,"" "",""""),""^-?\d+(\.\d+)?,-?\d+(\.\d+)?$""),VALUE(REGEXEXTRACT(SUBSTITUTE(F1904,"" "",""""),""^-?\d+(\.\d+)?""))&gt;=-90,VALUE(REGEXEXTRACT(SUBSTITUTE(F1904,"" "",""""),""^-?\d+(\.\d+)?""))&lt;=90,VALUE(REGEXEXT"&amp;"RACT(SUBSTITUTE(F1904,"" "",""""),""-?\d+(\.\d+)?$""))&gt;=-180,VALUE(REGEXEXTRACT(SUBSTITUTE(F1904,"" "",""""),""-?\d+(\.\d+)?$""))&lt;=180),""OK"",""REVISAR"")"),"#N/A")</f>
        <v>#N/A</v>
      </c>
    </row>
    <row r="1905" ht="15.75" customHeight="1">
      <c r="A1905" s="5" t="str">
        <f t="shared" si="1"/>
        <v>AD507-1903</v>
      </c>
      <c r="C1905" s="5"/>
      <c r="F1905" s="5"/>
      <c r="G1905" s="5" t="str">
        <f t="shared" si="2"/>
        <v/>
      </c>
      <c r="H1905" s="5" t="str">
        <f t="shared" si="3"/>
        <v/>
      </c>
      <c r="I1905" s="5" t="str">
        <f t="shared" si="4"/>
        <v/>
      </c>
      <c r="J1905" s="5" t="str">
        <f t="shared" si="5"/>
        <v/>
      </c>
      <c r="K1905" s="5" t="str">
        <f>IFERROR(__xludf.DUMMYFUNCTION("IF(C1905&lt;&gt;"""",HYPERLINK(""https://wa.me/507""&amp;REGEXREPLACE(C1905,""[^0-9]"","""")&amp;""?text=""&amp;ENCODEURL(""Ya llegue. Codigo: ""&amp;A1905&amp;"". Ubicacion: ""&amp;""https://www.google.com/maps/search/?api=1&amp;query=""&amp;SUBSTITUTE(F1905,"" "","""")),""📲 Avisar al clien"&amp;"te""),"""")"),"")</f>
        <v/>
      </c>
      <c r="L1905" s="5" t="str">
        <f>IFERROR(__xludf.DUMMYFUNCTION("IF(C1905&lt;&gt;"""",""https://api.qrserver.com/v1/create-qr-code/?size=200x200&amp;data=""&amp;ENCODEURL(""https://wa.me/507""&amp;REGEXREPLACE(C1905,""[^0-9]"","""")&amp;""?text=""&amp;ENCODEURL(""Ya llegue. Codigo: ""&amp;A1905&amp;"". Ubicacion: ""&amp;""https://www.google.com/maps/search"&amp;"/?api=1&amp;query=""&amp;SUBSTITUTE(F1905,"" "",""""))),"""")"),"")</f>
        <v/>
      </c>
      <c r="M1905" s="5" t="str">
        <f t="shared" si="6"/>
        <v/>
      </c>
      <c r="N1905" s="5" t="str">
        <f>IFERROR(__xludf.DUMMYFUNCTION("IF(AND(F1905&lt;&gt;"""",REGEXMATCH(SUBSTITUTE(F1905,"" "",""""),""^-?\d+(\.\d+)?,-?\d+(\.\d+)?$""),VALUE(REGEXEXTRACT(SUBSTITUTE(F1905,"" "",""""),""^-?\d+(\.\d+)?""))&gt;=-90,VALUE(REGEXEXTRACT(SUBSTITUTE(F1905,"" "",""""),""^-?\d+(\.\d+)?""))&lt;=90,VALUE(REGEXEXT"&amp;"RACT(SUBSTITUTE(F1905,"" "",""""),""-?\d+(\.\d+)?$""))&gt;=-180,VALUE(REGEXEXTRACT(SUBSTITUTE(F1905,"" "",""""),""-?\d+(\.\d+)?$""))&lt;=180),""OK"",""REVISAR"")"),"#N/A")</f>
        <v>#N/A</v>
      </c>
    </row>
    <row r="1906" ht="15.75" customHeight="1">
      <c r="A1906" s="5" t="str">
        <f t="shared" si="1"/>
        <v>AD507-1904</v>
      </c>
      <c r="C1906" s="5"/>
      <c r="F1906" s="5"/>
      <c r="G1906" s="5" t="str">
        <f t="shared" si="2"/>
        <v/>
      </c>
      <c r="H1906" s="5" t="str">
        <f t="shared" si="3"/>
        <v/>
      </c>
      <c r="I1906" s="5" t="str">
        <f t="shared" si="4"/>
        <v/>
      </c>
      <c r="J1906" s="5" t="str">
        <f t="shared" si="5"/>
        <v/>
      </c>
      <c r="K1906" s="5" t="str">
        <f>IFERROR(__xludf.DUMMYFUNCTION("IF(C1906&lt;&gt;"""",HYPERLINK(""https://wa.me/507""&amp;REGEXREPLACE(C1906,""[^0-9]"","""")&amp;""?text=""&amp;ENCODEURL(""Ya llegue. Codigo: ""&amp;A1906&amp;"". Ubicacion: ""&amp;""https://www.google.com/maps/search/?api=1&amp;query=""&amp;SUBSTITUTE(F1906,"" "","""")),""📲 Avisar al clien"&amp;"te""),"""")"),"")</f>
        <v/>
      </c>
      <c r="L1906" s="5" t="str">
        <f>IFERROR(__xludf.DUMMYFUNCTION("IF(C1906&lt;&gt;"""",""https://api.qrserver.com/v1/create-qr-code/?size=200x200&amp;data=""&amp;ENCODEURL(""https://wa.me/507""&amp;REGEXREPLACE(C1906,""[^0-9]"","""")&amp;""?text=""&amp;ENCODEURL(""Ya llegue. Codigo: ""&amp;A1906&amp;"". Ubicacion: ""&amp;""https://www.google.com/maps/search"&amp;"/?api=1&amp;query=""&amp;SUBSTITUTE(F1906,"" "",""""))),"""")"),"")</f>
        <v/>
      </c>
      <c r="M1906" s="5" t="str">
        <f t="shared" si="6"/>
        <v/>
      </c>
      <c r="N1906" s="5" t="str">
        <f>IFERROR(__xludf.DUMMYFUNCTION("IF(AND(F1906&lt;&gt;"""",REGEXMATCH(SUBSTITUTE(F1906,"" "",""""),""^-?\d+(\.\d+)?,-?\d+(\.\d+)?$""),VALUE(REGEXEXTRACT(SUBSTITUTE(F1906,"" "",""""),""^-?\d+(\.\d+)?""))&gt;=-90,VALUE(REGEXEXTRACT(SUBSTITUTE(F1906,"" "",""""),""^-?\d+(\.\d+)?""))&lt;=90,VALUE(REGEXEXT"&amp;"RACT(SUBSTITUTE(F1906,"" "",""""),""-?\d+(\.\d+)?$""))&gt;=-180,VALUE(REGEXEXTRACT(SUBSTITUTE(F1906,"" "",""""),""-?\d+(\.\d+)?$""))&lt;=180),""OK"",""REVISAR"")"),"#N/A")</f>
        <v>#N/A</v>
      </c>
    </row>
    <row r="1907" ht="15.75" customHeight="1">
      <c r="A1907" s="5" t="str">
        <f t="shared" si="1"/>
        <v>AD507-1905</v>
      </c>
      <c r="C1907" s="5"/>
      <c r="F1907" s="5"/>
      <c r="G1907" s="5" t="str">
        <f t="shared" si="2"/>
        <v/>
      </c>
      <c r="H1907" s="5" t="str">
        <f t="shared" si="3"/>
        <v/>
      </c>
      <c r="I1907" s="5" t="str">
        <f t="shared" si="4"/>
        <v/>
      </c>
      <c r="J1907" s="5" t="str">
        <f t="shared" si="5"/>
        <v/>
      </c>
      <c r="K1907" s="5" t="str">
        <f>IFERROR(__xludf.DUMMYFUNCTION("IF(C1907&lt;&gt;"""",HYPERLINK(""https://wa.me/507""&amp;REGEXREPLACE(C1907,""[^0-9]"","""")&amp;""?text=""&amp;ENCODEURL(""Ya llegue. Codigo: ""&amp;A1907&amp;"". Ubicacion: ""&amp;""https://www.google.com/maps/search/?api=1&amp;query=""&amp;SUBSTITUTE(F1907,"" "","""")),""📲 Avisar al clien"&amp;"te""),"""")"),"")</f>
        <v/>
      </c>
      <c r="L1907" s="5" t="str">
        <f>IFERROR(__xludf.DUMMYFUNCTION("IF(C1907&lt;&gt;"""",""https://api.qrserver.com/v1/create-qr-code/?size=200x200&amp;data=""&amp;ENCODEURL(""https://wa.me/507""&amp;REGEXREPLACE(C1907,""[^0-9]"","""")&amp;""?text=""&amp;ENCODEURL(""Ya llegue. Codigo: ""&amp;A1907&amp;"". Ubicacion: ""&amp;""https://www.google.com/maps/search"&amp;"/?api=1&amp;query=""&amp;SUBSTITUTE(F1907,"" "",""""))),"""")"),"")</f>
        <v/>
      </c>
      <c r="M1907" s="5" t="str">
        <f t="shared" si="6"/>
        <v/>
      </c>
      <c r="N1907" s="5" t="str">
        <f>IFERROR(__xludf.DUMMYFUNCTION("IF(AND(F1907&lt;&gt;"""",REGEXMATCH(SUBSTITUTE(F1907,"" "",""""),""^-?\d+(\.\d+)?,-?\d+(\.\d+)?$""),VALUE(REGEXEXTRACT(SUBSTITUTE(F1907,"" "",""""),""^-?\d+(\.\d+)?""))&gt;=-90,VALUE(REGEXEXTRACT(SUBSTITUTE(F1907,"" "",""""),""^-?\d+(\.\d+)?""))&lt;=90,VALUE(REGEXEXT"&amp;"RACT(SUBSTITUTE(F1907,"" "",""""),""-?\d+(\.\d+)?$""))&gt;=-180,VALUE(REGEXEXTRACT(SUBSTITUTE(F1907,"" "",""""),""-?\d+(\.\d+)?$""))&lt;=180),""OK"",""REVISAR"")"),"#N/A")</f>
        <v>#N/A</v>
      </c>
    </row>
    <row r="1908" ht="15.75" customHeight="1">
      <c r="A1908" s="5" t="str">
        <f t="shared" si="1"/>
        <v>AD507-1906</v>
      </c>
      <c r="C1908" s="5"/>
      <c r="F1908" s="5"/>
      <c r="G1908" s="5" t="str">
        <f t="shared" si="2"/>
        <v/>
      </c>
      <c r="H1908" s="5" t="str">
        <f t="shared" si="3"/>
        <v/>
      </c>
      <c r="I1908" s="5" t="str">
        <f t="shared" si="4"/>
        <v/>
      </c>
      <c r="J1908" s="5" t="str">
        <f t="shared" si="5"/>
        <v/>
      </c>
      <c r="K1908" s="5" t="str">
        <f>IFERROR(__xludf.DUMMYFUNCTION("IF(C1908&lt;&gt;"""",HYPERLINK(""https://wa.me/507""&amp;REGEXREPLACE(C1908,""[^0-9]"","""")&amp;""?text=""&amp;ENCODEURL(""Ya llegue. Codigo: ""&amp;A1908&amp;"". Ubicacion: ""&amp;""https://www.google.com/maps/search/?api=1&amp;query=""&amp;SUBSTITUTE(F1908,"" "","""")),""📲 Avisar al clien"&amp;"te""),"""")"),"")</f>
        <v/>
      </c>
      <c r="L1908" s="5" t="str">
        <f>IFERROR(__xludf.DUMMYFUNCTION("IF(C1908&lt;&gt;"""",""https://api.qrserver.com/v1/create-qr-code/?size=200x200&amp;data=""&amp;ENCODEURL(""https://wa.me/507""&amp;REGEXREPLACE(C1908,""[^0-9]"","""")&amp;""?text=""&amp;ENCODEURL(""Ya llegue. Codigo: ""&amp;A1908&amp;"". Ubicacion: ""&amp;""https://www.google.com/maps/search"&amp;"/?api=1&amp;query=""&amp;SUBSTITUTE(F1908,"" "",""""))),"""")"),"")</f>
        <v/>
      </c>
      <c r="M1908" s="5" t="str">
        <f t="shared" si="6"/>
        <v/>
      </c>
      <c r="N1908" s="5" t="str">
        <f>IFERROR(__xludf.DUMMYFUNCTION("IF(AND(F1908&lt;&gt;"""",REGEXMATCH(SUBSTITUTE(F1908,"" "",""""),""^-?\d+(\.\d+)?,-?\d+(\.\d+)?$""),VALUE(REGEXEXTRACT(SUBSTITUTE(F1908,"" "",""""),""^-?\d+(\.\d+)?""))&gt;=-90,VALUE(REGEXEXTRACT(SUBSTITUTE(F1908,"" "",""""),""^-?\d+(\.\d+)?""))&lt;=90,VALUE(REGEXEXT"&amp;"RACT(SUBSTITUTE(F1908,"" "",""""),""-?\d+(\.\d+)?$""))&gt;=-180,VALUE(REGEXEXTRACT(SUBSTITUTE(F1908,"" "",""""),""-?\d+(\.\d+)?$""))&lt;=180),""OK"",""REVISAR"")"),"#N/A")</f>
        <v>#N/A</v>
      </c>
    </row>
    <row r="1909" ht="15.75" customHeight="1">
      <c r="A1909" s="5" t="str">
        <f t="shared" si="1"/>
        <v>AD507-1907</v>
      </c>
      <c r="C1909" s="5"/>
      <c r="F1909" s="5"/>
      <c r="G1909" s="5" t="str">
        <f t="shared" si="2"/>
        <v/>
      </c>
      <c r="H1909" s="5" t="str">
        <f t="shared" si="3"/>
        <v/>
      </c>
      <c r="I1909" s="5" t="str">
        <f t="shared" si="4"/>
        <v/>
      </c>
      <c r="J1909" s="5" t="str">
        <f t="shared" si="5"/>
        <v/>
      </c>
      <c r="K1909" s="5" t="str">
        <f>IFERROR(__xludf.DUMMYFUNCTION("IF(C1909&lt;&gt;"""",HYPERLINK(""https://wa.me/507""&amp;REGEXREPLACE(C1909,""[^0-9]"","""")&amp;""?text=""&amp;ENCODEURL(""Ya llegue. Codigo: ""&amp;A1909&amp;"". Ubicacion: ""&amp;""https://www.google.com/maps/search/?api=1&amp;query=""&amp;SUBSTITUTE(F1909,"" "","""")),""📲 Avisar al clien"&amp;"te""),"""")"),"")</f>
        <v/>
      </c>
      <c r="L1909" s="5" t="str">
        <f>IFERROR(__xludf.DUMMYFUNCTION("IF(C1909&lt;&gt;"""",""https://api.qrserver.com/v1/create-qr-code/?size=200x200&amp;data=""&amp;ENCODEURL(""https://wa.me/507""&amp;REGEXREPLACE(C1909,""[^0-9]"","""")&amp;""?text=""&amp;ENCODEURL(""Ya llegue. Codigo: ""&amp;A1909&amp;"". Ubicacion: ""&amp;""https://www.google.com/maps/search"&amp;"/?api=1&amp;query=""&amp;SUBSTITUTE(F1909,"" "",""""))),"""")"),"")</f>
        <v/>
      </c>
      <c r="M1909" s="5" t="str">
        <f t="shared" si="6"/>
        <v/>
      </c>
      <c r="N1909" s="5" t="str">
        <f>IFERROR(__xludf.DUMMYFUNCTION("IF(AND(F1909&lt;&gt;"""",REGEXMATCH(SUBSTITUTE(F1909,"" "",""""),""^-?\d+(\.\d+)?,-?\d+(\.\d+)?$""),VALUE(REGEXEXTRACT(SUBSTITUTE(F1909,"" "",""""),""^-?\d+(\.\d+)?""))&gt;=-90,VALUE(REGEXEXTRACT(SUBSTITUTE(F1909,"" "",""""),""^-?\d+(\.\d+)?""))&lt;=90,VALUE(REGEXEXT"&amp;"RACT(SUBSTITUTE(F1909,"" "",""""),""-?\d+(\.\d+)?$""))&gt;=-180,VALUE(REGEXEXTRACT(SUBSTITUTE(F1909,"" "",""""),""-?\d+(\.\d+)?$""))&lt;=180),""OK"",""REVISAR"")"),"#N/A")</f>
        <v>#N/A</v>
      </c>
    </row>
    <row r="1910" ht="15.75" customHeight="1">
      <c r="A1910" s="5" t="str">
        <f t="shared" si="1"/>
        <v>AD507-1908</v>
      </c>
      <c r="C1910" s="5"/>
      <c r="F1910" s="5"/>
      <c r="G1910" s="5" t="str">
        <f t="shared" si="2"/>
        <v/>
      </c>
      <c r="H1910" s="5" t="str">
        <f t="shared" si="3"/>
        <v/>
      </c>
      <c r="I1910" s="5" t="str">
        <f t="shared" si="4"/>
        <v/>
      </c>
      <c r="J1910" s="5" t="str">
        <f t="shared" si="5"/>
        <v/>
      </c>
      <c r="K1910" s="5" t="str">
        <f>IFERROR(__xludf.DUMMYFUNCTION("IF(C1910&lt;&gt;"""",HYPERLINK(""https://wa.me/507""&amp;REGEXREPLACE(C1910,""[^0-9]"","""")&amp;""?text=""&amp;ENCODEURL(""Ya llegue. Codigo: ""&amp;A1910&amp;"". Ubicacion: ""&amp;""https://www.google.com/maps/search/?api=1&amp;query=""&amp;SUBSTITUTE(F1910,"" "","""")),""📲 Avisar al clien"&amp;"te""),"""")"),"")</f>
        <v/>
      </c>
      <c r="L1910" s="5" t="str">
        <f>IFERROR(__xludf.DUMMYFUNCTION("IF(C1910&lt;&gt;"""",""https://api.qrserver.com/v1/create-qr-code/?size=200x200&amp;data=""&amp;ENCODEURL(""https://wa.me/507""&amp;REGEXREPLACE(C1910,""[^0-9]"","""")&amp;""?text=""&amp;ENCODEURL(""Ya llegue. Codigo: ""&amp;A1910&amp;"". Ubicacion: ""&amp;""https://www.google.com/maps/search"&amp;"/?api=1&amp;query=""&amp;SUBSTITUTE(F1910,"" "",""""))),"""")"),"")</f>
        <v/>
      </c>
      <c r="M1910" s="5" t="str">
        <f t="shared" si="6"/>
        <v/>
      </c>
      <c r="N1910" s="5" t="str">
        <f>IFERROR(__xludf.DUMMYFUNCTION("IF(AND(F1910&lt;&gt;"""",REGEXMATCH(SUBSTITUTE(F1910,"" "",""""),""^-?\d+(\.\d+)?,-?\d+(\.\d+)?$""),VALUE(REGEXEXTRACT(SUBSTITUTE(F1910,"" "",""""),""^-?\d+(\.\d+)?""))&gt;=-90,VALUE(REGEXEXTRACT(SUBSTITUTE(F1910,"" "",""""),""^-?\d+(\.\d+)?""))&lt;=90,VALUE(REGEXEXT"&amp;"RACT(SUBSTITUTE(F1910,"" "",""""),""-?\d+(\.\d+)?$""))&gt;=-180,VALUE(REGEXEXTRACT(SUBSTITUTE(F1910,"" "",""""),""-?\d+(\.\d+)?$""))&lt;=180),""OK"",""REVISAR"")"),"#N/A")</f>
        <v>#N/A</v>
      </c>
    </row>
    <row r="1911" ht="15.75" customHeight="1">
      <c r="A1911" s="5" t="str">
        <f t="shared" si="1"/>
        <v>AD507-1909</v>
      </c>
      <c r="C1911" s="5"/>
      <c r="F1911" s="5"/>
      <c r="G1911" s="5" t="str">
        <f t="shared" si="2"/>
        <v/>
      </c>
      <c r="H1911" s="5" t="str">
        <f t="shared" si="3"/>
        <v/>
      </c>
      <c r="I1911" s="5" t="str">
        <f t="shared" si="4"/>
        <v/>
      </c>
      <c r="J1911" s="5" t="str">
        <f t="shared" si="5"/>
        <v/>
      </c>
      <c r="K1911" s="5" t="str">
        <f>IFERROR(__xludf.DUMMYFUNCTION("IF(C1911&lt;&gt;"""",HYPERLINK(""https://wa.me/507""&amp;REGEXREPLACE(C1911,""[^0-9]"","""")&amp;""?text=""&amp;ENCODEURL(""Ya llegue. Codigo: ""&amp;A1911&amp;"". Ubicacion: ""&amp;""https://www.google.com/maps/search/?api=1&amp;query=""&amp;SUBSTITUTE(F1911,"" "","""")),""📲 Avisar al clien"&amp;"te""),"""")"),"")</f>
        <v/>
      </c>
      <c r="L1911" s="5" t="str">
        <f>IFERROR(__xludf.DUMMYFUNCTION("IF(C1911&lt;&gt;"""",""https://api.qrserver.com/v1/create-qr-code/?size=200x200&amp;data=""&amp;ENCODEURL(""https://wa.me/507""&amp;REGEXREPLACE(C1911,""[^0-9]"","""")&amp;""?text=""&amp;ENCODEURL(""Ya llegue. Codigo: ""&amp;A1911&amp;"". Ubicacion: ""&amp;""https://www.google.com/maps/search"&amp;"/?api=1&amp;query=""&amp;SUBSTITUTE(F1911,"" "",""""))),"""")"),"")</f>
        <v/>
      </c>
      <c r="M1911" s="5" t="str">
        <f t="shared" si="6"/>
        <v/>
      </c>
      <c r="N1911" s="5" t="str">
        <f>IFERROR(__xludf.DUMMYFUNCTION("IF(AND(F1911&lt;&gt;"""",REGEXMATCH(SUBSTITUTE(F1911,"" "",""""),""^-?\d+(\.\d+)?,-?\d+(\.\d+)?$""),VALUE(REGEXEXTRACT(SUBSTITUTE(F1911,"" "",""""),""^-?\d+(\.\d+)?""))&gt;=-90,VALUE(REGEXEXTRACT(SUBSTITUTE(F1911,"" "",""""),""^-?\d+(\.\d+)?""))&lt;=90,VALUE(REGEXEXT"&amp;"RACT(SUBSTITUTE(F1911,"" "",""""),""-?\d+(\.\d+)?$""))&gt;=-180,VALUE(REGEXEXTRACT(SUBSTITUTE(F1911,"" "",""""),""-?\d+(\.\d+)?$""))&lt;=180),""OK"",""REVISAR"")"),"#N/A")</f>
        <v>#N/A</v>
      </c>
    </row>
    <row r="1912" ht="15.75" customHeight="1">
      <c r="A1912" s="5" t="str">
        <f t="shared" si="1"/>
        <v>AD507-1910</v>
      </c>
      <c r="C1912" s="5"/>
      <c r="F1912" s="5"/>
      <c r="G1912" s="5" t="str">
        <f t="shared" si="2"/>
        <v/>
      </c>
      <c r="H1912" s="5" t="str">
        <f t="shared" si="3"/>
        <v/>
      </c>
      <c r="I1912" s="5" t="str">
        <f t="shared" si="4"/>
        <v/>
      </c>
      <c r="J1912" s="5" t="str">
        <f t="shared" si="5"/>
        <v/>
      </c>
      <c r="K1912" s="5" t="str">
        <f>IFERROR(__xludf.DUMMYFUNCTION("IF(C1912&lt;&gt;"""",HYPERLINK(""https://wa.me/507""&amp;REGEXREPLACE(C1912,""[^0-9]"","""")&amp;""?text=""&amp;ENCODEURL(""Ya llegue. Codigo: ""&amp;A1912&amp;"". Ubicacion: ""&amp;""https://www.google.com/maps/search/?api=1&amp;query=""&amp;SUBSTITUTE(F1912,"" "","""")),""📲 Avisar al clien"&amp;"te""),"""")"),"")</f>
        <v/>
      </c>
      <c r="L1912" s="5" t="str">
        <f>IFERROR(__xludf.DUMMYFUNCTION("IF(C1912&lt;&gt;"""",""https://api.qrserver.com/v1/create-qr-code/?size=200x200&amp;data=""&amp;ENCODEURL(""https://wa.me/507""&amp;REGEXREPLACE(C1912,""[^0-9]"","""")&amp;""?text=""&amp;ENCODEURL(""Ya llegue. Codigo: ""&amp;A1912&amp;"". Ubicacion: ""&amp;""https://www.google.com/maps/search"&amp;"/?api=1&amp;query=""&amp;SUBSTITUTE(F1912,"" "",""""))),"""")"),"")</f>
        <v/>
      </c>
      <c r="M1912" s="5" t="str">
        <f t="shared" si="6"/>
        <v/>
      </c>
      <c r="N1912" s="5" t="str">
        <f>IFERROR(__xludf.DUMMYFUNCTION("IF(AND(F1912&lt;&gt;"""",REGEXMATCH(SUBSTITUTE(F1912,"" "",""""),""^-?\d+(\.\d+)?,-?\d+(\.\d+)?$""),VALUE(REGEXEXTRACT(SUBSTITUTE(F1912,"" "",""""),""^-?\d+(\.\d+)?""))&gt;=-90,VALUE(REGEXEXTRACT(SUBSTITUTE(F1912,"" "",""""),""^-?\d+(\.\d+)?""))&lt;=90,VALUE(REGEXEXT"&amp;"RACT(SUBSTITUTE(F1912,"" "",""""),""-?\d+(\.\d+)?$""))&gt;=-180,VALUE(REGEXEXTRACT(SUBSTITUTE(F1912,"" "",""""),""-?\d+(\.\d+)?$""))&lt;=180),""OK"",""REVISAR"")"),"#N/A")</f>
        <v>#N/A</v>
      </c>
    </row>
    <row r="1913" ht="15.75" customHeight="1">
      <c r="A1913" s="5" t="str">
        <f t="shared" si="1"/>
        <v>AD507-1911</v>
      </c>
      <c r="C1913" s="5"/>
      <c r="F1913" s="5"/>
      <c r="G1913" s="5" t="str">
        <f t="shared" si="2"/>
        <v/>
      </c>
      <c r="H1913" s="5" t="str">
        <f t="shared" si="3"/>
        <v/>
      </c>
      <c r="I1913" s="5" t="str">
        <f t="shared" si="4"/>
        <v/>
      </c>
      <c r="J1913" s="5" t="str">
        <f t="shared" si="5"/>
        <v/>
      </c>
      <c r="K1913" s="5" t="str">
        <f>IFERROR(__xludf.DUMMYFUNCTION("IF(C1913&lt;&gt;"""",HYPERLINK(""https://wa.me/507""&amp;REGEXREPLACE(C1913,""[^0-9]"","""")&amp;""?text=""&amp;ENCODEURL(""Ya llegue. Codigo: ""&amp;A1913&amp;"". Ubicacion: ""&amp;""https://www.google.com/maps/search/?api=1&amp;query=""&amp;SUBSTITUTE(F1913,"" "","""")),""📲 Avisar al clien"&amp;"te""),"""")"),"")</f>
        <v/>
      </c>
      <c r="L1913" s="5" t="str">
        <f>IFERROR(__xludf.DUMMYFUNCTION("IF(C1913&lt;&gt;"""",""https://api.qrserver.com/v1/create-qr-code/?size=200x200&amp;data=""&amp;ENCODEURL(""https://wa.me/507""&amp;REGEXREPLACE(C1913,""[^0-9]"","""")&amp;""?text=""&amp;ENCODEURL(""Ya llegue. Codigo: ""&amp;A1913&amp;"". Ubicacion: ""&amp;""https://www.google.com/maps/search"&amp;"/?api=1&amp;query=""&amp;SUBSTITUTE(F1913,"" "",""""))),"""")"),"")</f>
        <v/>
      </c>
      <c r="M1913" s="5" t="str">
        <f t="shared" si="6"/>
        <v/>
      </c>
      <c r="N1913" s="5" t="str">
        <f>IFERROR(__xludf.DUMMYFUNCTION("IF(AND(F1913&lt;&gt;"""",REGEXMATCH(SUBSTITUTE(F1913,"" "",""""),""^-?\d+(\.\d+)?,-?\d+(\.\d+)?$""),VALUE(REGEXEXTRACT(SUBSTITUTE(F1913,"" "",""""),""^-?\d+(\.\d+)?""))&gt;=-90,VALUE(REGEXEXTRACT(SUBSTITUTE(F1913,"" "",""""),""^-?\d+(\.\d+)?""))&lt;=90,VALUE(REGEXEXT"&amp;"RACT(SUBSTITUTE(F1913,"" "",""""),""-?\d+(\.\d+)?$""))&gt;=-180,VALUE(REGEXEXTRACT(SUBSTITUTE(F1913,"" "",""""),""-?\d+(\.\d+)?$""))&lt;=180),""OK"",""REVISAR"")"),"#N/A")</f>
        <v>#N/A</v>
      </c>
    </row>
    <row r="1914" ht="15.75" customHeight="1">
      <c r="A1914" s="5" t="str">
        <f t="shared" si="1"/>
        <v>AD507-1912</v>
      </c>
      <c r="C1914" s="5"/>
      <c r="F1914" s="5"/>
      <c r="G1914" s="5" t="str">
        <f t="shared" si="2"/>
        <v/>
      </c>
      <c r="H1914" s="5" t="str">
        <f t="shared" si="3"/>
        <v/>
      </c>
      <c r="I1914" s="5" t="str">
        <f t="shared" si="4"/>
        <v/>
      </c>
      <c r="J1914" s="5" t="str">
        <f t="shared" si="5"/>
        <v/>
      </c>
      <c r="K1914" s="5" t="str">
        <f>IFERROR(__xludf.DUMMYFUNCTION("IF(C1914&lt;&gt;"""",HYPERLINK(""https://wa.me/507""&amp;REGEXREPLACE(C1914,""[^0-9]"","""")&amp;""?text=""&amp;ENCODEURL(""Ya llegue. Codigo: ""&amp;A1914&amp;"". Ubicacion: ""&amp;""https://www.google.com/maps/search/?api=1&amp;query=""&amp;SUBSTITUTE(F1914,"" "","""")),""📲 Avisar al clien"&amp;"te""),"""")"),"")</f>
        <v/>
      </c>
      <c r="L1914" s="5" t="str">
        <f>IFERROR(__xludf.DUMMYFUNCTION("IF(C1914&lt;&gt;"""",""https://api.qrserver.com/v1/create-qr-code/?size=200x200&amp;data=""&amp;ENCODEURL(""https://wa.me/507""&amp;REGEXREPLACE(C1914,""[^0-9]"","""")&amp;""?text=""&amp;ENCODEURL(""Ya llegue. Codigo: ""&amp;A1914&amp;"". Ubicacion: ""&amp;""https://www.google.com/maps/search"&amp;"/?api=1&amp;query=""&amp;SUBSTITUTE(F1914,"" "",""""))),"""")"),"")</f>
        <v/>
      </c>
      <c r="M1914" s="5" t="str">
        <f t="shared" si="6"/>
        <v/>
      </c>
      <c r="N1914" s="5" t="str">
        <f>IFERROR(__xludf.DUMMYFUNCTION("IF(AND(F1914&lt;&gt;"""",REGEXMATCH(SUBSTITUTE(F1914,"" "",""""),""^-?\d+(\.\d+)?,-?\d+(\.\d+)?$""),VALUE(REGEXEXTRACT(SUBSTITUTE(F1914,"" "",""""),""^-?\d+(\.\d+)?""))&gt;=-90,VALUE(REGEXEXTRACT(SUBSTITUTE(F1914,"" "",""""),""^-?\d+(\.\d+)?""))&lt;=90,VALUE(REGEXEXT"&amp;"RACT(SUBSTITUTE(F1914,"" "",""""),""-?\d+(\.\d+)?$""))&gt;=-180,VALUE(REGEXEXTRACT(SUBSTITUTE(F1914,"" "",""""),""-?\d+(\.\d+)?$""))&lt;=180),""OK"",""REVISAR"")"),"#N/A")</f>
        <v>#N/A</v>
      </c>
    </row>
    <row r="1915" ht="15.75" customHeight="1">
      <c r="A1915" s="5" t="str">
        <f t="shared" si="1"/>
        <v>AD507-1913</v>
      </c>
      <c r="C1915" s="5"/>
      <c r="F1915" s="5"/>
      <c r="G1915" s="5" t="str">
        <f t="shared" si="2"/>
        <v/>
      </c>
      <c r="H1915" s="5" t="str">
        <f t="shared" si="3"/>
        <v/>
      </c>
      <c r="I1915" s="5" t="str">
        <f t="shared" si="4"/>
        <v/>
      </c>
      <c r="J1915" s="5" t="str">
        <f t="shared" si="5"/>
        <v/>
      </c>
      <c r="K1915" s="5" t="str">
        <f>IFERROR(__xludf.DUMMYFUNCTION("IF(C1915&lt;&gt;"""",HYPERLINK(""https://wa.me/507""&amp;REGEXREPLACE(C1915,""[^0-9]"","""")&amp;""?text=""&amp;ENCODEURL(""Ya llegue. Codigo: ""&amp;A1915&amp;"". Ubicacion: ""&amp;""https://www.google.com/maps/search/?api=1&amp;query=""&amp;SUBSTITUTE(F1915,"" "","""")),""📲 Avisar al clien"&amp;"te""),"""")"),"")</f>
        <v/>
      </c>
      <c r="L1915" s="5" t="str">
        <f>IFERROR(__xludf.DUMMYFUNCTION("IF(C1915&lt;&gt;"""",""https://api.qrserver.com/v1/create-qr-code/?size=200x200&amp;data=""&amp;ENCODEURL(""https://wa.me/507""&amp;REGEXREPLACE(C1915,""[^0-9]"","""")&amp;""?text=""&amp;ENCODEURL(""Ya llegue. Codigo: ""&amp;A1915&amp;"". Ubicacion: ""&amp;""https://www.google.com/maps/search"&amp;"/?api=1&amp;query=""&amp;SUBSTITUTE(F1915,"" "",""""))),"""")"),"")</f>
        <v/>
      </c>
      <c r="M1915" s="5" t="str">
        <f t="shared" si="6"/>
        <v/>
      </c>
      <c r="N1915" s="5" t="str">
        <f>IFERROR(__xludf.DUMMYFUNCTION("IF(AND(F1915&lt;&gt;"""",REGEXMATCH(SUBSTITUTE(F1915,"" "",""""),""^-?\d+(\.\d+)?,-?\d+(\.\d+)?$""),VALUE(REGEXEXTRACT(SUBSTITUTE(F1915,"" "",""""),""^-?\d+(\.\d+)?""))&gt;=-90,VALUE(REGEXEXTRACT(SUBSTITUTE(F1915,"" "",""""),""^-?\d+(\.\d+)?""))&lt;=90,VALUE(REGEXEXT"&amp;"RACT(SUBSTITUTE(F1915,"" "",""""),""-?\d+(\.\d+)?$""))&gt;=-180,VALUE(REGEXEXTRACT(SUBSTITUTE(F1915,"" "",""""),""-?\d+(\.\d+)?$""))&lt;=180),""OK"",""REVISAR"")"),"#N/A")</f>
        <v>#N/A</v>
      </c>
    </row>
    <row r="1916" ht="15.75" customHeight="1">
      <c r="A1916" s="5" t="str">
        <f t="shared" si="1"/>
        <v>AD507-1914</v>
      </c>
      <c r="C1916" s="5"/>
      <c r="F1916" s="5"/>
      <c r="G1916" s="5" t="str">
        <f t="shared" si="2"/>
        <v/>
      </c>
      <c r="H1916" s="5" t="str">
        <f t="shared" si="3"/>
        <v/>
      </c>
      <c r="I1916" s="5" t="str">
        <f t="shared" si="4"/>
        <v/>
      </c>
      <c r="J1916" s="5" t="str">
        <f t="shared" si="5"/>
        <v/>
      </c>
      <c r="K1916" s="5" t="str">
        <f>IFERROR(__xludf.DUMMYFUNCTION("IF(C1916&lt;&gt;"""",HYPERLINK(""https://wa.me/507""&amp;REGEXREPLACE(C1916,""[^0-9]"","""")&amp;""?text=""&amp;ENCODEURL(""Ya llegue. Codigo: ""&amp;A1916&amp;"". Ubicacion: ""&amp;""https://www.google.com/maps/search/?api=1&amp;query=""&amp;SUBSTITUTE(F1916,"" "","""")),""📲 Avisar al clien"&amp;"te""),"""")"),"")</f>
        <v/>
      </c>
      <c r="L1916" s="5" t="str">
        <f>IFERROR(__xludf.DUMMYFUNCTION("IF(C1916&lt;&gt;"""",""https://api.qrserver.com/v1/create-qr-code/?size=200x200&amp;data=""&amp;ENCODEURL(""https://wa.me/507""&amp;REGEXREPLACE(C1916,""[^0-9]"","""")&amp;""?text=""&amp;ENCODEURL(""Ya llegue. Codigo: ""&amp;A1916&amp;"". Ubicacion: ""&amp;""https://www.google.com/maps/search"&amp;"/?api=1&amp;query=""&amp;SUBSTITUTE(F1916,"" "",""""))),"""")"),"")</f>
        <v/>
      </c>
      <c r="M1916" s="5" t="str">
        <f t="shared" si="6"/>
        <v/>
      </c>
      <c r="N1916" s="5" t="str">
        <f>IFERROR(__xludf.DUMMYFUNCTION("IF(AND(F1916&lt;&gt;"""",REGEXMATCH(SUBSTITUTE(F1916,"" "",""""),""^-?\d+(\.\d+)?,-?\d+(\.\d+)?$""),VALUE(REGEXEXTRACT(SUBSTITUTE(F1916,"" "",""""),""^-?\d+(\.\d+)?""))&gt;=-90,VALUE(REGEXEXTRACT(SUBSTITUTE(F1916,"" "",""""),""^-?\d+(\.\d+)?""))&lt;=90,VALUE(REGEXEXT"&amp;"RACT(SUBSTITUTE(F1916,"" "",""""),""-?\d+(\.\d+)?$""))&gt;=-180,VALUE(REGEXEXTRACT(SUBSTITUTE(F1916,"" "",""""),""-?\d+(\.\d+)?$""))&lt;=180),""OK"",""REVISAR"")"),"#N/A")</f>
        <v>#N/A</v>
      </c>
    </row>
    <row r="1917" ht="15.75" customHeight="1">
      <c r="A1917" s="5" t="str">
        <f t="shared" si="1"/>
        <v>AD507-1915</v>
      </c>
      <c r="C1917" s="5"/>
      <c r="F1917" s="5"/>
      <c r="G1917" s="5" t="str">
        <f t="shared" si="2"/>
        <v/>
      </c>
      <c r="H1917" s="5" t="str">
        <f t="shared" si="3"/>
        <v/>
      </c>
      <c r="I1917" s="5" t="str">
        <f t="shared" si="4"/>
        <v/>
      </c>
      <c r="J1917" s="5" t="str">
        <f t="shared" si="5"/>
        <v/>
      </c>
      <c r="K1917" s="5" t="str">
        <f>IFERROR(__xludf.DUMMYFUNCTION("IF(C1917&lt;&gt;"""",HYPERLINK(""https://wa.me/507""&amp;REGEXREPLACE(C1917,""[^0-9]"","""")&amp;""?text=""&amp;ENCODEURL(""Ya llegue. Codigo: ""&amp;A1917&amp;"". Ubicacion: ""&amp;""https://www.google.com/maps/search/?api=1&amp;query=""&amp;SUBSTITUTE(F1917,"" "","""")),""📲 Avisar al clien"&amp;"te""),"""")"),"")</f>
        <v/>
      </c>
      <c r="L1917" s="5" t="str">
        <f>IFERROR(__xludf.DUMMYFUNCTION("IF(C1917&lt;&gt;"""",""https://api.qrserver.com/v1/create-qr-code/?size=200x200&amp;data=""&amp;ENCODEURL(""https://wa.me/507""&amp;REGEXREPLACE(C1917,""[^0-9]"","""")&amp;""?text=""&amp;ENCODEURL(""Ya llegue. Codigo: ""&amp;A1917&amp;"". Ubicacion: ""&amp;""https://www.google.com/maps/search"&amp;"/?api=1&amp;query=""&amp;SUBSTITUTE(F1917,"" "",""""))),"""")"),"")</f>
        <v/>
      </c>
      <c r="M1917" s="5" t="str">
        <f t="shared" si="6"/>
        <v/>
      </c>
      <c r="N1917" s="5" t="str">
        <f>IFERROR(__xludf.DUMMYFUNCTION("IF(AND(F1917&lt;&gt;"""",REGEXMATCH(SUBSTITUTE(F1917,"" "",""""),""^-?\d+(\.\d+)?,-?\d+(\.\d+)?$""),VALUE(REGEXEXTRACT(SUBSTITUTE(F1917,"" "",""""),""^-?\d+(\.\d+)?""))&gt;=-90,VALUE(REGEXEXTRACT(SUBSTITUTE(F1917,"" "",""""),""^-?\d+(\.\d+)?""))&lt;=90,VALUE(REGEXEXT"&amp;"RACT(SUBSTITUTE(F1917,"" "",""""),""-?\d+(\.\d+)?$""))&gt;=-180,VALUE(REGEXEXTRACT(SUBSTITUTE(F1917,"" "",""""),""-?\d+(\.\d+)?$""))&lt;=180),""OK"",""REVISAR"")"),"#N/A")</f>
        <v>#N/A</v>
      </c>
    </row>
    <row r="1918" ht="15.75" customHeight="1">
      <c r="A1918" s="5" t="str">
        <f t="shared" si="1"/>
        <v>AD507-1916</v>
      </c>
      <c r="C1918" s="5"/>
      <c r="F1918" s="5"/>
      <c r="G1918" s="5" t="str">
        <f t="shared" si="2"/>
        <v/>
      </c>
      <c r="H1918" s="5" t="str">
        <f t="shared" si="3"/>
        <v/>
      </c>
      <c r="I1918" s="5" t="str">
        <f t="shared" si="4"/>
        <v/>
      </c>
      <c r="J1918" s="5" t="str">
        <f t="shared" si="5"/>
        <v/>
      </c>
      <c r="K1918" s="5" t="str">
        <f>IFERROR(__xludf.DUMMYFUNCTION("IF(C1918&lt;&gt;"""",HYPERLINK(""https://wa.me/507""&amp;REGEXREPLACE(C1918,""[^0-9]"","""")&amp;""?text=""&amp;ENCODEURL(""Ya llegue. Codigo: ""&amp;A1918&amp;"". Ubicacion: ""&amp;""https://www.google.com/maps/search/?api=1&amp;query=""&amp;SUBSTITUTE(F1918,"" "","""")),""📲 Avisar al clien"&amp;"te""),"""")"),"")</f>
        <v/>
      </c>
      <c r="L1918" s="5" t="str">
        <f>IFERROR(__xludf.DUMMYFUNCTION("IF(C1918&lt;&gt;"""",""https://api.qrserver.com/v1/create-qr-code/?size=200x200&amp;data=""&amp;ENCODEURL(""https://wa.me/507""&amp;REGEXREPLACE(C1918,""[^0-9]"","""")&amp;""?text=""&amp;ENCODEURL(""Ya llegue. Codigo: ""&amp;A1918&amp;"". Ubicacion: ""&amp;""https://www.google.com/maps/search"&amp;"/?api=1&amp;query=""&amp;SUBSTITUTE(F1918,"" "",""""))),"""")"),"")</f>
        <v/>
      </c>
      <c r="M1918" s="5" t="str">
        <f t="shared" si="6"/>
        <v/>
      </c>
      <c r="N1918" s="5" t="str">
        <f>IFERROR(__xludf.DUMMYFUNCTION("IF(AND(F1918&lt;&gt;"""",REGEXMATCH(SUBSTITUTE(F1918,"" "",""""),""^-?\d+(\.\d+)?,-?\d+(\.\d+)?$""),VALUE(REGEXEXTRACT(SUBSTITUTE(F1918,"" "",""""),""^-?\d+(\.\d+)?""))&gt;=-90,VALUE(REGEXEXTRACT(SUBSTITUTE(F1918,"" "",""""),""^-?\d+(\.\d+)?""))&lt;=90,VALUE(REGEXEXT"&amp;"RACT(SUBSTITUTE(F1918,"" "",""""),""-?\d+(\.\d+)?$""))&gt;=-180,VALUE(REGEXEXTRACT(SUBSTITUTE(F1918,"" "",""""),""-?\d+(\.\d+)?$""))&lt;=180),""OK"",""REVISAR"")"),"#N/A")</f>
        <v>#N/A</v>
      </c>
    </row>
    <row r="1919" ht="15.75" customHeight="1">
      <c r="A1919" s="5" t="str">
        <f t="shared" si="1"/>
        <v>AD507-1917</v>
      </c>
      <c r="C1919" s="5"/>
      <c r="F1919" s="5"/>
      <c r="G1919" s="5" t="str">
        <f t="shared" si="2"/>
        <v/>
      </c>
      <c r="H1919" s="5" t="str">
        <f t="shared" si="3"/>
        <v/>
      </c>
      <c r="I1919" s="5" t="str">
        <f t="shared" si="4"/>
        <v/>
      </c>
      <c r="J1919" s="5" t="str">
        <f t="shared" si="5"/>
        <v/>
      </c>
      <c r="K1919" s="5" t="str">
        <f>IFERROR(__xludf.DUMMYFUNCTION("IF(C1919&lt;&gt;"""",HYPERLINK(""https://wa.me/507""&amp;REGEXREPLACE(C1919,""[^0-9]"","""")&amp;""?text=""&amp;ENCODEURL(""Ya llegue. Codigo: ""&amp;A1919&amp;"". Ubicacion: ""&amp;""https://www.google.com/maps/search/?api=1&amp;query=""&amp;SUBSTITUTE(F1919,"" "","""")),""📲 Avisar al clien"&amp;"te""),"""")"),"")</f>
        <v/>
      </c>
      <c r="L1919" s="5" t="str">
        <f>IFERROR(__xludf.DUMMYFUNCTION("IF(C1919&lt;&gt;"""",""https://api.qrserver.com/v1/create-qr-code/?size=200x200&amp;data=""&amp;ENCODEURL(""https://wa.me/507""&amp;REGEXREPLACE(C1919,""[^0-9]"","""")&amp;""?text=""&amp;ENCODEURL(""Ya llegue. Codigo: ""&amp;A1919&amp;"". Ubicacion: ""&amp;""https://www.google.com/maps/search"&amp;"/?api=1&amp;query=""&amp;SUBSTITUTE(F1919,"" "",""""))),"""")"),"")</f>
        <v/>
      </c>
      <c r="M1919" s="5" t="str">
        <f t="shared" si="6"/>
        <v/>
      </c>
      <c r="N1919" s="5" t="str">
        <f>IFERROR(__xludf.DUMMYFUNCTION("IF(AND(F1919&lt;&gt;"""",REGEXMATCH(SUBSTITUTE(F1919,"" "",""""),""^-?\d+(\.\d+)?,-?\d+(\.\d+)?$""),VALUE(REGEXEXTRACT(SUBSTITUTE(F1919,"" "",""""),""^-?\d+(\.\d+)?""))&gt;=-90,VALUE(REGEXEXTRACT(SUBSTITUTE(F1919,"" "",""""),""^-?\d+(\.\d+)?""))&lt;=90,VALUE(REGEXEXT"&amp;"RACT(SUBSTITUTE(F1919,"" "",""""),""-?\d+(\.\d+)?$""))&gt;=-180,VALUE(REGEXEXTRACT(SUBSTITUTE(F1919,"" "",""""),""-?\d+(\.\d+)?$""))&lt;=180),""OK"",""REVISAR"")"),"#N/A")</f>
        <v>#N/A</v>
      </c>
    </row>
    <row r="1920" ht="15.75" customHeight="1">
      <c r="A1920" s="5" t="str">
        <f t="shared" si="1"/>
        <v>AD507-1918</v>
      </c>
      <c r="C1920" s="5"/>
      <c r="F1920" s="5"/>
      <c r="G1920" s="5" t="str">
        <f t="shared" si="2"/>
        <v/>
      </c>
      <c r="H1920" s="5" t="str">
        <f t="shared" si="3"/>
        <v/>
      </c>
      <c r="I1920" s="5" t="str">
        <f t="shared" si="4"/>
        <v/>
      </c>
      <c r="J1920" s="5" t="str">
        <f t="shared" si="5"/>
        <v/>
      </c>
      <c r="K1920" s="5" t="str">
        <f>IFERROR(__xludf.DUMMYFUNCTION("IF(C1920&lt;&gt;"""",HYPERLINK(""https://wa.me/507""&amp;REGEXREPLACE(C1920,""[^0-9]"","""")&amp;""?text=""&amp;ENCODEURL(""Ya llegue. Codigo: ""&amp;A1920&amp;"". Ubicacion: ""&amp;""https://www.google.com/maps/search/?api=1&amp;query=""&amp;SUBSTITUTE(F1920,"" "","""")),""📲 Avisar al clien"&amp;"te""),"""")"),"")</f>
        <v/>
      </c>
      <c r="L1920" s="5" t="str">
        <f>IFERROR(__xludf.DUMMYFUNCTION("IF(C1920&lt;&gt;"""",""https://api.qrserver.com/v1/create-qr-code/?size=200x200&amp;data=""&amp;ENCODEURL(""https://wa.me/507""&amp;REGEXREPLACE(C1920,""[^0-9]"","""")&amp;""?text=""&amp;ENCODEURL(""Ya llegue. Codigo: ""&amp;A1920&amp;"". Ubicacion: ""&amp;""https://www.google.com/maps/search"&amp;"/?api=1&amp;query=""&amp;SUBSTITUTE(F1920,"" "",""""))),"""")"),"")</f>
        <v/>
      </c>
      <c r="M1920" s="5" t="str">
        <f t="shared" si="6"/>
        <v/>
      </c>
      <c r="N1920" s="5" t="str">
        <f>IFERROR(__xludf.DUMMYFUNCTION("IF(AND(F1920&lt;&gt;"""",REGEXMATCH(SUBSTITUTE(F1920,"" "",""""),""^-?\d+(\.\d+)?,-?\d+(\.\d+)?$""),VALUE(REGEXEXTRACT(SUBSTITUTE(F1920,"" "",""""),""^-?\d+(\.\d+)?""))&gt;=-90,VALUE(REGEXEXTRACT(SUBSTITUTE(F1920,"" "",""""),""^-?\d+(\.\d+)?""))&lt;=90,VALUE(REGEXEXT"&amp;"RACT(SUBSTITUTE(F1920,"" "",""""),""-?\d+(\.\d+)?$""))&gt;=-180,VALUE(REGEXEXTRACT(SUBSTITUTE(F1920,"" "",""""),""-?\d+(\.\d+)?$""))&lt;=180),""OK"",""REVISAR"")"),"#N/A")</f>
        <v>#N/A</v>
      </c>
    </row>
    <row r="1921" ht="15.75" customHeight="1">
      <c r="A1921" s="5" t="str">
        <f t="shared" si="1"/>
        <v>AD507-1919</v>
      </c>
      <c r="C1921" s="5"/>
      <c r="F1921" s="5"/>
      <c r="G1921" s="5" t="str">
        <f t="shared" si="2"/>
        <v/>
      </c>
      <c r="H1921" s="5" t="str">
        <f t="shared" si="3"/>
        <v/>
      </c>
      <c r="I1921" s="5" t="str">
        <f t="shared" si="4"/>
        <v/>
      </c>
      <c r="J1921" s="5" t="str">
        <f t="shared" si="5"/>
        <v/>
      </c>
      <c r="K1921" s="5" t="str">
        <f>IFERROR(__xludf.DUMMYFUNCTION("IF(C1921&lt;&gt;"""",HYPERLINK(""https://wa.me/507""&amp;REGEXREPLACE(C1921,""[^0-9]"","""")&amp;""?text=""&amp;ENCODEURL(""Ya llegue. Codigo: ""&amp;A1921&amp;"". Ubicacion: ""&amp;""https://www.google.com/maps/search/?api=1&amp;query=""&amp;SUBSTITUTE(F1921,"" "","""")),""📲 Avisar al clien"&amp;"te""),"""")"),"")</f>
        <v/>
      </c>
      <c r="L1921" s="5" t="str">
        <f>IFERROR(__xludf.DUMMYFUNCTION("IF(C1921&lt;&gt;"""",""https://api.qrserver.com/v1/create-qr-code/?size=200x200&amp;data=""&amp;ENCODEURL(""https://wa.me/507""&amp;REGEXREPLACE(C1921,""[^0-9]"","""")&amp;""?text=""&amp;ENCODEURL(""Ya llegue. Codigo: ""&amp;A1921&amp;"". Ubicacion: ""&amp;""https://www.google.com/maps/search"&amp;"/?api=1&amp;query=""&amp;SUBSTITUTE(F1921,"" "",""""))),"""")"),"")</f>
        <v/>
      </c>
      <c r="M1921" s="5" t="str">
        <f t="shared" si="6"/>
        <v/>
      </c>
      <c r="N1921" s="5" t="str">
        <f>IFERROR(__xludf.DUMMYFUNCTION("IF(AND(F1921&lt;&gt;"""",REGEXMATCH(SUBSTITUTE(F1921,"" "",""""),""^-?\d+(\.\d+)?,-?\d+(\.\d+)?$""),VALUE(REGEXEXTRACT(SUBSTITUTE(F1921,"" "",""""),""^-?\d+(\.\d+)?""))&gt;=-90,VALUE(REGEXEXTRACT(SUBSTITUTE(F1921,"" "",""""),""^-?\d+(\.\d+)?""))&lt;=90,VALUE(REGEXEXT"&amp;"RACT(SUBSTITUTE(F1921,"" "",""""),""-?\d+(\.\d+)?$""))&gt;=-180,VALUE(REGEXEXTRACT(SUBSTITUTE(F1921,"" "",""""),""-?\d+(\.\d+)?$""))&lt;=180),""OK"",""REVISAR"")"),"#N/A")</f>
        <v>#N/A</v>
      </c>
    </row>
    <row r="1922" ht="15.75" customHeight="1">
      <c r="A1922" s="5" t="str">
        <f t="shared" si="1"/>
        <v>AD507-1920</v>
      </c>
      <c r="C1922" s="5"/>
      <c r="F1922" s="5"/>
      <c r="G1922" s="5" t="str">
        <f t="shared" si="2"/>
        <v/>
      </c>
      <c r="H1922" s="5" t="str">
        <f t="shared" si="3"/>
        <v/>
      </c>
      <c r="I1922" s="5" t="str">
        <f t="shared" si="4"/>
        <v/>
      </c>
      <c r="J1922" s="5" t="str">
        <f t="shared" si="5"/>
        <v/>
      </c>
      <c r="K1922" s="5" t="str">
        <f>IFERROR(__xludf.DUMMYFUNCTION("IF(C1922&lt;&gt;"""",HYPERLINK(""https://wa.me/507""&amp;REGEXREPLACE(C1922,""[^0-9]"","""")&amp;""?text=""&amp;ENCODEURL(""Ya llegue. Codigo: ""&amp;A1922&amp;"". Ubicacion: ""&amp;""https://www.google.com/maps/search/?api=1&amp;query=""&amp;SUBSTITUTE(F1922,"" "","""")),""📲 Avisar al clien"&amp;"te""),"""")"),"")</f>
        <v/>
      </c>
      <c r="L1922" s="5" t="str">
        <f>IFERROR(__xludf.DUMMYFUNCTION("IF(C1922&lt;&gt;"""",""https://api.qrserver.com/v1/create-qr-code/?size=200x200&amp;data=""&amp;ENCODEURL(""https://wa.me/507""&amp;REGEXREPLACE(C1922,""[^0-9]"","""")&amp;""?text=""&amp;ENCODEURL(""Ya llegue. Codigo: ""&amp;A1922&amp;"". Ubicacion: ""&amp;""https://www.google.com/maps/search"&amp;"/?api=1&amp;query=""&amp;SUBSTITUTE(F1922,"" "",""""))),"""")"),"")</f>
        <v/>
      </c>
      <c r="M1922" s="5" t="str">
        <f t="shared" si="6"/>
        <v/>
      </c>
      <c r="N1922" s="5" t="str">
        <f>IFERROR(__xludf.DUMMYFUNCTION("IF(AND(F1922&lt;&gt;"""",REGEXMATCH(SUBSTITUTE(F1922,"" "",""""),""^-?\d+(\.\d+)?,-?\d+(\.\d+)?$""),VALUE(REGEXEXTRACT(SUBSTITUTE(F1922,"" "",""""),""^-?\d+(\.\d+)?""))&gt;=-90,VALUE(REGEXEXTRACT(SUBSTITUTE(F1922,"" "",""""),""^-?\d+(\.\d+)?""))&lt;=90,VALUE(REGEXEXT"&amp;"RACT(SUBSTITUTE(F1922,"" "",""""),""-?\d+(\.\d+)?$""))&gt;=-180,VALUE(REGEXEXTRACT(SUBSTITUTE(F1922,"" "",""""),""-?\d+(\.\d+)?$""))&lt;=180),""OK"",""REVISAR"")"),"#N/A")</f>
        <v>#N/A</v>
      </c>
    </row>
    <row r="1923" ht="15.75" customHeight="1">
      <c r="A1923" s="5" t="str">
        <f t="shared" si="1"/>
        <v>AD507-1921</v>
      </c>
      <c r="C1923" s="5"/>
      <c r="F1923" s="5"/>
      <c r="G1923" s="5" t="str">
        <f t="shared" si="2"/>
        <v/>
      </c>
      <c r="H1923" s="5" t="str">
        <f t="shared" si="3"/>
        <v/>
      </c>
      <c r="I1923" s="5" t="str">
        <f t="shared" si="4"/>
        <v/>
      </c>
      <c r="J1923" s="5" t="str">
        <f t="shared" si="5"/>
        <v/>
      </c>
      <c r="K1923" s="5" t="str">
        <f>IFERROR(__xludf.DUMMYFUNCTION("IF(C1923&lt;&gt;"""",HYPERLINK(""https://wa.me/507""&amp;REGEXREPLACE(C1923,""[^0-9]"","""")&amp;""?text=""&amp;ENCODEURL(""Ya llegue. Codigo: ""&amp;A1923&amp;"". Ubicacion: ""&amp;""https://www.google.com/maps/search/?api=1&amp;query=""&amp;SUBSTITUTE(F1923,"" "","""")),""📲 Avisar al clien"&amp;"te""),"""")"),"")</f>
        <v/>
      </c>
      <c r="L1923" s="5" t="str">
        <f>IFERROR(__xludf.DUMMYFUNCTION("IF(C1923&lt;&gt;"""",""https://api.qrserver.com/v1/create-qr-code/?size=200x200&amp;data=""&amp;ENCODEURL(""https://wa.me/507""&amp;REGEXREPLACE(C1923,""[^0-9]"","""")&amp;""?text=""&amp;ENCODEURL(""Ya llegue. Codigo: ""&amp;A1923&amp;"". Ubicacion: ""&amp;""https://www.google.com/maps/search"&amp;"/?api=1&amp;query=""&amp;SUBSTITUTE(F1923,"" "",""""))),"""")"),"")</f>
        <v/>
      </c>
      <c r="M1923" s="5" t="str">
        <f t="shared" si="6"/>
        <v/>
      </c>
      <c r="N1923" s="5" t="str">
        <f>IFERROR(__xludf.DUMMYFUNCTION("IF(AND(F1923&lt;&gt;"""",REGEXMATCH(SUBSTITUTE(F1923,"" "",""""),""^-?\d+(\.\d+)?,-?\d+(\.\d+)?$""),VALUE(REGEXEXTRACT(SUBSTITUTE(F1923,"" "",""""),""^-?\d+(\.\d+)?""))&gt;=-90,VALUE(REGEXEXTRACT(SUBSTITUTE(F1923,"" "",""""),""^-?\d+(\.\d+)?""))&lt;=90,VALUE(REGEXEXT"&amp;"RACT(SUBSTITUTE(F1923,"" "",""""),""-?\d+(\.\d+)?$""))&gt;=-180,VALUE(REGEXEXTRACT(SUBSTITUTE(F1923,"" "",""""),""-?\d+(\.\d+)?$""))&lt;=180),""OK"",""REVISAR"")"),"#N/A")</f>
        <v>#N/A</v>
      </c>
    </row>
    <row r="1924" ht="15.75" customHeight="1">
      <c r="A1924" s="5" t="str">
        <f t="shared" si="1"/>
        <v>AD507-1922</v>
      </c>
      <c r="C1924" s="5"/>
      <c r="F1924" s="5"/>
      <c r="G1924" s="5" t="str">
        <f t="shared" si="2"/>
        <v/>
      </c>
      <c r="H1924" s="5" t="str">
        <f t="shared" si="3"/>
        <v/>
      </c>
      <c r="I1924" s="5" t="str">
        <f t="shared" si="4"/>
        <v/>
      </c>
      <c r="J1924" s="5" t="str">
        <f t="shared" si="5"/>
        <v/>
      </c>
      <c r="K1924" s="5" t="str">
        <f>IFERROR(__xludf.DUMMYFUNCTION("IF(C1924&lt;&gt;"""",HYPERLINK(""https://wa.me/507""&amp;REGEXREPLACE(C1924,""[^0-9]"","""")&amp;""?text=""&amp;ENCODEURL(""Ya llegue. Codigo: ""&amp;A1924&amp;"". Ubicacion: ""&amp;""https://www.google.com/maps/search/?api=1&amp;query=""&amp;SUBSTITUTE(F1924,"" "","""")),""📲 Avisar al clien"&amp;"te""),"""")"),"")</f>
        <v/>
      </c>
      <c r="L1924" s="5" t="str">
        <f>IFERROR(__xludf.DUMMYFUNCTION("IF(C1924&lt;&gt;"""",""https://api.qrserver.com/v1/create-qr-code/?size=200x200&amp;data=""&amp;ENCODEURL(""https://wa.me/507""&amp;REGEXREPLACE(C1924,""[^0-9]"","""")&amp;""?text=""&amp;ENCODEURL(""Ya llegue. Codigo: ""&amp;A1924&amp;"". Ubicacion: ""&amp;""https://www.google.com/maps/search"&amp;"/?api=1&amp;query=""&amp;SUBSTITUTE(F1924,"" "",""""))),"""")"),"")</f>
        <v/>
      </c>
      <c r="M1924" s="5" t="str">
        <f t="shared" si="6"/>
        <v/>
      </c>
      <c r="N1924" s="5" t="str">
        <f>IFERROR(__xludf.DUMMYFUNCTION("IF(AND(F1924&lt;&gt;"""",REGEXMATCH(SUBSTITUTE(F1924,"" "",""""),""^-?\d+(\.\d+)?,-?\d+(\.\d+)?$""),VALUE(REGEXEXTRACT(SUBSTITUTE(F1924,"" "",""""),""^-?\d+(\.\d+)?""))&gt;=-90,VALUE(REGEXEXTRACT(SUBSTITUTE(F1924,"" "",""""),""^-?\d+(\.\d+)?""))&lt;=90,VALUE(REGEXEXT"&amp;"RACT(SUBSTITUTE(F1924,"" "",""""),""-?\d+(\.\d+)?$""))&gt;=-180,VALUE(REGEXEXTRACT(SUBSTITUTE(F1924,"" "",""""),""-?\d+(\.\d+)?$""))&lt;=180),""OK"",""REVISAR"")"),"#N/A")</f>
        <v>#N/A</v>
      </c>
    </row>
    <row r="1925" ht="15.75" customHeight="1">
      <c r="A1925" s="5" t="str">
        <f t="shared" si="1"/>
        <v>AD507-1923</v>
      </c>
      <c r="C1925" s="5"/>
      <c r="F1925" s="5"/>
      <c r="G1925" s="5" t="str">
        <f t="shared" si="2"/>
        <v/>
      </c>
      <c r="H1925" s="5" t="str">
        <f t="shared" si="3"/>
        <v/>
      </c>
      <c r="I1925" s="5" t="str">
        <f t="shared" si="4"/>
        <v/>
      </c>
      <c r="J1925" s="5" t="str">
        <f t="shared" si="5"/>
        <v/>
      </c>
      <c r="K1925" s="5" t="str">
        <f>IFERROR(__xludf.DUMMYFUNCTION("IF(C1925&lt;&gt;"""",HYPERLINK(""https://wa.me/507""&amp;REGEXREPLACE(C1925,""[^0-9]"","""")&amp;""?text=""&amp;ENCODEURL(""Ya llegue. Codigo: ""&amp;A1925&amp;"". Ubicacion: ""&amp;""https://www.google.com/maps/search/?api=1&amp;query=""&amp;SUBSTITUTE(F1925,"" "","""")),""📲 Avisar al clien"&amp;"te""),"""")"),"")</f>
        <v/>
      </c>
      <c r="L1925" s="5" t="str">
        <f>IFERROR(__xludf.DUMMYFUNCTION("IF(C1925&lt;&gt;"""",""https://api.qrserver.com/v1/create-qr-code/?size=200x200&amp;data=""&amp;ENCODEURL(""https://wa.me/507""&amp;REGEXREPLACE(C1925,""[^0-9]"","""")&amp;""?text=""&amp;ENCODEURL(""Ya llegue. Codigo: ""&amp;A1925&amp;"". Ubicacion: ""&amp;""https://www.google.com/maps/search"&amp;"/?api=1&amp;query=""&amp;SUBSTITUTE(F1925,"" "",""""))),"""")"),"")</f>
        <v/>
      </c>
      <c r="M1925" s="5" t="str">
        <f t="shared" si="6"/>
        <v/>
      </c>
      <c r="N1925" s="5" t="str">
        <f>IFERROR(__xludf.DUMMYFUNCTION("IF(AND(F1925&lt;&gt;"""",REGEXMATCH(SUBSTITUTE(F1925,"" "",""""),""^-?\d+(\.\d+)?,-?\d+(\.\d+)?$""),VALUE(REGEXEXTRACT(SUBSTITUTE(F1925,"" "",""""),""^-?\d+(\.\d+)?""))&gt;=-90,VALUE(REGEXEXTRACT(SUBSTITUTE(F1925,"" "",""""),""^-?\d+(\.\d+)?""))&lt;=90,VALUE(REGEXEXT"&amp;"RACT(SUBSTITUTE(F1925,"" "",""""),""-?\d+(\.\d+)?$""))&gt;=-180,VALUE(REGEXEXTRACT(SUBSTITUTE(F1925,"" "",""""),""-?\d+(\.\d+)?$""))&lt;=180),""OK"",""REVISAR"")"),"#N/A")</f>
        <v>#N/A</v>
      </c>
    </row>
    <row r="1926" ht="15.75" customHeight="1">
      <c r="A1926" s="5" t="str">
        <f t="shared" si="1"/>
        <v>AD507-1924</v>
      </c>
      <c r="C1926" s="5"/>
      <c r="F1926" s="5"/>
      <c r="G1926" s="5" t="str">
        <f t="shared" si="2"/>
        <v/>
      </c>
      <c r="H1926" s="5" t="str">
        <f t="shared" si="3"/>
        <v/>
      </c>
      <c r="I1926" s="5" t="str">
        <f t="shared" si="4"/>
        <v/>
      </c>
      <c r="J1926" s="5" t="str">
        <f t="shared" si="5"/>
        <v/>
      </c>
      <c r="K1926" s="5" t="str">
        <f>IFERROR(__xludf.DUMMYFUNCTION("IF(C1926&lt;&gt;"""",HYPERLINK(""https://wa.me/507""&amp;REGEXREPLACE(C1926,""[^0-9]"","""")&amp;""?text=""&amp;ENCODEURL(""Ya llegue. Codigo: ""&amp;A1926&amp;"". Ubicacion: ""&amp;""https://www.google.com/maps/search/?api=1&amp;query=""&amp;SUBSTITUTE(F1926,"" "","""")),""📲 Avisar al clien"&amp;"te""),"""")"),"")</f>
        <v/>
      </c>
      <c r="L1926" s="5" t="str">
        <f>IFERROR(__xludf.DUMMYFUNCTION("IF(C1926&lt;&gt;"""",""https://api.qrserver.com/v1/create-qr-code/?size=200x200&amp;data=""&amp;ENCODEURL(""https://wa.me/507""&amp;REGEXREPLACE(C1926,""[^0-9]"","""")&amp;""?text=""&amp;ENCODEURL(""Ya llegue. Codigo: ""&amp;A1926&amp;"". Ubicacion: ""&amp;""https://www.google.com/maps/search"&amp;"/?api=1&amp;query=""&amp;SUBSTITUTE(F1926,"" "",""""))),"""")"),"")</f>
        <v/>
      </c>
      <c r="M1926" s="5" t="str">
        <f t="shared" si="6"/>
        <v/>
      </c>
      <c r="N1926" s="5" t="str">
        <f>IFERROR(__xludf.DUMMYFUNCTION("IF(AND(F1926&lt;&gt;"""",REGEXMATCH(SUBSTITUTE(F1926,"" "",""""),""^-?\d+(\.\d+)?,-?\d+(\.\d+)?$""),VALUE(REGEXEXTRACT(SUBSTITUTE(F1926,"" "",""""),""^-?\d+(\.\d+)?""))&gt;=-90,VALUE(REGEXEXTRACT(SUBSTITUTE(F1926,"" "",""""),""^-?\d+(\.\d+)?""))&lt;=90,VALUE(REGEXEXT"&amp;"RACT(SUBSTITUTE(F1926,"" "",""""),""-?\d+(\.\d+)?$""))&gt;=-180,VALUE(REGEXEXTRACT(SUBSTITUTE(F1926,"" "",""""),""-?\d+(\.\d+)?$""))&lt;=180),""OK"",""REVISAR"")"),"#N/A")</f>
        <v>#N/A</v>
      </c>
    </row>
    <row r="1927" ht="15.75" customHeight="1">
      <c r="A1927" s="5" t="str">
        <f t="shared" si="1"/>
        <v>AD507-1925</v>
      </c>
      <c r="C1927" s="5"/>
      <c r="F1927" s="5"/>
      <c r="G1927" s="5" t="str">
        <f t="shared" si="2"/>
        <v/>
      </c>
      <c r="H1927" s="5" t="str">
        <f t="shared" si="3"/>
        <v/>
      </c>
      <c r="I1927" s="5" t="str">
        <f t="shared" si="4"/>
        <v/>
      </c>
      <c r="J1927" s="5" t="str">
        <f t="shared" si="5"/>
        <v/>
      </c>
      <c r="K1927" s="5" t="str">
        <f>IFERROR(__xludf.DUMMYFUNCTION("IF(C1927&lt;&gt;"""",HYPERLINK(""https://wa.me/507""&amp;REGEXREPLACE(C1927,""[^0-9]"","""")&amp;""?text=""&amp;ENCODEURL(""Ya llegue. Codigo: ""&amp;A1927&amp;"". Ubicacion: ""&amp;""https://www.google.com/maps/search/?api=1&amp;query=""&amp;SUBSTITUTE(F1927,"" "","""")),""📲 Avisar al clien"&amp;"te""),"""")"),"")</f>
        <v/>
      </c>
      <c r="L1927" s="5" t="str">
        <f>IFERROR(__xludf.DUMMYFUNCTION("IF(C1927&lt;&gt;"""",""https://api.qrserver.com/v1/create-qr-code/?size=200x200&amp;data=""&amp;ENCODEURL(""https://wa.me/507""&amp;REGEXREPLACE(C1927,""[^0-9]"","""")&amp;""?text=""&amp;ENCODEURL(""Ya llegue. Codigo: ""&amp;A1927&amp;"". Ubicacion: ""&amp;""https://www.google.com/maps/search"&amp;"/?api=1&amp;query=""&amp;SUBSTITUTE(F1927,"" "",""""))),"""")"),"")</f>
        <v/>
      </c>
      <c r="M1927" s="5" t="str">
        <f t="shared" si="6"/>
        <v/>
      </c>
      <c r="N1927" s="5" t="str">
        <f>IFERROR(__xludf.DUMMYFUNCTION("IF(AND(F1927&lt;&gt;"""",REGEXMATCH(SUBSTITUTE(F1927,"" "",""""),""^-?\d+(\.\d+)?,-?\d+(\.\d+)?$""),VALUE(REGEXEXTRACT(SUBSTITUTE(F1927,"" "",""""),""^-?\d+(\.\d+)?""))&gt;=-90,VALUE(REGEXEXTRACT(SUBSTITUTE(F1927,"" "",""""),""^-?\d+(\.\d+)?""))&lt;=90,VALUE(REGEXEXT"&amp;"RACT(SUBSTITUTE(F1927,"" "",""""),""-?\d+(\.\d+)?$""))&gt;=-180,VALUE(REGEXEXTRACT(SUBSTITUTE(F1927,"" "",""""),""-?\d+(\.\d+)?$""))&lt;=180),""OK"",""REVISAR"")"),"#N/A")</f>
        <v>#N/A</v>
      </c>
    </row>
    <row r="1928" ht="15.75" customHeight="1">
      <c r="A1928" s="5" t="str">
        <f t="shared" si="1"/>
        <v>AD507-1926</v>
      </c>
      <c r="C1928" s="5"/>
      <c r="F1928" s="5"/>
      <c r="G1928" s="5" t="str">
        <f t="shared" si="2"/>
        <v/>
      </c>
      <c r="H1928" s="5" t="str">
        <f t="shared" si="3"/>
        <v/>
      </c>
      <c r="I1928" s="5" t="str">
        <f t="shared" si="4"/>
        <v/>
      </c>
      <c r="J1928" s="5" t="str">
        <f t="shared" si="5"/>
        <v/>
      </c>
      <c r="K1928" s="5" t="str">
        <f>IFERROR(__xludf.DUMMYFUNCTION("IF(C1928&lt;&gt;"""",HYPERLINK(""https://wa.me/507""&amp;REGEXREPLACE(C1928,""[^0-9]"","""")&amp;""?text=""&amp;ENCODEURL(""Ya llegue. Codigo: ""&amp;A1928&amp;"". Ubicacion: ""&amp;""https://www.google.com/maps/search/?api=1&amp;query=""&amp;SUBSTITUTE(F1928,"" "","""")),""📲 Avisar al clien"&amp;"te""),"""")"),"")</f>
        <v/>
      </c>
      <c r="L1928" s="5" t="str">
        <f>IFERROR(__xludf.DUMMYFUNCTION("IF(C1928&lt;&gt;"""",""https://api.qrserver.com/v1/create-qr-code/?size=200x200&amp;data=""&amp;ENCODEURL(""https://wa.me/507""&amp;REGEXREPLACE(C1928,""[^0-9]"","""")&amp;""?text=""&amp;ENCODEURL(""Ya llegue. Codigo: ""&amp;A1928&amp;"". Ubicacion: ""&amp;""https://www.google.com/maps/search"&amp;"/?api=1&amp;query=""&amp;SUBSTITUTE(F1928,"" "",""""))),"""")"),"")</f>
        <v/>
      </c>
      <c r="M1928" s="5" t="str">
        <f t="shared" si="6"/>
        <v/>
      </c>
      <c r="N1928" s="5" t="str">
        <f>IFERROR(__xludf.DUMMYFUNCTION("IF(AND(F1928&lt;&gt;"""",REGEXMATCH(SUBSTITUTE(F1928,"" "",""""),""^-?\d+(\.\d+)?,-?\d+(\.\d+)?$""),VALUE(REGEXEXTRACT(SUBSTITUTE(F1928,"" "",""""),""^-?\d+(\.\d+)?""))&gt;=-90,VALUE(REGEXEXTRACT(SUBSTITUTE(F1928,"" "",""""),""^-?\d+(\.\d+)?""))&lt;=90,VALUE(REGEXEXT"&amp;"RACT(SUBSTITUTE(F1928,"" "",""""),""-?\d+(\.\d+)?$""))&gt;=-180,VALUE(REGEXEXTRACT(SUBSTITUTE(F1928,"" "",""""),""-?\d+(\.\d+)?$""))&lt;=180),""OK"",""REVISAR"")"),"#N/A")</f>
        <v>#N/A</v>
      </c>
    </row>
    <row r="1929" ht="15.75" customHeight="1">
      <c r="A1929" s="5" t="str">
        <f t="shared" si="1"/>
        <v>AD507-1927</v>
      </c>
      <c r="C1929" s="5"/>
      <c r="F1929" s="5"/>
      <c r="G1929" s="5" t="str">
        <f t="shared" si="2"/>
        <v/>
      </c>
      <c r="H1929" s="5" t="str">
        <f t="shared" si="3"/>
        <v/>
      </c>
      <c r="I1929" s="5" t="str">
        <f t="shared" si="4"/>
        <v/>
      </c>
      <c r="J1929" s="5" t="str">
        <f t="shared" si="5"/>
        <v/>
      </c>
      <c r="K1929" s="5" t="str">
        <f>IFERROR(__xludf.DUMMYFUNCTION("IF(C1929&lt;&gt;"""",HYPERLINK(""https://wa.me/507""&amp;REGEXREPLACE(C1929,""[^0-9]"","""")&amp;""?text=""&amp;ENCODEURL(""Ya llegue. Codigo: ""&amp;A1929&amp;"". Ubicacion: ""&amp;""https://www.google.com/maps/search/?api=1&amp;query=""&amp;SUBSTITUTE(F1929,"" "","""")),""📲 Avisar al clien"&amp;"te""),"""")"),"")</f>
        <v/>
      </c>
      <c r="L1929" s="5" t="str">
        <f>IFERROR(__xludf.DUMMYFUNCTION("IF(C1929&lt;&gt;"""",""https://api.qrserver.com/v1/create-qr-code/?size=200x200&amp;data=""&amp;ENCODEURL(""https://wa.me/507""&amp;REGEXREPLACE(C1929,""[^0-9]"","""")&amp;""?text=""&amp;ENCODEURL(""Ya llegue. Codigo: ""&amp;A1929&amp;"". Ubicacion: ""&amp;""https://www.google.com/maps/search"&amp;"/?api=1&amp;query=""&amp;SUBSTITUTE(F1929,"" "",""""))),"""")"),"")</f>
        <v/>
      </c>
      <c r="M1929" s="5" t="str">
        <f t="shared" si="6"/>
        <v/>
      </c>
      <c r="N1929" s="5" t="str">
        <f>IFERROR(__xludf.DUMMYFUNCTION("IF(AND(F1929&lt;&gt;"""",REGEXMATCH(SUBSTITUTE(F1929,"" "",""""),""^-?\d+(\.\d+)?,-?\d+(\.\d+)?$""),VALUE(REGEXEXTRACT(SUBSTITUTE(F1929,"" "",""""),""^-?\d+(\.\d+)?""))&gt;=-90,VALUE(REGEXEXTRACT(SUBSTITUTE(F1929,"" "",""""),""^-?\d+(\.\d+)?""))&lt;=90,VALUE(REGEXEXT"&amp;"RACT(SUBSTITUTE(F1929,"" "",""""),""-?\d+(\.\d+)?$""))&gt;=-180,VALUE(REGEXEXTRACT(SUBSTITUTE(F1929,"" "",""""),""-?\d+(\.\d+)?$""))&lt;=180),""OK"",""REVISAR"")"),"#N/A")</f>
        <v>#N/A</v>
      </c>
    </row>
    <row r="1930" ht="15.75" customHeight="1">
      <c r="A1930" s="5" t="str">
        <f t="shared" si="1"/>
        <v>AD507-1928</v>
      </c>
      <c r="C1930" s="5"/>
      <c r="F1930" s="5"/>
      <c r="G1930" s="5" t="str">
        <f t="shared" si="2"/>
        <v/>
      </c>
      <c r="H1930" s="5" t="str">
        <f t="shared" si="3"/>
        <v/>
      </c>
      <c r="I1930" s="5" t="str">
        <f t="shared" si="4"/>
        <v/>
      </c>
      <c r="J1930" s="5" t="str">
        <f t="shared" si="5"/>
        <v/>
      </c>
      <c r="K1930" s="5" t="str">
        <f>IFERROR(__xludf.DUMMYFUNCTION("IF(C1930&lt;&gt;"""",HYPERLINK(""https://wa.me/507""&amp;REGEXREPLACE(C1930,""[^0-9]"","""")&amp;""?text=""&amp;ENCODEURL(""Ya llegue. Codigo: ""&amp;A1930&amp;"". Ubicacion: ""&amp;""https://www.google.com/maps/search/?api=1&amp;query=""&amp;SUBSTITUTE(F1930,"" "","""")),""📲 Avisar al clien"&amp;"te""),"""")"),"")</f>
        <v/>
      </c>
      <c r="L1930" s="5" t="str">
        <f>IFERROR(__xludf.DUMMYFUNCTION("IF(C1930&lt;&gt;"""",""https://api.qrserver.com/v1/create-qr-code/?size=200x200&amp;data=""&amp;ENCODEURL(""https://wa.me/507""&amp;REGEXREPLACE(C1930,""[^0-9]"","""")&amp;""?text=""&amp;ENCODEURL(""Ya llegue. Codigo: ""&amp;A1930&amp;"". Ubicacion: ""&amp;""https://www.google.com/maps/search"&amp;"/?api=1&amp;query=""&amp;SUBSTITUTE(F1930,"" "",""""))),"""")"),"")</f>
        <v/>
      </c>
      <c r="M1930" s="5" t="str">
        <f t="shared" si="6"/>
        <v/>
      </c>
      <c r="N1930" s="5" t="str">
        <f>IFERROR(__xludf.DUMMYFUNCTION("IF(AND(F1930&lt;&gt;"""",REGEXMATCH(SUBSTITUTE(F1930,"" "",""""),""^-?\d+(\.\d+)?,-?\d+(\.\d+)?$""),VALUE(REGEXEXTRACT(SUBSTITUTE(F1930,"" "",""""),""^-?\d+(\.\d+)?""))&gt;=-90,VALUE(REGEXEXTRACT(SUBSTITUTE(F1930,"" "",""""),""^-?\d+(\.\d+)?""))&lt;=90,VALUE(REGEXEXT"&amp;"RACT(SUBSTITUTE(F1930,"" "",""""),""-?\d+(\.\d+)?$""))&gt;=-180,VALUE(REGEXEXTRACT(SUBSTITUTE(F1930,"" "",""""),""-?\d+(\.\d+)?$""))&lt;=180),""OK"",""REVISAR"")"),"#N/A")</f>
        <v>#N/A</v>
      </c>
    </row>
    <row r="1931" ht="15.75" customHeight="1">
      <c r="A1931" s="5" t="str">
        <f t="shared" si="1"/>
        <v>AD507-1929</v>
      </c>
      <c r="C1931" s="5"/>
      <c r="F1931" s="5"/>
      <c r="G1931" s="5" t="str">
        <f t="shared" si="2"/>
        <v/>
      </c>
      <c r="H1931" s="5" t="str">
        <f t="shared" si="3"/>
        <v/>
      </c>
      <c r="I1931" s="5" t="str">
        <f t="shared" si="4"/>
        <v/>
      </c>
      <c r="J1931" s="5" t="str">
        <f t="shared" si="5"/>
        <v/>
      </c>
      <c r="K1931" s="5" t="str">
        <f>IFERROR(__xludf.DUMMYFUNCTION("IF(C1931&lt;&gt;"""",HYPERLINK(""https://wa.me/507""&amp;REGEXREPLACE(C1931,""[^0-9]"","""")&amp;""?text=""&amp;ENCODEURL(""Ya llegue. Codigo: ""&amp;A1931&amp;"". Ubicacion: ""&amp;""https://www.google.com/maps/search/?api=1&amp;query=""&amp;SUBSTITUTE(F1931,"" "","""")),""📲 Avisar al clien"&amp;"te""),"""")"),"")</f>
        <v/>
      </c>
      <c r="L1931" s="5" t="str">
        <f>IFERROR(__xludf.DUMMYFUNCTION("IF(C1931&lt;&gt;"""",""https://api.qrserver.com/v1/create-qr-code/?size=200x200&amp;data=""&amp;ENCODEURL(""https://wa.me/507""&amp;REGEXREPLACE(C1931,""[^0-9]"","""")&amp;""?text=""&amp;ENCODEURL(""Ya llegue. Codigo: ""&amp;A1931&amp;"". Ubicacion: ""&amp;""https://www.google.com/maps/search"&amp;"/?api=1&amp;query=""&amp;SUBSTITUTE(F1931,"" "",""""))),"""")"),"")</f>
        <v/>
      </c>
      <c r="M1931" s="5" t="str">
        <f t="shared" si="6"/>
        <v/>
      </c>
      <c r="N1931" s="5" t="str">
        <f>IFERROR(__xludf.DUMMYFUNCTION("IF(AND(F1931&lt;&gt;"""",REGEXMATCH(SUBSTITUTE(F1931,"" "",""""),""^-?\d+(\.\d+)?,-?\d+(\.\d+)?$""),VALUE(REGEXEXTRACT(SUBSTITUTE(F1931,"" "",""""),""^-?\d+(\.\d+)?""))&gt;=-90,VALUE(REGEXEXTRACT(SUBSTITUTE(F1931,"" "",""""),""^-?\d+(\.\d+)?""))&lt;=90,VALUE(REGEXEXT"&amp;"RACT(SUBSTITUTE(F1931,"" "",""""),""-?\d+(\.\d+)?$""))&gt;=-180,VALUE(REGEXEXTRACT(SUBSTITUTE(F1931,"" "",""""),""-?\d+(\.\d+)?$""))&lt;=180),""OK"",""REVISAR"")"),"#N/A")</f>
        <v>#N/A</v>
      </c>
    </row>
    <row r="1932" ht="15.75" customHeight="1">
      <c r="A1932" s="5" t="str">
        <f t="shared" si="1"/>
        <v>AD507-1930</v>
      </c>
      <c r="C1932" s="5"/>
      <c r="F1932" s="5"/>
      <c r="G1932" s="5" t="str">
        <f t="shared" si="2"/>
        <v/>
      </c>
      <c r="H1932" s="5" t="str">
        <f t="shared" si="3"/>
        <v/>
      </c>
      <c r="I1932" s="5" t="str">
        <f t="shared" si="4"/>
        <v/>
      </c>
      <c r="J1932" s="5" t="str">
        <f t="shared" si="5"/>
        <v/>
      </c>
      <c r="K1932" s="5" t="str">
        <f>IFERROR(__xludf.DUMMYFUNCTION("IF(C1932&lt;&gt;"""",HYPERLINK(""https://wa.me/507""&amp;REGEXREPLACE(C1932,""[^0-9]"","""")&amp;""?text=""&amp;ENCODEURL(""Ya llegue. Codigo: ""&amp;A1932&amp;"". Ubicacion: ""&amp;""https://www.google.com/maps/search/?api=1&amp;query=""&amp;SUBSTITUTE(F1932,"" "","""")),""📲 Avisar al clien"&amp;"te""),"""")"),"")</f>
        <v/>
      </c>
      <c r="L1932" s="5" t="str">
        <f>IFERROR(__xludf.DUMMYFUNCTION("IF(C1932&lt;&gt;"""",""https://api.qrserver.com/v1/create-qr-code/?size=200x200&amp;data=""&amp;ENCODEURL(""https://wa.me/507""&amp;REGEXREPLACE(C1932,""[^0-9]"","""")&amp;""?text=""&amp;ENCODEURL(""Ya llegue. Codigo: ""&amp;A1932&amp;"". Ubicacion: ""&amp;""https://www.google.com/maps/search"&amp;"/?api=1&amp;query=""&amp;SUBSTITUTE(F1932,"" "",""""))),"""")"),"")</f>
        <v/>
      </c>
      <c r="M1932" s="5" t="str">
        <f t="shared" si="6"/>
        <v/>
      </c>
      <c r="N1932" s="5" t="str">
        <f>IFERROR(__xludf.DUMMYFUNCTION("IF(AND(F1932&lt;&gt;"""",REGEXMATCH(SUBSTITUTE(F1932,"" "",""""),""^-?\d+(\.\d+)?,-?\d+(\.\d+)?$""),VALUE(REGEXEXTRACT(SUBSTITUTE(F1932,"" "",""""),""^-?\d+(\.\d+)?""))&gt;=-90,VALUE(REGEXEXTRACT(SUBSTITUTE(F1932,"" "",""""),""^-?\d+(\.\d+)?""))&lt;=90,VALUE(REGEXEXT"&amp;"RACT(SUBSTITUTE(F1932,"" "",""""),""-?\d+(\.\d+)?$""))&gt;=-180,VALUE(REGEXEXTRACT(SUBSTITUTE(F1932,"" "",""""),""-?\d+(\.\d+)?$""))&lt;=180),""OK"",""REVISAR"")"),"#N/A")</f>
        <v>#N/A</v>
      </c>
    </row>
    <row r="1933" ht="15.75" customHeight="1">
      <c r="A1933" s="5" t="str">
        <f t="shared" si="1"/>
        <v>AD507-1931</v>
      </c>
      <c r="C1933" s="5"/>
      <c r="F1933" s="5"/>
      <c r="G1933" s="5" t="str">
        <f t="shared" si="2"/>
        <v/>
      </c>
      <c r="H1933" s="5" t="str">
        <f t="shared" si="3"/>
        <v/>
      </c>
      <c r="I1933" s="5" t="str">
        <f t="shared" si="4"/>
        <v/>
      </c>
      <c r="J1933" s="5" t="str">
        <f t="shared" si="5"/>
        <v/>
      </c>
      <c r="K1933" s="5" t="str">
        <f>IFERROR(__xludf.DUMMYFUNCTION("IF(C1933&lt;&gt;"""",HYPERLINK(""https://wa.me/507""&amp;REGEXREPLACE(C1933,""[^0-9]"","""")&amp;""?text=""&amp;ENCODEURL(""Ya llegue. Codigo: ""&amp;A1933&amp;"". Ubicacion: ""&amp;""https://www.google.com/maps/search/?api=1&amp;query=""&amp;SUBSTITUTE(F1933,"" "","""")),""📲 Avisar al clien"&amp;"te""),"""")"),"")</f>
        <v/>
      </c>
      <c r="L1933" s="5" t="str">
        <f>IFERROR(__xludf.DUMMYFUNCTION("IF(C1933&lt;&gt;"""",""https://api.qrserver.com/v1/create-qr-code/?size=200x200&amp;data=""&amp;ENCODEURL(""https://wa.me/507""&amp;REGEXREPLACE(C1933,""[^0-9]"","""")&amp;""?text=""&amp;ENCODEURL(""Ya llegue. Codigo: ""&amp;A1933&amp;"". Ubicacion: ""&amp;""https://www.google.com/maps/search"&amp;"/?api=1&amp;query=""&amp;SUBSTITUTE(F1933,"" "",""""))),"""")"),"")</f>
        <v/>
      </c>
      <c r="M1933" s="5" t="str">
        <f t="shared" si="6"/>
        <v/>
      </c>
      <c r="N1933" s="5" t="str">
        <f>IFERROR(__xludf.DUMMYFUNCTION("IF(AND(F1933&lt;&gt;"""",REGEXMATCH(SUBSTITUTE(F1933,"" "",""""),""^-?\d+(\.\d+)?,-?\d+(\.\d+)?$""),VALUE(REGEXEXTRACT(SUBSTITUTE(F1933,"" "",""""),""^-?\d+(\.\d+)?""))&gt;=-90,VALUE(REGEXEXTRACT(SUBSTITUTE(F1933,"" "",""""),""^-?\d+(\.\d+)?""))&lt;=90,VALUE(REGEXEXT"&amp;"RACT(SUBSTITUTE(F1933,"" "",""""),""-?\d+(\.\d+)?$""))&gt;=-180,VALUE(REGEXEXTRACT(SUBSTITUTE(F1933,"" "",""""),""-?\d+(\.\d+)?$""))&lt;=180),""OK"",""REVISAR"")"),"#N/A")</f>
        <v>#N/A</v>
      </c>
    </row>
    <row r="1934" ht="15.75" customHeight="1">
      <c r="A1934" s="5" t="str">
        <f t="shared" si="1"/>
        <v>AD507-1932</v>
      </c>
      <c r="C1934" s="5"/>
      <c r="F1934" s="5"/>
      <c r="G1934" s="5" t="str">
        <f t="shared" si="2"/>
        <v/>
      </c>
      <c r="H1934" s="5" t="str">
        <f t="shared" si="3"/>
        <v/>
      </c>
      <c r="I1934" s="5" t="str">
        <f t="shared" si="4"/>
        <v/>
      </c>
      <c r="J1934" s="5" t="str">
        <f t="shared" si="5"/>
        <v/>
      </c>
      <c r="K1934" s="5" t="str">
        <f>IFERROR(__xludf.DUMMYFUNCTION("IF(C1934&lt;&gt;"""",HYPERLINK(""https://wa.me/507""&amp;REGEXREPLACE(C1934,""[^0-9]"","""")&amp;""?text=""&amp;ENCODEURL(""Ya llegue. Codigo: ""&amp;A1934&amp;"". Ubicacion: ""&amp;""https://www.google.com/maps/search/?api=1&amp;query=""&amp;SUBSTITUTE(F1934,"" "","""")),""📲 Avisar al clien"&amp;"te""),"""")"),"")</f>
        <v/>
      </c>
      <c r="L1934" s="5" t="str">
        <f>IFERROR(__xludf.DUMMYFUNCTION("IF(C1934&lt;&gt;"""",""https://api.qrserver.com/v1/create-qr-code/?size=200x200&amp;data=""&amp;ENCODEURL(""https://wa.me/507""&amp;REGEXREPLACE(C1934,""[^0-9]"","""")&amp;""?text=""&amp;ENCODEURL(""Ya llegue. Codigo: ""&amp;A1934&amp;"". Ubicacion: ""&amp;""https://www.google.com/maps/search"&amp;"/?api=1&amp;query=""&amp;SUBSTITUTE(F1934,"" "",""""))),"""")"),"")</f>
        <v/>
      </c>
      <c r="M1934" s="5" t="str">
        <f t="shared" si="6"/>
        <v/>
      </c>
      <c r="N1934" s="5" t="str">
        <f>IFERROR(__xludf.DUMMYFUNCTION("IF(AND(F1934&lt;&gt;"""",REGEXMATCH(SUBSTITUTE(F1934,"" "",""""),""^-?\d+(\.\d+)?,-?\d+(\.\d+)?$""),VALUE(REGEXEXTRACT(SUBSTITUTE(F1934,"" "",""""),""^-?\d+(\.\d+)?""))&gt;=-90,VALUE(REGEXEXTRACT(SUBSTITUTE(F1934,"" "",""""),""^-?\d+(\.\d+)?""))&lt;=90,VALUE(REGEXEXT"&amp;"RACT(SUBSTITUTE(F1934,"" "",""""),""-?\d+(\.\d+)?$""))&gt;=-180,VALUE(REGEXEXTRACT(SUBSTITUTE(F1934,"" "",""""),""-?\d+(\.\d+)?$""))&lt;=180),""OK"",""REVISAR"")"),"#N/A")</f>
        <v>#N/A</v>
      </c>
    </row>
    <row r="1935" ht="15.75" customHeight="1">
      <c r="A1935" s="5" t="str">
        <f t="shared" si="1"/>
        <v>AD507-1933</v>
      </c>
      <c r="C1935" s="5"/>
      <c r="F1935" s="5"/>
      <c r="G1935" s="5" t="str">
        <f t="shared" si="2"/>
        <v/>
      </c>
      <c r="H1935" s="5" t="str">
        <f t="shared" si="3"/>
        <v/>
      </c>
      <c r="I1935" s="5" t="str">
        <f t="shared" si="4"/>
        <v/>
      </c>
      <c r="J1935" s="5" t="str">
        <f t="shared" si="5"/>
        <v/>
      </c>
      <c r="K1935" s="5" t="str">
        <f>IFERROR(__xludf.DUMMYFUNCTION("IF(C1935&lt;&gt;"""",HYPERLINK(""https://wa.me/507""&amp;REGEXREPLACE(C1935,""[^0-9]"","""")&amp;""?text=""&amp;ENCODEURL(""Ya llegue. Codigo: ""&amp;A1935&amp;"". Ubicacion: ""&amp;""https://www.google.com/maps/search/?api=1&amp;query=""&amp;SUBSTITUTE(F1935,"" "","""")),""📲 Avisar al clien"&amp;"te""),"""")"),"")</f>
        <v/>
      </c>
      <c r="L1935" s="5" t="str">
        <f>IFERROR(__xludf.DUMMYFUNCTION("IF(C1935&lt;&gt;"""",""https://api.qrserver.com/v1/create-qr-code/?size=200x200&amp;data=""&amp;ENCODEURL(""https://wa.me/507""&amp;REGEXREPLACE(C1935,""[^0-9]"","""")&amp;""?text=""&amp;ENCODEURL(""Ya llegue. Codigo: ""&amp;A1935&amp;"". Ubicacion: ""&amp;""https://www.google.com/maps/search"&amp;"/?api=1&amp;query=""&amp;SUBSTITUTE(F1935,"" "",""""))),"""")"),"")</f>
        <v/>
      </c>
      <c r="M1935" s="5" t="str">
        <f t="shared" si="6"/>
        <v/>
      </c>
      <c r="N1935" s="5" t="str">
        <f>IFERROR(__xludf.DUMMYFUNCTION("IF(AND(F1935&lt;&gt;"""",REGEXMATCH(SUBSTITUTE(F1935,"" "",""""),""^-?\d+(\.\d+)?,-?\d+(\.\d+)?$""),VALUE(REGEXEXTRACT(SUBSTITUTE(F1935,"" "",""""),""^-?\d+(\.\d+)?""))&gt;=-90,VALUE(REGEXEXTRACT(SUBSTITUTE(F1935,"" "",""""),""^-?\d+(\.\d+)?""))&lt;=90,VALUE(REGEXEXT"&amp;"RACT(SUBSTITUTE(F1935,"" "",""""),""-?\d+(\.\d+)?$""))&gt;=-180,VALUE(REGEXEXTRACT(SUBSTITUTE(F1935,"" "",""""),""-?\d+(\.\d+)?$""))&lt;=180),""OK"",""REVISAR"")"),"#N/A")</f>
        <v>#N/A</v>
      </c>
    </row>
    <row r="1936" ht="15.75" customHeight="1">
      <c r="A1936" s="5" t="str">
        <f t="shared" si="1"/>
        <v>AD507-1934</v>
      </c>
      <c r="C1936" s="5"/>
      <c r="F1936" s="5"/>
      <c r="G1936" s="5" t="str">
        <f t="shared" si="2"/>
        <v/>
      </c>
      <c r="H1936" s="5" t="str">
        <f t="shared" si="3"/>
        <v/>
      </c>
      <c r="I1936" s="5" t="str">
        <f t="shared" si="4"/>
        <v/>
      </c>
      <c r="J1936" s="5" t="str">
        <f t="shared" si="5"/>
        <v/>
      </c>
      <c r="K1936" s="5" t="str">
        <f>IFERROR(__xludf.DUMMYFUNCTION("IF(C1936&lt;&gt;"""",HYPERLINK(""https://wa.me/507""&amp;REGEXREPLACE(C1936,""[^0-9]"","""")&amp;""?text=""&amp;ENCODEURL(""Ya llegue. Codigo: ""&amp;A1936&amp;"". Ubicacion: ""&amp;""https://www.google.com/maps/search/?api=1&amp;query=""&amp;SUBSTITUTE(F1936,"" "","""")),""📲 Avisar al clien"&amp;"te""),"""")"),"")</f>
        <v/>
      </c>
      <c r="L1936" s="5" t="str">
        <f>IFERROR(__xludf.DUMMYFUNCTION("IF(C1936&lt;&gt;"""",""https://api.qrserver.com/v1/create-qr-code/?size=200x200&amp;data=""&amp;ENCODEURL(""https://wa.me/507""&amp;REGEXREPLACE(C1936,""[^0-9]"","""")&amp;""?text=""&amp;ENCODEURL(""Ya llegue. Codigo: ""&amp;A1936&amp;"". Ubicacion: ""&amp;""https://www.google.com/maps/search"&amp;"/?api=1&amp;query=""&amp;SUBSTITUTE(F1936,"" "",""""))),"""")"),"")</f>
        <v/>
      </c>
      <c r="M1936" s="5" t="str">
        <f t="shared" si="6"/>
        <v/>
      </c>
      <c r="N1936" s="5" t="str">
        <f>IFERROR(__xludf.DUMMYFUNCTION("IF(AND(F1936&lt;&gt;"""",REGEXMATCH(SUBSTITUTE(F1936,"" "",""""),""^-?\d+(\.\d+)?,-?\d+(\.\d+)?$""),VALUE(REGEXEXTRACT(SUBSTITUTE(F1936,"" "",""""),""^-?\d+(\.\d+)?""))&gt;=-90,VALUE(REGEXEXTRACT(SUBSTITUTE(F1936,"" "",""""),""^-?\d+(\.\d+)?""))&lt;=90,VALUE(REGEXEXT"&amp;"RACT(SUBSTITUTE(F1936,"" "",""""),""-?\d+(\.\d+)?$""))&gt;=-180,VALUE(REGEXEXTRACT(SUBSTITUTE(F1936,"" "",""""),""-?\d+(\.\d+)?$""))&lt;=180),""OK"",""REVISAR"")"),"#N/A")</f>
        <v>#N/A</v>
      </c>
    </row>
    <row r="1937" ht="15.75" customHeight="1">
      <c r="A1937" s="5" t="str">
        <f t="shared" si="1"/>
        <v>AD507-1935</v>
      </c>
      <c r="C1937" s="5"/>
      <c r="F1937" s="5"/>
      <c r="G1937" s="5" t="str">
        <f t="shared" si="2"/>
        <v/>
      </c>
      <c r="H1937" s="5" t="str">
        <f t="shared" si="3"/>
        <v/>
      </c>
      <c r="I1937" s="5" t="str">
        <f t="shared" si="4"/>
        <v/>
      </c>
      <c r="J1937" s="5" t="str">
        <f t="shared" si="5"/>
        <v/>
      </c>
      <c r="K1937" s="5" t="str">
        <f>IFERROR(__xludf.DUMMYFUNCTION("IF(C1937&lt;&gt;"""",HYPERLINK(""https://wa.me/507""&amp;REGEXREPLACE(C1937,""[^0-9]"","""")&amp;""?text=""&amp;ENCODEURL(""Ya llegue. Codigo: ""&amp;A1937&amp;"". Ubicacion: ""&amp;""https://www.google.com/maps/search/?api=1&amp;query=""&amp;SUBSTITUTE(F1937,"" "","""")),""📲 Avisar al clien"&amp;"te""),"""")"),"")</f>
        <v/>
      </c>
      <c r="L1937" s="5" t="str">
        <f>IFERROR(__xludf.DUMMYFUNCTION("IF(C1937&lt;&gt;"""",""https://api.qrserver.com/v1/create-qr-code/?size=200x200&amp;data=""&amp;ENCODEURL(""https://wa.me/507""&amp;REGEXREPLACE(C1937,""[^0-9]"","""")&amp;""?text=""&amp;ENCODEURL(""Ya llegue. Codigo: ""&amp;A1937&amp;"". Ubicacion: ""&amp;""https://www.google.com/maps/search"&amp;"/?api=1&amp;query=""&amp;SUBSTITUTE(F1937,"" "",""""))),"""")"),"")</f>
        <v/>
      </c>
      <c r="M1937" s="5" t="str">
        <f t="shared" si="6"/>
        <v/>
      </c>
      <c r="N1937" s="5" t="str">
        <f>IFERROR(__xludf.DUMMYFUNCTION("IF(AND(F1937&lt;&gt;"""",REGEXMATCH(SUBSTITUTE(F1937,"" "",""""),""^-?\d+(\.\d+)?,-?\d+(\.\d+)?$""),VALUE(REGEXEXTRACT(SUBSTITUTE(F1937,"" "",""""),""^-?\d+(\.\d+)?""))&gt;=-90,VALUE(REGEXEXTRACT(SUBSTITUTE(F1937,"" "",""""),""^-?\d+(\.\d+)?""))&lt;=90,VALUE(REGEXEXT"&amp;"RACT(SUBSTITUTE(F1937,"" "",""""),""-?\d+(\.\d+)?$""))&gt;=-180,VALUE(REGEXEXTRACT(SUBSTITUTE(F1937,"" "",""""),""-?\d+(\.\d+)?$""))&lt;=180),""OK"",""REVISAR"")"),"#N/A")</f>
        <v>#N/A</v>
      </c>
    </row>
    <row r="1938" ht="15.75" customHeight="1">
      <c r="A1938" s="5" t="str">
        <f t="shared" si="1"/>
        <v>AD507-1936</v>
      </c>
      <c r="C1938" s="5"/>
      <c r="F1938" s="5"/>
      <c r="G1938" s="5" t="str">
        <f t="shared" si="2"/>
        <v/>
      </c>
      <c r="H1938" s="5" t="str">
        <f t="shared" si="3"/>
        <v/>
      </c>
      <c r="I1938" s="5" t="str">
        <f t="shared" si="4"/>
        <v/>
      </c>
      <c r="J1938" s="5" t="str">
        <f t="shared" si="5"/>
        <v/>
      </c>
      <c r="K1938" s="5" t="str">
        <f>IFERROR(__xludf.DUMMYFUNCTION("IF(C1938&lt;&gt;"""",HYPERLINK(""https://wa.me/507""&amp;REGEXREPLACE(C1938,""[^0-9]"","""")&amp;""?text=""&amp;ENCODEURL(""Ya llegue. Codigo: ""&amp;A1938&amp;"". Ubicacion: ""&amp;""https://www.google.com/maps/search/?api=1&amp;query=""&amp;SUBSTITUTE(F1938,"" "","""")),""📲 Avisar al clien"&amp;"te""),"""")"),"")</f>
        <v/>
      </c>
      <c r="L1938" s="5" t="str">
        <f>IFERROR(__xludf.DUMMYFUNCTION("IF(C1938&lt;&gt;"""",""https://api.qrserver.com/v1/create-qr-code/?size=200x200&amp;data=""&amp;ENCODEURL(""https://wa.me/507""&amp;REGEXREPLACE(C1938,""[^0-9]"","""")&amp;""?text=""&amp;ENCODEURL(""Ya llegue. Codigo: ""&amp;A1938&amp;"". Ubicacion: ""&amp;""https://www.google.com/maps/search"&amp;"/?api=1&amp;query=""&amp;SUBSTITUTE(F1938,"" "",""""))),"""")"),"")</f>
        <v/>
      </c>
      <c r="M1938" s="5" t="str">
        <f t="shared" si="6"/>
        <v/>
      </c>
      <c r="N1938" s="5" t="str">
        <f>IFERROR(__xludf.DUMMYFUNCTION("IF(AND(F1938&lt;&gt;"""",REGEXMATCH(SUBSTITUTE(F1938,"" "",""""),""^-?\d+(\.\d+)?,-?\d+(\.\d+)?$""),VALUE(REGEXEXTRACT(SUBSTITUTE(F1938,"" "",""""),""^-?\d+(\.\d+)?""))&gt;=-90,VALUE(REGEXEXTRACT(SUBSTITUTE(F1938,"" "",""""),""^-?\d+(\.\d+)?""))&lt;=90,VALUE(REGEXEXT"&amp;"RACT(SUBSTITUTE(F1938,"" "",""""),""-?\d+(\.\d+)?$""))&gt;=-180,VALUE(REGEXEXTRACT(SUBSTITUTE(F1938,"" "",""""),""-?\d+(\.\d+)?$""))&lt;=180),""OK"",""REVISAR"")"),"#N/A")</f>
        <v>#N/A</v>
      </c>
    </row>
    <row r="1939" ht="15.75" customHeight="1">
      <c r="A1939" s="5" t="str">
        <f t="shared" si="1"/>
        <v>AD507-1937</v>
      </c>
      <c r="C1939" s="5"/>
      <c r="F1939" s="5"/>
      <c r="G1939" s="5" t="str">
        <f t="shared" si="2"/>
        <v/>
      </c>
      <c r="H1939" s="5" t="str">
        <f t="shared" si="3"/>
        <v/>
      </c>
      <c r="I1939" s="5" t="str">
        <f t="shared" si="4"/>
        <v/>
      </c>
      <c r="J1939" s="5" t="str">
        <f t="shared" si="5"/>
        <v/>
      </c>
      <c r="K1939" s="5" t="str">
        <f>IFERROR(__xludf.DUMMYFUNCTION("IF(C1939&lt;&gt;"""",HYPERLINK(""https://wa.me/507""&amp;REGEXREPLACE(C1939,""[^0-9]"","""")&amp;""?text=""&amp;ENCODEURL(""Ya llegue. Codigo: ""&amp;A1939&amp;"". Ubicacion: ""&amp;""https://www.google.com/maps/search/?api=1&amp;query=""&amp;SUBSTITUTE(F1939,"" "","""")),""📲 Avisar al clien"&amp;"te""),"""")"),"")</f>
        <v/>
      </c>
      <c r="L1939" s="5" t="str">
        <f>IFERROR(__xludf.DUMMYFUNCTION("IF(C1939&lt;&gt;"""",""https://api.qrserver.com/v1/create-qr-code/?size=200x200&amp;data=""&amp;ENCODEURL(""https://wa.me/507""&amp;REGEXREPLACE(C1939,""[^0-9]"","""")&amp;""?text=""&amp;ENCODEURL(""Ya llegue. Codigo: ""&amp;A1939&amp;"". Ubicacion: ""&amp;""https://www.google.com/maps/search"&amp;"/?api=1&amp;query=""&amp;SUBSTITUTE(F1939,"" "",""""))),"""")"),"")</f>
        <v/>
      </c>
      <c r="M1939" s="5" t="str">
        <f t="shared" si="6"/>
        <v/>
      </c>
      <c r="N1939" s="5" t="str">
        <f>IFERROR(__xludf.DUMMYFUNCTION("IF(AND(F1939&lt;&gt;"""",REGEXMATCH(SUBSTITUTE(F1939,"" "",""""),""^-?\d+(\.\d+)?,-?\d+(\.\d+)?$""),VALUE(REGEXEXTRACT(SUBSTITUTE(F1939,"" "",""""),""^-?\d+(\.\d+)?""))&gt;=-90,VALUE(REGEXEXTRACT(SUBSTITUTE(F1939,"" "",""""),""^-?\d+(\.\d+)?""))&lt;=90,VALUE(REGEXEXT"&amp;"RACT(SUBSTITUTE(F1939,"" "",""""),""-?\d+(\.\d+)?$""))&gt;=-180,VALUE(REGEXEXTRACT(SUBSTITUTE(F1939,"" "",""""),""-?\d+(\.\d+)?$""))&lt;=180),""OK"",""REVISAR"")"),"#N/A")</f>
        <v>#N/A</v>
      </c>
    </row>
    <row r="1940" ht="15.75" customHeight="1">
      <c r="A1940" s="5" t="str">
        <f t="shared" si="1"/>
        <v>AD507-1938</v>
      </c>
      <c r="C1940" s="5"/>
      <c r="F1940" s="5"/>
      <c r="G1940" s="5" t="str">
        <f t="shared" si="2"/>
        <v/>
      </c>
      <c r="H1940" s="5" t="str">
        <f t="shared" si="3"/>
        <v/>
      </c>
      <c r="I1940" s="5" t="str">
        <f t="shared" si="4"/>
        <v/>
      </c>
      <c r="J1940" s="5" t="str">
        <f t="shared" si="5"/>
        <v/>
      </c>
      <c r="K1940" s="5" t="str">
        <f>IFERROR(__xludf.DUMMYFUNCTION("IF(C1940&lt;&gt;"""",HYPERLINK(""https://wa.me/507""&amp;REGEXREPLACE(C1940,""[^0-9]"","""")&amp;""?text=""&amp;ENCODEURL(""Ya llegue. Codigo: ""&amp;A1940&amp;"". Ubicacion: ""&amp;""https://www.google.com/maps/search/?api=1&amp;query=""&amp;SUBSTITUTE(F1940,"" "","""")),""📲 Avisar al clien"&amp;"te""),"""")"),"")</f>
        <v/>
      </c>
      <c r="L1940" s="5" t="str">
        <f>IFERROR(__xludf.DUMMYFUNCTION("IF(C1940&lt;&gt;"""",""https://api.qrserver.com/v1/create-qr-code/?size=200x200&amp;data=""&amp;ENCODEURL(""https://wa.me/507""&amp;REGEXREPLACE(C1940,""[^0-9]"","""")&amp;""?text=""&amp;ENCODEURL(""Ya llegue. Codigo: ""&amp;A1940&amp;"". Ubicacion: ""&amp;""https://www.google.com/maps/search"&amp;"/?api=1&amp;query=""&amp;SUBSTITUTE(F1940,"" "",""""))),"""")"),"")</f>
        <v/>
      </c>
      <c r="M1940" s="5" t="str">
        <f t="shared" si="6"/>
        <v/>
      </c>
      <c r="N1940" s="5" t="str">
        <f>IFERROR(__xludf.DUMMYFUNCTION("IF(AND(F1940&lt;&gt;"""",REGEXMATCH(SUBSTITUTE(F1940,"" "",""""),""^-?\d+(\.\d+)?,-?\d+(\.\d+)?$""),VALUE(REGEXEXTRACT(SUBSTITUTE(F1940,"" "",""""),""^-?\d+(\.\d+)?""))&gt;=-90,VALUE(REGEXEXTRACT(SUBSTITUTE(F1940,"" "",""""),""^-?\d+(\.\d+)?""))&lt;=90,VALUE(REGEXEXT"&amp;"RACT(SUBSTITUTE(F1940,"" "",""""),""-?\d+(\.\d+)?$""))&gt;=-180,VALUE(REGEXEXTRACT(SUBSTITUTE(F1940,"" "",""""),""-?\d+(\.\d+)?$""))&lt;=180),""OK"",""REVISAR"")"),"#N/A")</f>
        <v>#N/A</v>
      </c>
    </row>
    <row r="1941" ht="15.75" customHeight="1">
      <c r="A1941" s="5" t="str">
        <f t="shared" si="1"/>
        <v>AD507-1939</v>
      </c>
      <c r="C1941" s="5"/>
      <c r="F1941" s="5"/>
      <c r="G1941" s="5" t="str">
        <f t="shared" si="2"/>
        <v/>
      </c>
      <c r="H1941" s="5" t="str">
        <f t="shared" si="3"/>
        <v/>
      </c>
      <c r="I1941" s="5" t="str">
        <f t="shared" si="4"/>
        <v/>
      </c>
      <c r="J1941" s="5" t="str">
        <f t="shared" si="5"/>
        <v/>
      </c>
      <c r="K1941" s="5" t="str">
        <f>IFERROR(__xludf.DUMMYFUNCTION("IF(C1941&lt;&gt;"""",HYPERLINK(""https://wa.me/507""&amp;REGEXREPLACE(C1941,""[^0-9]"","""")&amp;""?text=""&amp;ENCODEURL(""Ya llegue. Codigo: ""&amp;A1941&amp;"". Ubicacion: ""&amp;""https://www.google.com/maps/search/?api=1&amp;query=""&amp;SUBSTITUTE(F1941,"" "","""")),""📲 Avisar al clien"&amp;"te""),"""")"),"")</f>
        <v/>
      </c>
      <c r="L1941" s="5" t="str">
        <f>IFERROR(__xludf.DUMMYFUNCTION("IF(C1941&lt;&gt;"""",""https://api.qrserver.com/v1/create-qr-code/?size=200x200&amp;data=""&amp;ENCODEURL(""https://wa.me/507""&amp;REGEXREPLACE(C1941,""[^0-9]"","""")&amp;""?text=""&amp;ENCODEURL(""Ya llegue. Codigo: ""&amp;A1941&amp;"". Ubicacion: ""&amp;""https://www.google.com/maps/search"&amp;"/?api=1&amp;query=""&amp;SUBSTITUTE(F1941,"" "",""""))),"""")"),"")</f>
        <v/>
      </c>
      <c r="M1941" s="5" t="str">
        <f t="shared" si="6"/>
        <v/>
      </c>
      <c r="N1941" s="5" t="str">
        <f>IFERROR(__xludf.DUMMYFUNCTION("IF(AND(F1941&lt;&gt;"""",REGEXMATCH(SUBSTITUTE(F1941,"" "",""""),""^-?\d+(\.\d+)?,-?\d+(\.\d+)?$""),VALUE(REGEXEXTRACT(SUBSTITUTE(F1941,"" "",""""),""^-?\d+(\.\d+)?""))&gt;=-90,VALUE(REGEXEXTRACT(SUBSTITUTE(F1941,"" "",""""),""^-?\d+(\.\d+)?""))&lt;=90,VALUE(REGEXEXT"&amp;"RACT(SUBSTITUTE(F1941,"" "",""""),""-?\d+(\.\d+)?$""))&gt;=-180,VALUE(REGEXEXTRACT(SUBSTITUTE(F1941,"" "",""""),""-?\d+(\.\d+)?$""))&lt;=180),""OK"",""REVISAR"")"),"#N/A")</f>
        <v>#N/A</v>
      </c>
    </row>
    <row r="1942" ht="15.75" customHeight="1">
      <c r="A1942" s="5" t="str">
        <f t="shared" si="1"/>
        <v>AD507-1940</v>
      </c>
      <c r="C1942" s="5"/>
      <c r="F1942" s="5"/>
      <c r="G1942" s="5" t="str">
        <f t="shared" si="2"/>
        <v/>
      </c>
      <c r="H1942" s="5" t="str">
        <f t="shared" si="3"/>
        <v/>
      </c>
      <c r="I1942" s="5" t="str">
        <f t="shared" si="4"/>
        <v/>
      </c>
      <c r="J1942" s="5" t="str">
        <f t="shared" si="5"/>
        <v/>
      </c>
      <c r="K1942" s="5" t="str">
        <f>IFERROR(__xludf.DUMMYFUNCTION("IF(C1942&lt;&gt;"""",HYPERLINK(""https://wa.me/507""&amp;REGEXREPLACE(C1942,""[^0-9]"","""")&amp;""?text=""&amp;ENCODEURL(""Ya llegue. Codigo: ""&amp;A1942&amp;"". Ubicacion: ""&amp;""https://www.google.com/maps/search/?api=1&amp;query=""&amp;SUBSTITUTE(F1942,"" "","""")),""📲 Avisar al clien"&amp;"te""),"""")"),"")</f>
        <v/>
      </c>
      <c r="L1942" s="5" t="str">
        <f>IFERROR(__xludf.DUMMYFUNCTION("IF(C1942&lt;&gt;"""",""https://api.qrserver.com/v1/create-qr-code/?size=200x200&amp;data=""&amp;ENCODEURL(""https://wa.me/507""&amp;REGEXREPLACE(C1942,""[^0-9]"","""")&amp;""?text=""&amp;ENCODEURL(""Ya llegue. Codigo: ""&amp;A1942&amp;"". Ubicacion: ""&amp;""https://www.google.com/maps/search"&amp;"/?api=1&amp;query=""&amp;SUBSTITUTE(F1942,"" "",""""))),"""")"),"")</f>
        <v/>
      </c>
      <c r="M1942" s="5" t="str">
        <f t="shared" si="6"/>
        <v/>
      </c>
      <c r="N1942" s="5" t="str">
        <f>IFERROR(__xludf.DUMMYFUNCTION("IF(AND(F1942&lt;&gt;"""",REGEXMATCH(SUBSTITUTE(F1942,"" "",""""),""^-?\d+(\.\d+)?,-?\d+(\.\d+)?$""),VALUE(REGEXEXTRACT(SUBSTITUTE(F1942,"" "",""""),""^-?\d+(\.\d+)?""))&gt;=-90,VALUE(REGEXEXTRACT(SUBSTITUTE(F1942,"" "",""""),""^-?\d+(\.\d+)?""))&lt;=90,VALUE(REGEXEXT"&amp;"RACT(SUBSTITUTE(F1942,"" "",""""),""-?\d+(\.\d+)?$""))&gt;=-180,VALUE(REGEXEXTRACT(SUBSTITUTE(F1942,"" "",""""),""-?\d+(\.\d+)?$""))&lt;=180),""OK"",""REVISAR"")"),"#N/A")</f>
        <v>#N/A</v>
      </c>
    </row>
    <row r="1943" ht="15.75" customHeight="1">
      <c r="A1943" s="5" t="str">
        <f t="shared" si="1"/>
        <v>AD507-1941</v>
      </c>
      <c r="C1943" s="5"/>
      <c r="F1943" s="5"/>
      <c r="G1943" s="5" t="str">
        <f t="shared" si="2"/>
        <v/>
      </c>
      <c r="H1943" s="5" t="str">
        <f t="shared" si="3"/>
        <v/>
      </c>
      <c r="I1943" s="5" t="str">
        <f t="shared" si="4"/>
        <v/>
      </c>
      <c r="J1943" s="5" t="str">
        <f t="shared" si="5"/>
        <v/>
      </c>
      <c r="K1943" s="5" t="str">
        <f>IFERROR(__xludf.DUMMYFUNCTION("IF(C1943&lt;&gt;"""",HYPERLINK(""https://wa.me/507""&amp;REGEXREPLACE(C1943,""[^0-9]"","""")&amp;""?text=""&amp;ENCODEURL(""Ya llegue. Codigo: ""&amp;A1943&amp;"". Ubicacion: ""&amp;""https://www.google.com/maps/search/?api=1&amp;query=""&amp;SUBSTITUTE(F1943,"" "","""")),""📲 Avisar al clien"&amp;"te""),"""")"),"")</f>
        <v/>
      </c>
      <c r="L1943" s="5" t="str">
        <f>IFERROR(__xludf.DUMMYFUNCTION("IF(C1943&lt;&gt;"""",""https://api.qrserver.com/v1/create-qr-code/?size=200x200&amp;data=""&amp;ENCODEURL(""https://wa.me/507""&amp;REGEXREPLACE(C1943,""[^0-9]"","""")&amp;""?text=""&amp;ENCODEURL(""Ya llegue. Codigo: ""&amp;A1943&amp;"". Ubicacion: ""&amp;""https://www.google.com/maps/search"&amp;"/?api=1&amp;query=""&amp;SUBSTITUTE(F1943,"" "",""""))),"""")"),"")</f>
        <v/>
      </c>
      <c r="M1943" s="5" t="str">
        <f t="shared" si="6"/>
        <v/>
      </c>
      <c r="N1943" s="5" t="str">
        <f>IFERROR(__xludf.DUMMYFUNCTION("IF(AND(F1943&lt;&gt;"""",REGEXMATCH(SUBSTITUTE(F1943,"" "",""""),""^-?\d+(\.\d+)?,-?\d+(\.\d+)?$""),VALUE(REGEXEXTRACT(SUBSTITUTE(F1943,"" "",""""),""^-?\d+(\.\d+)?""))&gt;=-90,VALUE(REGEXEXTRACT(SUBSTITUTE(F1943,"" "",""""),""^-?\d+(\.\d+)?""))&lt;=90,VALUE(REGEXEXT"&amp;"RACT(SUBSTITUTE(F1943,"" "",""""),""-?\d+(\.\d+)?$""))&gt;=-180,VALUE(REGEXEXTRACT(SUBSTITUTE(F1943,"" "",""""),""-?\d+(\.\d+)?$""))&lt;=180),""OK"",""REVISAR"")"),"#N/A")</f>
        <v>#N/A</v>
      </c>
    </row>
    <row r="1944" ht="15.75" customHeight="1">
      <c r="A1944" s="5" t="str">
        <f t="shared" si="1"/>
        <v>AD507-1942</v>
      </c>
      <c r="C1944" s="5"/>
      <c r="F1944" s="5"/>
      <c r="G1944" s="5" t="str">
        <f t="shared" si="2"/>
        <v/>
      </c>
      <c r="H1944" s="5" t="str">
        <f t="shared" si="3"/>
        <v/>
      </c>
      <c r="I1944" s="5" t="str">
        <f t="shared" si="4"/>
        <v/>
      </c>
      <c r="J1944" s="5" t="str">
        <f t="shared" si="5"/>
        <v/>
      </c>
      <c r="K1944" s="5" t="str">
        <f>IFERROR(__xludf.DUMMYFUNCTION("IF(C1944&lt;&gt;"""",HYPERLINK(""https://wa.me/507""&amp;REGEXREPLACE(C1944,""[^0-9]"","""")&amp;""?text=""&amp;ENCODEURL(""Ya llegue. Codigo: ""&amp;A1944&amp;"". Ubicacion: ""&amp;""https://www.google.com/maps/search/?api=1&amp;query=""&amp;SUBSTITUTE(F1944,"" "","""")),""📲 Avisar al clien"&amp;"te""),"""")"),"")</f>
        <v/>
      </c>
      <c r="L1944" s="5" t="str">
        <f>IFERROR(__xludf.DUMMYFUNCTION("IF(C1944&lt;&gt;"""",""https://api.qrserver.com/v1/create-qr-code/?size=200x200&amp;data=""&amp;ENCODEURL(""https://wa.me/507""&amp;REGEXREPLACE(C1944,""[^0-9]"","""")&amp;""?text=""&amp;ENCODEURL(""Ya llegue. Codigo: ""&amp;A1944&amp;"". Ubicacion: ""&amp;""https://www.google.com/maps/search"&amp;"/?api=1&amp;query=""&amp;SUBSTITUTE(F1944,"" "",""""))),"""")"),"")</f>
        <v/>
      </c>
      <c r="M1944" s="5" t="str">
        <f t="shared" si="6"/>
        <v/>
      </c>
      <c r="N1944" s="5" t="str">
        <f>IFERROR(__xludf.DUMMYFUNCTION("IF(AND(F1944&lt;&gt;"""",REGEXMATCH(SUBSTITUTE(F1944,"" "",""""),""^-?\d+(\.\d+)?,-?\d+(\.\d+)?$""),VALUE(REGEXEXTRACT(SUBSTITUTE(F1944,"" "",""""),""^-?\d+(\.\d+)?""))&gt;=-90,VALUE(REGEXEXTRACT(SUBSTITUTE(F1944,"" "",""""),""^-?\d+(\.\d+)?""))&lt;=90,VALUE(REGEXEXT"&amp;"RACT(SUBSTITUTE(F1944,"" "",""""),""-?\d+(\.\d+)?$""))&gt;=-180,VALUE(REGEXEXTRACT(SUBSTITUTE(F1944,"" "",""""),""-?\d+(\.\d+)?$""))&lt;=180),""OK"",""REVISAR"")"),"#N/A")</f>
        <v>#N/A</v>
      </c>
    </row>
    <row r="1945" ht="15.75" customHeight="1">
      <c r="A1945" s="5" t="str">
        <f t="shared" si="1"/>
        <v>AD507-1943</v>
      </c>
      <c r="C1945" s="5"/>
      <c r="F1945" s="5"/>
      <c r="G1945" s="5" t="str">
        <f t="shared" si="2"/>
        <v/>
      </c>
      <c r="H1945" s="5" t="str">
        <f t="shared" si="3"/>
        <v/>
      </c>
      <c r="I1945" s="5" t="str">
        <f t="shared" si="4"/>
        <v/>
      </c>
      <c r="J1945" s="5" t="str">
        <f t="shared" si="5"/>
        <v/>
      </c>
      <c r="K1945" s="5" t="str">
        <f>IFERROR(__xludf.DUMMYFUNCTION("IF(C1945&lt;&gt;"""",HYPERLINK(""https://wa.me/507""&amp;REGEXREPLACE(C1945,""[^0-9]"","""")&amp;""?text=""&amp;ENCODEURL(""Ya llegue. Codigo: ""&amp;A1945&amp;"". Ubicacion: ""&amp;""https://www.google.com/maps/search/?api=1&amp;query=""&amp;SUBSTITUTE(F1945,"" "","""")),""📲 Avisar al clien"&amp;"te""),"""")"),"")</f>
        <v/>
      </c>
      <c r="L1945" s="5" t="str">
        <f>IFERROR(__xludf.DUMMYFUNCTION("IF(C1945&lt;&gt;"""",""https://api.qrserver.com/v1/create-qr-code/?size=200x200&amp;data=""&amp;ENCODEURL(""https://wa.me/507""&amp;REGEXREPLACE(C1945,""[^0-9]"","""")&amp;""?text=""&amp;ENCODEURL(""Ya llegue. Codigo: ""&amp;A1945&amp;"". Ubicacion: ""&amp;""https://www.google.com/maps/search"&amp;"/?api=1&amp;query=""&amp;SUBSTITUTE(F1945,"" "",""""))),"""")"),"")</f>
        <v/>
      </c>
      <c r="M1945" s="5" t="str">
        <f t="shared" si="6"/>
        <v/>
      </c>
      <c r="N1945" s="5" t="str">
        <f>IFERROR(__xludf.DUMMYFUNCTION("IF(AND(F1945&lt;&gt;"""",REGEXMATCH(SUBSTITUTE(F1945,"" "",""""),""^-?\d+(\.\d+)?,-?\d+(\.\d+)?$""),VALUE(REGEXEXTRACT(SUBSTITUTE(F1945,"" "",""""),""^-?\d+(\.\d+)?""))&gt;=-90,VALUE(REGEXEXTRACT(SUBSTITUTE(F1945,"" "",""""),""^-?\d+(\.\d+)?""))&lt;=90,VALUE(REGEXEXT"&amp;"RACT(SUBSTITUTE(F1945,"" "",""""),""-?\d+(\.\d+)?$""))&gt;=-180,VALUE(REGEXEXTRACT(SUBSTITUTE(F1945,"" "",""""),""-?\d+(\.\d+)?$""))&lt;=180),""OK"",""REVISAR"")"),"#N/A")</f>
        <v>#N/A</v>
      </c>
    </row>
    <row r="1946" ht="15.75" customHeight="1">
      <c r="A1946" s="5" t="str">
        <f t="shared" si="1"/>
        <v>AD507-1944</v>
      </c>
      <c r="C1946" s="5"/>
      <c r="F1946" s="5"/>
      <c r="G1946" s="5" t="str">
        <f t="shared" si="2"/>
        <v/>
      </c>
      <c r="H1946" s="5" t="str">
        <f t="shared" si="3"/>
        <v/>
      </c>
      <c r="I1946" s="5" t="str">
        <f t="shared" si="4"/>
        <v/>
      </c>
      <c r="J1946" s="5" t="str">
        <f t="shared" si="5"/>
        <v/>
      </c>
      <c r="K1946" s="5" t="str">
        <f>IFERROR(__xludf.DUMMYFUNCTION("IF(C1946&lt;&gt;"""",HYPERLINK(""https://wa.me/507""&amp;REGEXREPLACE(C1946,""[^0-9]"","""")&amp;""?text=""&amp;ENCODEURL(""Ya llegue. Codigo: ""&amp;A1946&amp;"". Ubicacion: ""&amp;""https://www.google.com/maps/search/?api=1&amp;query=""&amp;SUBSTITUTE(F1946,"" "","""")),""📲 Avisar al clien"&amp;"te""),"""")"),"")</f>
        <v/>
      </c>
      <c r="L1946" s="5" t="str">
        <f>IFERROR(__xludf.DUMMYFUNCTION("IF(C1946&lt;&gt;"""",""https://api.qrserver.com/v1/create-qr-code/?size=200x200&amp;data=""&amp;ENCODEURL(""https://wa.me/507""&amp;REGEXREPLACE(C1946,""[^0-9]"","""")&amp;""?text=""&amp;ENCODEURL(""Ya llegue. Codigo: ""&amp;A1946&amp;"". Ubicacion: ""&amp;""https://www.google.com/maps/search"&amp;"/?api=1&amp;query=""&amp;SUBSTITUTE(F1946,"" "",""""))),"""")"),"")</f>
        <v/>
      </c>
      <c r="M1946" s="5" t="str">
        <f t="shared" si="6"/>
        <v/>
      </c>
      <c r="N1946" s="5" t="str">
        <f>IFERROR(__xludf.DUMMYFUNCTION("IF(AND(F1946&lt;&gt;"""",REGEXMATCH(SUBSTITUTE(F1946,"" "",""""),""^-?\d+(\.\d+)?,-?\d+(\.\d+)?$""),VALUE(REGEXEXTRACT(SUBSTITUTE(F1946,"" "",""""),""^-?\d+(\.\d+)?""))&gt;=-90,VALUE(REGEXEXTRACT(SUBSTITUTE(F1946,"" "",""""),""^-?\d+(\.\d+)?""))&lt;=90,VALUE(REGEXEXT"&amp;"RACT(SUBSTITUTE(F1946,"" "",""""),""-?\d+(\.\d+)?$""))&gt;=-180,VALUE(REGEXEXTRACT(SUBSTITUTE(F1946,"" "",""""),""-?\d+(\.\d+)?$""))&lt;=180),""OK"",""REVISAR"")"),"#N/A")</f>
        <v>#N/A</v>
      </c>
    </row>
    <row r="1947" ht="15.75" customHeight="1">
      <c r="A1947" s="5" t="str">
        <f t="shared" si="1"/>
        <v>AD507-1945</v>
      </c>
      <c r="C1947" s="5"/>
      <c r="F1947" s="5"/>
      <c r="G1947" s="5" t="str">
        <f t="shared" si="2"/>
        <v/>
      </c>
      <c r="H1947" s="5" t="str">
        <f t="shared" si="3"/>
        <v/>
      </c>
      <c r="I1947" s="5" t="str">
        <f t="shared" si="4"/>
        <v/>
      </c>
      <c r="J1947" s="5" t="str">
        <f t="shared" si="5"/>
        <v/>
      </c>
      <c r="K1947" s="5" t="str">
        <f>IFERROR(__xludf.DUMMYFUNCTION("IF(C1947&lt;&gt;"""",HYPERLINK(""https://wa.me/507""&amp;REGEXREPLACE(C1947,""[^0-9]"","""")&amp;""?text=""&amp;ENCODEURL(""Ya llegue. Codigo: ""&amp;A1947&amp;"". Ubicacion: ""&amp;""https://www.google.com/maps/search/?api=1&amp;query=""&amp;SUBSTITUTE(F1947,"" "","""")),""📲 Avisar al clien"&amp;"te""),"""")"),"")</f>
        <v/>
      </c>
      <c r="L1947" s="5" t="str">
        <f>IFERROR(__xludf.DUMMYFUNCTION("IF(C1947&lt;&gt;"""",""https://api.qrserver.com/v1/create-qr-code/?size=200x200&amp;data=""&amp;ENCODEURL(""https://wa.me/507""&amp;REGEXREPLACE(C1947,""[^0-9]"","""")&amp;""?text=""&amp;ENCODEURL(""Ya llegue. Codigo: ""&amp;A1947&amp;"". Ubicacion: ""&amp;""https://www.google.com/maps/search"&amp;"/?api=1&amp;query=""&amp;SUBSTITUTE(F1947,"" "",""""))),"""")"),"")</f>
        <v/>
      </c>
      <c r="M1947" s="5" t="str">
        <f t="shared" si="6"/>
        <v/>
      </c>
      <c r="N1947" s="5" t="str">
        <f>IFERROR(__xludf.DUMMYFUNCTION("IF(AND(F1947&lt;&gt;"""",REGEXMATCH(SUBSTITUTE(F1947,"" "",""""),""^-?\d+(\.\d+)?,-?\d+(\.\d+)?$""),VALUE(REGEXEXTRACT(SUBSTITUTE(F1947,"" "",""""),""^-?\d+(\.\d+)?""))&gt;=-90,VALUE(REGEXEXTRACT(SUBSTITUTE(F1947,"" "",""""),""^-?\d+(\.\d+)?""))&lt;=90,VALUE(REGEXEXT"&amp;"RACT(SUBSTITUTE(F1947,"" "",""""),""-?\d+(\.\d+)?$""))&gt;=-180,VALUE(REGEXEXTRACT(SUBSTITUTE(F1947,"" "",""""),""-?\d+(\.\d+)?$""))&lt;=180),""OK"",""REVISAR"")"),"#N/A")</f>
        <v>#N/A</v>
      </c>
    </row>
    <row r="1948" ht="15.75" customHeight="1">
      <c r="A1948" s="5" t="str">
        <f t="shared" si="1"/>
        <v>AD507-1946</v>
      </c>
      <c r="C1948" s="5"/>
      <c r="F1948" s="5"/>
      <c r="G1948" s="5" t="str">
        <f t="shared" si="2"/>
        <v/>
      </c>
      <c r="H1948" s="5" t="str">
        <f t="shared" si="3"/>
        <v/>
      </c>
      <c r="I1948" s="5" t="str">
        <f t="shared" si="4"/>
        <v/>
      </c>
      <c r="J1948" s="5" t="str">
        <f t="shared" si="5"/>
        <v/>
      </c>
      <c r="K1948" s="5" t="str">
        <f>IFERROR(__xludf.DUMMYFUNCTION("IF(C1948&lt;&gt;"""",HYPERLINK(""https://wa.me/507""&amp;REGEXREPLACE(C1948,""[^0-9]"","""")&amp;""?text=""&amp;ENCODEURL(""Ya llegue. Codigo: ""&amp;A1948&amp;"". Ubicacion: ""&amp;""https://www.google.com/maps/search/?api=1&amp;query=""&amp;SUBSTITUTE(F1948,"" "","""")),""📲 Avisar al clien"&amp;"te""),"""")"),"")</f>
        <v/>
      </c>
      <c r="L1948" s="5" t="str">
        <f>IFERROR(__xludf.DUMMYFUNCTION("IF(C1948&lt;&gt;"""",""https://api.qrserver.com/v1/create-qr-code/?size=200x200&amp;data=""&amp;ENCODEURL(""https://wa.me/507""&amp;REGEXREPLACE(C1948,""[^0-9]"","""")&amp;""?text=""&amp;ENCODEURL(""Ya llegue. Codigo: ""&amp;A1948&amp;"". Ubicacion: ""&amp;""https://www.google.com/maps/search"&amp;"/?api=1&amp;query=""&amp;SUBSTITUTE(F1948,"" "",""""))),"""")"),"")</f>
        <v/>
      </c>
      <c r="M1948" s="5" t="str">
        <f t="shared" si="6"/>
        <v/>
      </c>
      <c r="N1948" s="5" t="str">
        <f>IFERROR(__xludf.DUMMYFUNCTION("IF(AND(F1948&lt;&gt;"""",REGEXMATCH(SUBSTITUTE(F1948,"" "",""""),""^-?\d+(\.\d+)?,-?\d+(\.\d+)?$""),VALUE(REGEXEXTRACT(SUBSTITUTE(F1948,"" "",""""),""^-?\d+(\.\d+)?""))&gt;=-90,VALUE(REGEXEXTRACT(SUBSTITUTE(F1948,"" "",""""),""^-?\d+(\.\d+)?""))&lt;=90,VALUE(REGEXEXT"&amp;"RACT(SUBSTITUTE(F1948,"" "",""""),""-?\d+(\.\d+)?$""))&gt;=-180,VALUE(REGEXEXTRACT(SUBSTITUTE(F1948,"" "",""""),""-?\d+(\.\d+)?$""))&lt;=180),""OK"",""REVISAR"")"),"#N/A")</f>
        <v>#N/A</v>
      </c>
    </row>
    <row r="1949" ht="15.75" customHeight="1">
      <c r="A1949" s="5" t="str">
        <f t="shared" si="1"/>
        <v>AD507-1947</v>
      </c>
      <c r="C1949" s="5"/>
      <c r="F1949" s="5"/>
      <c r="G1949" s="5" t="str">
        <f t="shared" si="2"/>
        <v/>
      </c>
      <c r="H1949" s="5" t="str">
        <f t="shared" si="3"/>
        <v/>
      </c>
      <c r="I1949" s="5" t="str">
        <f t="shared" si="4"/>
        <v/>
      </c>
      <c r="J1949" s="5" t="str">
        <f t="shared" si="5"/>
        <v/>
      </c>
      <c r="K1949" s="5" t="str">
        <f>IFERROR(__xludf.DUMMYFUNCTION("IF(C1949&lt;&gt;"""",HYPERLINK(""https://wa.me/507""&amp;REGEXREPLACE(C1949,""[^0-9]"","""")&amp;""?text=""&amp;ENCODEURL(""Ya llegue. Codigo: ""&amp;A1949&amp;"". Ubicacion: ""&amp;""https://www.google.com/maps/search/?api=1&amp;query=""&amp;SUBSTITUTE(F1949,"" "","""")),""📲 Avisar al clien"&amp;"te""),"""")"),"")</f>
        <v/>
      </c>
      <c r="L1949" s="5" t="str">
        <f>IFERROR(__xludf.DUMMYFUNCTION("IF(C1949&lt;&gt;"""",""https://api.qrserver.com/v1/create-qr-code/?size=200x200&amp;data=""&amp;ENCODEURL(""https://wa.me/507""&amp;REGEXREPLACE(C1949,""[^0-9]"","""")&amp;""?text=""&amp;ENCODEURL(""Ya llegue. Codigo: ""&amp;A1949&amp;"". Ubicacion: ""&amp;""https://www.google.com/maps/search"&amp;"/?api=1&amp;query=""&amp;SUBSTITUTE(F1949,"" "",""""))),"""")"),"")</f>
        <v/>
      </c>
      <c r="M1949" s="5" t="str">
        <f t="shared" si="6"/>
        <v/>
      </c>
      <c r="N1949" s="5" t="str">
        <f>IFERROR(__xludf.DUMMYFUNCTION("IF(AND(F1949&lt;&gt;"""",REGEXMATCH(SUBSTITUTE(F1949,"" "",""""),""^-?\d+(\.\d+)?,-?\d+(\.\d+)?$""),VALUE(REGEXEXTRACT(SUBSTITUTE(F1949,"" "",""""),""^-?\d+(\.\d+)?""))&gt;=-90,VALUE(REGEXEXTRACT(SUBSTITUTE(F1949,"" "",""""),""^-?\d+(\.\d+)?""))&lt;=90,VALUE(REGEXEXT"&amp;"RACT(SUBSTITUTE(F1949,"" "",""""),""-?\d+(\.\d+)?$""))&gt;=-180,VALUE(REGEXEXTRACT(SUBSTITUTE(F1949,"" "",""""),""-?\d+(\.\d+)?$""))&lt;=180),""OK"",""REVISAR"")"),"#N/A")</f>
        <v>#N/A</v>
      </c>
    </row>
    <row r="1950" ht="15.75" customHeight="1">
      <c r="A1950" s="5" t="str">
        <f t="shared" si="1"/>
        <v>AD507-1948</v>
      </c>
      <c r="C1950" s="5"/>
      <c r="F1950" s="5"/>
      <c r="G1950" s="5" t="str">
        <f t="shared" si="2"/>
        <v/>
      </c>
      <c r="H1950" s="5" t="str">
        <f t="shared" si="3"/>
        <v/>
      </c>
      <c r="I1950" s="5" t="str">
        <f t="shared" si="4"/>
        <v/>
      </c>
      <c r="J1950" s="5" t="str">
        <f t="shared" si="5"/>
        <v/>
      </c>
      <c r="K1950" s="5" t="str">
        <f>IFERROR(__xludf.DUMMYFUNCTION("IF(C1950&lt;&gt;"""",HYPERLINK(""https://wa.me/507""&amp;REGEXREPLACE(C1950,""[^0-9]"","""")&amp;""?text=""&amp;ENCODEURL(""Ya llegue. Codigo: ""&amp;A1950&amp;"". Ubicacion: ""&amp;""https://www.google.com/maps/search/?api=1&amp;query=""&amp;SUBSTITUTE(F1950,"" "","""")),""📲 Avisar al clien"&amp;"te""),"""")"),"")</f>
        <v/>
      </c>
      <c r="L1950" s="5" t="str">
        <f>IFERROR(__xludf.DUMMYFUNCTION("IF(C1950&lt;&gt;"""",""https://api.qrserver.com/v1/create-qr-code/?size=200x200&amp;data=""&amp;ENCODEURL(""https://wa.me/507""&amp;REGEXREPLACE(C1950,""[^0-9]"","""")&amp;""?text=""&amp;ENCODEURL(""Ya llegue. Codigo: ""&amp;A1950&amp;"". Ubicacion: ""&amp;""https://www.google.com/maps/search"&amp;"/?api=1&amp;query=""&amp;SUBSTITUTE(F1950,"" "",""""))),"""")"),"")</f>
        <v/>
      </c>
      <c r="M1950" s="5" t="str">
        <f t="shared" si="6"/>
        <v/>
      </c>
      <c r="N1950" s="5" t="str">
        <f>IFERROR(__xludf.DUMMYFUNCTION("IF(AND(F1950&lt;&gt;"""",REGEXMATCH(SUBSTITUTE(F1950,"" "",""""),""^-?\d+(\.\d+)?,-?\d+(\.\d+)?$""),VALUE(REGEXEXTRACT(SUBSTITUTE(F1950,"" "",""""),""^-?\d+(\.\d+)?""))&gt;=-90,VALUE(REGEXEXTRACT(SUBSTITUTE(F1950,"" "",""""),""^-?\d+(\.\d+)?""))&lt;=90,VALUE(REGEXEXT"&amp;"RACT(SUBSTITUTE(F1950,"" "",""""),""-?\d+(\.\d+)?$""))&gt;=-180,VALUE(REGEXEXTRACT(SUBSTITUTE(F1950,"" "",""""),""-?\d+(\.\d+)?$""))&lt;=180),""OK"",""REVISAR"")"),"#N/A")</f>
        <v>#N/A</v>
      </c>
    </row>
    <row r="1951" ht="15.75" customHeight="1">
      <c r="A1951" s="5" t="str">
        <f t="shared" si="1"/>
        <v>AD507-1949</v>
      </c>
      <c r="C1951" s="5"/>
      <c r="F1951" s="5"/>
      <c r="G1951" s="5" t="str">
        <f t="shared" si="2"/>
        <v/>
      </c>
      <c r="H1951" s="5" t="str">
        <f t="shared" si="3"/>
        <v/>
      </c>
      <c r="I1951" s="5" t="str">
        <f t="shared" si="4"/>
        <v/>
      </c>
      <c r="J1951" s="5" t="str">
        <f t="shared" si="5"/>
        <v/>
      </c>
      <c r="K1951" s="5" t="str">
        <f>IFERROR(__xludf.DUMMYFUNCTION("IF(C1951&lt;&gt;"""",HYPERLINK(""https://wa.me/507""&amp;REGEXREPLACE(C1951,""[^0-9]"","""")&amp;""?text=""&amp;ENCODEURL(""Ya llegue. Codigo: ""&amp;A1951&amp;"". Ubicacion: ""&amp;""https://www.google.com/maps/search/?api=1&amp;query=""&amp;SUBSTITUTE(F1951,"" "","""")),""📲 Avisar al clien"&amp;"te""),"""")"),"")</f>
        <v/>
      </c>
      <c r="L1951" s="5" t="str">
        <f>IFERROR(__xludf.DUMMYFUNCTION("IF(C1951&lt;&gt;"""",""https://api.qrserver.com/v1/create-qr-code/?size=200x200&amp;data=""&amp;ENCODEURL(""https://wa.me/507""&amp;REGEXREPLACE(C1951,""[^0-9]"","""")&amp;""?text=""&amp;ENCODEURL(""Ya llegue. Codigo: ""&amp;A1951&amp;"". Ubicacion: ""&amp;""https://www.google.com/maps/search"&amp;"/?api=1&amp;query=""&amp;SUBSTITUTE(F1951,"" "",""""))),"""")"),"")</f>
        <v/>
      </c>
      <c r="M1951" s="5" t="str">
        <f t="shared" si="6"/>
        <v/>
      </c>
      <c r="N1951" s="5" t="str">
        <f>IFERROR(__xludf.DUMMYFUNCTION("IF(AND(F1951&lt;&gt;"""",REGEXMATCH(SUBSTITUTE(F1951,"" "",""""),""^-?\d+(\.\d+)?,-?\d+(\.\d+)?$""),VALUE(REGEXEXTRACT(SUBSTITUTE(F1951,"" "",""""),""^-?\d+(\.\d+)?""))&gt;=-90,VALUE(REGEXEXTRACT(SUBSTITUTE(F1951,"" "",""""),""^-?\d+(\.\d+)?""))&lt;=90,VALUE(REGEXEXT"&amp;"RACT(SUBSTITUTE(F1951,"" "",""""),""-?\d+(\.\d+)?$""))&gt;=-180,VALUE(REGEXEXTRACT(SUBSTITUTE(F1951,"" "",""""),""-?\d+(\.\d+)?$""))&lt;=180),""OK"",""REVISAR"")"),"#N/A")</f>
        <v>#N/A</v>
      </c>
    </row>
    <row r="1952" ht="15.75" customHeight="1">
      <c r="A1952" s="5" t="str">
        <f t="shared" si="1"/>
        <v>AD507-1950</v>
      </c>
      <c r="C1952" s="5"/>
      <c r="F1952" s="5"/>
      <c r="G1952" s="5" t="str">
        <f t="shared" si="2"/>
        <v/>
      </c>
      <c r="H1952" s="5" t="str">
        <f t="shared" si="3"/>
        <v/>
      </c>
      <c r="I1952" s="5" t="str">
        <f t="shared" si="4"/>
        <v/>
      </c>
      <c r="J1952" s="5" t="str">
        <f t="shared" si="5"/>
        <v/>
      </c>
      <c r="K1952" s="5" t="str">
        <f>IFERROR(__xludf.DUMMYFUNCTION("IF(C1952&lt;&gt;"""",HYPERLINK(""https://wa.me/507""&amp;REGEXREPLACE(C1952,""[^0-9]"","""")&amp;""?text=""&amp;ENCODEURL(""Ya llegue. Codigo: ""&amp;A1952&amp;"". Ubicacion: ""&amp;""https://www.google.com/maps/search/?api=1&amp;query=""&amp;SUBSTITUTE(F1952,"" "","""")),""📲 Avisar al clien"&amp;"te""),"""")"),"")</f>
        <v/>
      </c>
      <c r="L1952" s="5" t="str">
        <f>IFERROR(__xludf.DUMMYFUNCTION("IF(C1952&lt;&gt;"""",""https://api.qrserver.com/v1/create-qr-code/?size=200x200&amp;data=""&amp;ENCODEURL(""https://wa.me/507""&amp;REGEXREPLACE(C1952,""[^0-9]"","""")&amp;""?text=""&amp;ENCODEURL(""Ya llegue. Codigo: ""&amp;A1952&amp;"". Ubicacion: ""&amp;""https://www.google.com/maps/search"&amp;"/?api=1&amp;query=""&amp;SUBSTITUTE(F1952,"" "",""""))),"""")"),"")</f>
        <v/>
      </c>
      <c r="M1952" s="5" t="str">
        <f t="shared" si="6"/>
        <v/>
      </c>
      <c r="N1952" s="5" t="str">
        <f>IFERROR(__xludf.DUMMYFUNCTION("IF(AND(F1952&lt;&gt;"""",REGEXMATCH(SUBSTITUTE(F1952,"" "",""""),""^-?\d+(\.\d+)?,-?\d+(\.\d+)?$""),VALUE(REGEXEXTRACT(SUBSTITUTE(F1952,"" "",""""),""^-?\d+(\.\d+)?""))&gt;=-90,VALUE(REGEXEXTRACT(SUBSTITUTE(F1952,"" "",""""),""^-?\d+(\.\d+)?""))&lt;=90,VALUE(REGEXEXT"&amp;"RACT(SUBSTITUTE(F1952,"" "",""""),""-?\d+(\.\d+)?$""))&gt;=-180,VALUE(REGEXEXTRACT(SUBSTITUTE(F1952,"" "",""""),""-?\d+(\.\d+)?$""))&lt;=180),""OK"",""REVISAR"")"),"#N/A")</f>
        <v>#N/A</v>
      </c>
    </row>
    <row r="1953" ht="15.75" customHeight="1">
      <c r="A1953" s="5" t="str">
        <f t="shared" si="1"/>
        <v>AD507-1951</v>
      </c>
      <c r="C1953" s="5"/>
      <c r="F1953" s="5"/>
      <c r="G1953" s="5" t="str">
        <f t="shared" si="2"/>
        <v/>
      </c>
      <c r="H1953" s="5" t="str">
        <f t="shared" si="3"/>
        <v/>
      </c>
      <c r="I1953" s="5" t="str">
        <f t="shared" si="4"/>
        <v/>
      </c>
      <c r="J1953" s="5" t="str">
        <f t="shared" si="5"/>
        <v/>
      </c>
      <c r="K1953" s="5" t="str">
        <f>IFERROR(__xludf.DUMMYFUNCTION("IF(C1953&lt;&gt;"""",HYPERLINK(""https://wa.me/507""&amp;REGEXREPLACE(C1953,""[^0-9]"","""")&amp;""?text=""&amp;ENCODEURL(""Ya llegue. Codigo: ""&amp;A1953&amp;"". Ubicacion: ""&amp;""https://www.google.com/maps/search/?api=1&amp;query=""&amp;SUBSTITUTE(F1953,"" "","""")),""📲 Avisar al clien"&amp;"te""),"""")"),"")</f>
        <v/>
      </c>
      <c r="L1953" s="5" t="str">
        <f>IFERROR(__xludf.DUMMYFUNCTION("IF(C1953&lt;&gt;"""",""https://api.qrserver.com/v1/create-qr-code/?size=200x200&amp;data=""&amp;ENCODEURL(""https://wa.me/507""&amp;REGEXREPLACE(C1953,""[^0-9]"","""")&amp;""?text=""&amp;ENCODEURL(""Ya llegue. Codigo: ""&amp;A1953&amp;"". Ubicacion: ""&amp;""https://www.google.com/maps/search"&amp;"/?api=1&amp;query=""&amp;SUBSTITUTE(F1953,"" "",""""))),"""")"),"")</f>
        <v/>
      </c>
      <c r="M1953" s="5" t="str">
        <f t="shared" si="6"/>
        <v/>
      </c>
      <c r="N1953" s="5" t="str">
        <f>IFERROR(__xludf.DUMMYFUNCTION("IF(AND(F1953&lt;&gt;"""",REGEXMATCH(SUBSTITUTE(F1953,"" "",""""),""^-?\d+(\.\d+)?,-?\d+(\.\d+)?$""),VALUE(REGEXEXTRACT(SUBSTITUTE(F1953,"" "",""""),""^-?\d+(\.\d+)?""))&gt;=-90,VALUE(REGEXEXTRACT(SUBSTITUTE(F1953,"" "",""""),""^-?\d+(\.\d+)?""))&lt;=90,VALUE(REGEXEXT"&amp;"RACT(SUBSTITUTE(F1953,"" "",""""),""-?\d+(\.\d+)?$""))&gt;=-180,VALUE(REGEXEXTRACT(SUBSTITUTE(F1953,"" "",""""),""-?\d+(\.\d+)?$""))&lt;=180),""OK"",""REVISAR"")"),"#N/A")</f>
        <v>#N/A</v>
      </c>
    </row>
    <row r="1954" ht="15.75" customHeight="1">
      <c r="A1954" s="5" t="str">
        <f t="shared" si="1"/>
        <v>AD507-1952</v>
      </c>
      <c r="C1954" s="5"/>
      <c r="F1954" s="5"/>
      <c r="G1954" s="5" t="str">
        <f t="shared" si="2"/>
        <v/>
      </c>
      <c r="H1954" s="5" t="str">
        <f t="shared" si="3"/>
        <v/>
      </c>
      <c r="I1954" s="5" t="str">
        <f t="shared" si="4"/>
        <v/>
      </c>
      <c r="J1954" s="5" t="str">
        <f t="shared" si="5"/>
        <v/>
      </c>
      <c r="K1954" s="5" t="str">
        <f>IFERROR(__xludf.DUMMYFUNCTION("IF(C1954&lt;&gt;"""",HYPERLINK(""https://wa.me/507""&amp;REGEXREPLACE(C1954,""[^0-9]"","""")&amp;""?text=""&amp;ENCODEURL(""Ya llegue. Codigo: ""&amp;A1954&amp;"". Ubicacion: ""&amp;""https://www.google.com/maps/search/?api=1&amp;query=""&amp;SUBSTITUTE(F1954,"" "","""")),""📲 Avisar al clien"&amp;"te""),"""")"),"")</f>
        <v/>
      </c>
      <c r="L1954" s="5" t="str">
        <f>IFERROR(__xludf.DUMMYFUNCTION("IF(C1954&lt;&gt;"""",""https://api.qrserver.com/v1/create-qr-code/?size=200x200&amp;data=""&amp;ENCODEURL(""https://wa.me/507""&amp;REGEXREPLACE(C1954,""[^0-9]"","""")&amp;""?text=""&amp;ENCODEURL(""Ya llegue. Codigo: ""&amp;A1954&amp;"". Ubicacion: ""&amp;""https://www.google.com/maps/search"&amp;"/?api=1&amp;query=""&amp;SUBSTITUTE(F1954,"" "",""""))),"""")"),"")</f>
        <v/>
      </c>
      <c r="M1954" s="5" t="str">
        <f t="shared" si="6"/>
        <v/>
      </c>
      <c r="N1954" s="5" t="str">
        <f>IFERROR(__xludf.DUMMYFUNCTION("IF(AND(F1954&lt;&gt;"""",REGEXMATCH(SUBSTITUTE(F1954,"" "",""""),""^-?\d+(\.\d+)?,-?\d+(\.\d+)?$""),VALUE(REGEXEXTRACT(SUBSTITUTE(F1954,"" "",""""),""^-?\d+(\.\d+)?""))&gt;=-90,VALUE(REGEXEXTRACT(SUBSTITUTE(F1954,"" "",""""),""^-?\d+(\.\d+)?""))&lt;=90,VALUE(REGEXEXT"&amp;"RACT(SUBSTITUTE(F1954,"" "",""""),""-?\d+(\.\d+)?$""))&gt;=-180,VALUE(REGEXEXTRACT(SUBSTITUTE(F1954,"" "",""""),""-?\d+(\.\d+)?$""))&lt;=180),""OK"",""REVISAR"")"),"#N/A")</f>
        <v>#N/A</v>
      </c>
    </row>
    <row r="1955" ht="15.75" customHeight="1">
      <c r="A1955" s="5" t="str">
        <f t="shared" si="1"/>
        <v>AD507-1953</v>
      </c>
      <c r="C1955" s="5"/>
      <c r="F1955" s="5"/>
      <c r="G1955" s="5" t="str">
        <f t="shared" si="2"/>
        <v/>
      </c>
      <c r="H1955" s="5" t="str">
        <f t="shared" si="3"/>
        <v/>
      </c>
      <c r="I1955" s="5" t="str">
        <f t="shared" si="4"/>
        <v/>
      </c>
      <c r="J1955" s="5" t="str">
        <f t="shared" si="5"/>
        <v/>
      </c>
      <c r="K1955" s="5" t="str">
        <f>IFERROR(__xludf.DUMMYFUNCTION("IF(C1955&lt;&gt;"""",HYPERLINK(""https://wa.me/507""&amp;REGEXREPLACE(C1955,""[^0-9]"","""")&amp;""?text=""&amp;ENCODEURL(""Ya llegue. Codigo: ""&amp;A1955&amp;"". Ubicacion: ""&amp;""https://www.google.com/maps/search/?api=1&amp;query=""&amp;SUBSTITUTE(F1955,"" "","""")),""📲 Avisar al clien"&amp;"te""),"""")"),"")</f>
        <v/>
      </c>
      <c r="L1955" s="5" t="str">
        <f>IFERROR(__xludf.DUMMYFUNCTION("IF(C1955&lt;&gt;"""",""https://api.qrserver.com/v1/create-qr-code/?size=200x200&amp;data=""&amp;ENCODEURL(""https://wa.me/507""&amp;REGEXREPLACE(C1955,""[^0-9]"","""")&amp;""?text=""&amp;ENCODEURL(""Ya llegue. Codigo: ""&amp;A1955&amp;"". Ubicacion: ""&amp;""https://www.google.com/maps/search"&amp;"/?api=1&amp;query=""&amp;SUBSTITUTE(F1955,"" "",""""))),"""")"),"")</f>
        <v/>
      </c>
      <c r="M1955" s="5" t="str">
        <f t="shared" si="6"/>
        <v/>
      </c>
      <c r="N1955" s="5" t="str">
        <f>IFERROR(__xludf.DUMMYFUNCTION("IF(AND(F1955&lt;&gt;"""",REGEXMATCH(SUBSTITUTE(F1955,"" "",""""),""^-?\d+(\.\d+)?,-?\d+(\.\d+)?$""),VALUE(REGEXEXTRACT(SUBSTITUTE(F1955,"" "",""""),""^-?\d+(\.\d+)?""))&gt;=-90,VALUE(REGEXEXTRACT(SUBSTITUTE(F1955,"" "",""""),""^-?\d+(\.\d+)?""))&lt;=90,VALUE(REGEXEXT"&amp;"RACT(SUBSTITUTE(F1955,"" "",""""),""-?\d+(\.\d+)?$""))&gt;=-180,VALUE(REGEXEXTRACT(SUBSTITUTE(F1955,"" "",""""),""-?\d+(\.\d+)?$""))&lt;=180),""OK"",""REVISAR"")"),"#N/A")</f>
        <v>#N/A</v>
      </c>
    </row>
    <row r="1956" ht="15.75" customHeight="1">
      <c r="A1956" s="5" t="str">
        <f t="shared" si="1"/>
        <v>AD507-1954</v>
      </c>
      <c r="C1956" s="5"/>
      <c r="F1956" s="5"/>
      <c r="G1956" s="5" t="str">
        <f t="shared" si="2"/>
        <v/>
      </c>
      <c r="H1956" s="5" t="str">
        <f t="shared" si="3"/>
        <v/>
      </c>
      <c r="I1956" s="5" t="str">
        <f t="shared" si="4"/>
        <v/>
      </c>
      <c r="J1956" s="5" t="str">
        <f t="shared" si="5"/>
        <v/>
      </c>
      <c r="K1956" s="5" t="str">
        <f>IFERROR(__xludf.DUMMYFUNCTION("IF(C1956&lt;&gt;"""",HYPERLINK(""https://wa.me/507""&amp;REGEXREPLACE(C1956,""[^0-9]"","""")&amp;""?text=""&amp;ENCODEURL(""Ya llegue. Codigo: ""&amp;A1956&amp;"". Ubicacion: ""&amp;""https://www.google.com/maps/search/?api=1&amp;query=""&amp;SUBSTITUTE(F1956,"" "","""")),""📲 Avisar al clien"&amp;"te""),"""")"),"")</f>
        <v/>
      </c>
      <c r="L1956" s="5" t="str">
        <f>IFERROR(__xludf.DUMMYFUNCTION("IF(C1956&lt;&gt;"""",""https://api.qrserver.com/v1/create-qr-code/?size=200x200&amp;data=""&amp;ENCODEURL(""https://wa.me/507""&amp;REGEXREPLACE(C1956,""[^0-9]"","""")&amp;""?text=""&amp;ENCODEURL(""Ya llegue. Codigo: ""&amp;A1956&amp;"". Ubicacion: ""&amp;""https://www.google.com/maps/search"&amp;"/?api=1&amp;query=""&amp;SUBSTITUTE(F1956,"" "",""""))),"""")"),"")</f>
        <v/>
      </c>
      <c r="M1956" s="5" t="str">
        <f t="shared" si="6"/>
        <v/>
      </c>
      <c r="N1956" s="5" t="str">
        <f>IFERROR(__xludf.DUMMYFUNCTION("IF(AND(F1956&lt;&gt;"""",REGEXMATCH(SUBSTITUTE(F1956,"" "",""""),""^-?\d+(\.\d+)?,-?\d+(\.\d+)?$""),VALUE(REGEXEXTRACT(SUBSTITUTE(F1956,"" "",""""),""^-?\d+(\.\d+)?""))&gt;=-90,VALUE(REGEXEXTRACT(SUBSTITUTE(F1956,"" "",""""),""^-?\d+(\.\d+)?""))&lt;=90,VALUE(REGEXEXT"&amp;"RACT(SUBSTITUTE(F1956,"" "",""""),""-?\d+(\.\d+)?$""))&gt;=-180,VALUE(REGEXEXTRACT(SUBSTITUTE(F1956,"" "",""""),""-?\d+(\.\d+)?$""))&lt;=180),""OK"",""REVISAR"")"),"#N/A")</f>
        <v>#N/A</v>
      </c>
    </row>
    <row r="1957" ht="15.75" customHeight="1">
      <c r="A1957" s="5" t="str">
        <f t="shared" si="1"/>
        <v>AD507-1955</v>
      </c>
      <c r="C1957" s="5"/>
      <c r="F1957" s="5"/>
      <c r="G1957" s="5" t="str">
        <f t="shared" si="2"/>
        <v/>
      </c>
      <c r="H1957" s="5" t="str">
        <f t="shared" si="3"/>
        <v/>
      </c>
      <c r="I1957" s="5" t="str">
        <f t="shared" si="4"/>
        <v/>
      </c>
      <c r="J1957" s="5" t="str">
        <f t="shared" si="5"/>
        <v/>
      </c>
      <c r="K1957" s="5" t="str">
        <f>IFERROR(__xludf.DUMMYFUNCTION("IF(C1957&lt;&gt;"""",HYPERLINK(""https://wa.me/507""&amp;REGEXREPLACE(C1957,""[^0-9]"","""")&amp;""?text=""&amp;ENCODEURL(""Ya llegue. Codigo: ""&amp;A1957&amp;"". Ubicacion: ""&amp;""https://www.google.com/maps/search/?api=1&amp;query=""&amp;SUBSTITUTE(F1957,"" "","""")),""📲 Avisar al clien"&amp;"te""),"""")"),"")</f>
        <v/>
      </c>
      <c r="L1957" s="5" t="str">
        <f>IFERROR(__xludf.DUMMYFUNCTION("IF(C1957&lt;&gt;"""",""https://api.qrserver.com/v1/create-qr-code/?size=200x200&amp;data=""&amp;ENCODEURL(""https://wa.me/507""&amp;REGEXREPLACE(C1957,""[^0-9]"","""")&amp;""?text=""&amp;ENCODEURL(""Ya llegue. Codigo: ""&amp;A1957&amp;"". Ubicacion: ""&amp;""https://www.google.com/maps/search"&amp;"/?api=1&amp;query=""&amp;SUBSTITUTE(F1957,"" "",""""))),"""")"),"")</f>
        <v/>
      </c>
      <c r="M1957" s="5" t="str">
        <f t="shared" si="6"/>
        <v/>
      </c>
      <c r="N1957" s="5" t="str">
        <f>IFERROR(__xludf.DUMMYFUNCTION("IF(AND(F1957&lt;&gt;"""",REGEXMATCH(SUBSTITUTE(F1957,"" "",""""),""^-?\d+(\.\d+)?,-?\d+(\.\d+)?$""),VALUE(REGEXEXTRACT(SUBSTITUTE(F1957,"" "",""""),""^-?\d+(\.\d+)?""))&gt;=-90,VALUE(REGEXEXTRACT(SUBSTITUTE(F1957,"" "",""""),""^-?\d+(\.\d+)?""))&lt;=90,VALUE(REGEXEXT"&amp;"RACT(SUBSTITUTE(F1957,"" "",""""),""-?\d+(\.\d+)?$""))&gt;=-180,VALUE(REGEXEXTRACT(SUBSTITUTE(F1957,"" "",""""),""-?\d+(\.\d+)?$""))&lt;=180),""OK"",""REVISAR"")"),"#N/A")</f>
        <v>#N/A</v>
      </c>
    </row>
    <row r="1958" ht="15.75" customHeight="1">
      <c r="A1958" s="5" t="str">
        <f t="shared" si="1"/>
        <v>AD507-1956</v>
      </c>
      <c r="C1958" s="5"/>
      <c r="F1958" s="5"/>
      <c r="G1958" s="5" t="str">
        <f t="shared" si="2"/>
        <v/>
      </c>
      <c r="H1958" s="5" t="str">
        <f t="shared" si="3"/>
        <v/>
      </c>
      <c r="I1958" s="5" t="str">
        <f t="shared" si="4"/>
        <v/>
      </c>
      <c r="J1958" s="5" t="str">
        <f t="shared" si="5"/>
        <v/>
      </c>
      <c r="K1958" s="5" t="str">
        <f>IFERROR(__xludf.DUMMYFUNCTION("IF(C1958&lt;&gt;"""",HYPERLINK(""https://wa.me/507""&amp;REGEXREPLACE(C1958,""[^0-9]"","""")&amp;""?text=""&amp;ENCODEURL(""Ya llegue. Codigo: ""&amp;A1958&amp;"". Ubicacion: ""&amp;""https://www.google.com/maps/search/?api=1&amp;query=""&amp;SUBSTITUTE(F1958,"" "","""")),""📲 Avisar al clien"&amp;"te""),"""")"),"")</f>
        <v/>
      </c>
      <c r="L1958" s="5" t="str">
        <f>IFERROR(__xludf.DUMMYFUNCTION("IF(C1958&lt;&gt;"""",""https://api.qrserver.com/v1/create-qr-code/?size=200x200&amp;data=""&amp;ENCODEURL(""https://wa.me/507""&amp;REGEXREPLACE(C1958,""[^0-9]"","""")&amp;""?text=""&amp;ENCODEURL(""Ya llegue. Codigo: ""&amp;A1958&amp;"". Ubicacion: ""&amp;""https://www.google.com/maps/search"&amp;"/?api=1&amp;query=""&amp;SUBSTITUTE(F1958,"" "",""""))),"""")"),"")</f>
        <v/>
      </c>
      <c r="M1958" s="5" t="str">
        <f t="shared" si="6"/>
        <v/>
      </c>
      <c r="N1958" s="5" t="str">
        <f>IFERROR(__xludf.DUMMYFUNCTION("IF(AND(F1958&lt;&gt;"""",REGEXMATCH(SUBSTITUTE(F1958,"" "",""""),""^-?\d+(\.\d+)?,-?\d+(\.\d+)?$""),VALUE(REGEXEXTRACT(SUBSTITUTE(F1958,"" "",""""),""^-?\d+(\.\d+)?""))&gt;=-90,VALUE(REGEXEXTRACT(SUBSTITUTE(F1958,"" "",""""),""^-?\d+(\.\d+)?""))&lt;=90,VALUE(REGEXEXT"&amp;"RACT(SUBSTITUTE(F1958,"" "",""""),""-?\d+(\.\d+)?$""))&gt;=-180,VALUE(REGEXEXTRACT(SUBSTITUTE(F1958,"" "",""""),""-?\d+(\.\d+)?$""))&lt;=180),""OK"",""REVISAR"")"),"#N/A")</f>
        <v>#N/A</v>
      </c>
    </row>
    <row r="1959" ht="15.75" customHeight="1">
      <c r="A1959" s="5" t="str">
        <f t="shared" si="1"/>
        <v>AD507-1957</v>
      </c>
      <c r="C1959" s="5"/>
      <c r="F1959" s="5"/>
      <c r="G1959" s="5" t="str">
        <f t="shared" si="2"/>
        <v/>
      </c>
      <c r="H1959" s="5" t="str">
        <f t="shared" si="3"/>
        <v/>
      </c>
      <c r="I1959" s="5" t="str">
        <f t="shared" si="4"/>
        <v/>
      </c>
      <c r="J1959" s="5" t="str">
        <f t="shared" si="5"/>
        <v/>
      </c>
      <c r="K1959" s="5" t="str">
        <f>IFERROR(__xludf.DUMMYFUNCTION("IF(C1959&lt;&gt;"""",HYPERLINK(""https://wa.me/507""&amp;REGEXREPLACE(C1959,""[^0-9]"","""")&amp;""?text=""&amp;ENCODEURL(""Ya llegue. Codigo: ""&amp;A1959&amp;"". Ubicacion: ""&amp;""https://www.google.com/maps/search/?api=1&amp;query=""&amp;SUBSTITUTE(F1959,"" "","""")),""📲 Avisar al clien"&amp;"te""),"""")"),"")</f>
        <v/>
      </c>
      <c r="L1959" s="5" t="str">
        <f>IFERROR(__xludf.DUMMYFUNCTION("IF(C1959&lt;&gt;"""",""https://api.qrserver.com/v1/create-qr-code/?size=200x200&amp;data=""&amp;ENCODEURL(""https://wa.me/507""&amp;REGEXREPLACE(C1959,""[^0-9]"","""")&amp;""?text=""&amp;ENCODEURL(""Ya llegue. Codigo: ""&amp;A1959&amp;"". Ubicacion: ""&amp;""https://www.google.com/maps/search"&amp;"/?api=1&amp;query=""&amp;SUBSTITUTE(F1959,"" "",""""))),"""")"),"")</f>
        <v/>
      </c>
      <c r="M1959" s="5" t="str">
        <f t="shared" si="6"/>
        <v/>
      </c>
      <c r="N1959" s="5" t="str">
        <f>IFERROR(__xludf.DUMMYFUNCTION("IF(AND(F1959&lt;&gt;"""",REGEXMATCH(SUBSTITUTE(F1959,"" "",""""),""^-?\d+(\.\d+)?,-?\d+(\.\d+)?$""),VALUE(REGEXEXTRACT(SUBSTITUTE(F1959,"" "",""""),""^-?\d+(\.\d+)?""))&gt;=-90,VALUE(REGEXEXTRACT(SUBSTITUTE(F1959,"" "",""""),""^-?\d+(\.\d+)?""))&lt;=90,VALUE(REGEXEXT"&amp;"RACT(SUBSTITUTE(F1959,"" "",""""),""-?\d+(\.\d+)?$""))&gt;=-180,VALUE(REGEXEXTRACT(SUBSTITUTE(F1959,"" "",""""),""-?\d+(\.\d+)?$""))&lt;=180),""OK"",""REVISAR"")"),"#N/A")</f>
        <v>#N/A</v>
      </c>
    </row>
    <row r="1960" ht="15.75" customHeight="1">
      <c r="A1960" s="5" t="str">
        <f t="shared" si="1"/>
        <v>AD507-1958</v>
      </c>
      <c r="C1960" s="5"/>
      <c r="F1960" s="5"/>
      <c r="G1960" s="5" t="str">
        <f t="shared" si="2"/>
        <v/>
      </c>
      <c r="H1960" s="5" t="str">
        <f t="shared" si="3"/>
        <v/>
      </c>
      <c r="I1960" s="5" t="str">
        <f t="shared" si="4"/>
        <v/>
      </c>
      <c r="J1960" s="5" t="str">
        <f t="shared" si="5"/>
        <v/>
      </c>
      <c r="K1960" s="5" t="str">
        <f>IFERROR(__xludf.DUMMYFUNCTION("IF(C1960&lt;&gt;"""",HYPERLINK(""https://wa.me/507""&amp;REGEXREPLACE(C1960,""[^0-9]"","""")&amp;""?text=""&amp;ENCODEURL(""Ya llegue. Codigo: ""&amp;A1960&amp;"". Ubicacion: ""&amp;""https://www.google.com/maps/search/?api=1&amp;query=""&amp;SUBSTITUTE(F1960,"" "","""")),""📲 Avisar al clien"&amp;"te""),"""")"),"")</f>
        <v/>
      </c>
      <c r="L1960" s="5" t="str">
        <f>IFERROR(__xludf.DUMMYFUNCTION("IF(C1960&lt;&gt;"""",""https://api.qrserver.com/v1/create-qr-code/?size=200x200&amp;data=""&amp;ENCODEURL(""https://wa.me/507""&amp;REGEXREPLACE(C1960,""[^0-9]"","""")&amp;""?text=""&amp;ENCODEURL(""Ya llegue. Codigo: ""&amp;A1960&amp;"". Ubicacion: ""&amp;""https://www.google.com/maps/search"&amp;"/?api=1&amp;query=""&amp;SUBSTITUTE(F1960,"" "",""""))),"""")"),"")</f>
        <v/>
      </c>
      <c r="M1960" s="5" t="str">
        <f t="shared" si="6"/>
        <v/>
      </c>
      <c r="N1960" s="5" t="str">
        <f>IFERROR(__xludf.DUMMYFUNCTION("IF(AND(F1960&lt;&gt;"""",REGEXMATCH(SUBSTITUTE(F1960,"" "",""""),""^-?\d+(\.\d+)?,-?\d+(\.\d+)?$""),VALUE(REGEXEXTRACT(SUBSTITUTE(F1960,"" "",""""),""^-?\d+(\.\d+)?""))&gt;=-90,VALUE(REGEXEXTRACT(SUBSTITUTE(F1960,"" "",""""),""^-?\d+(\.\d+)?""))&lt;=90,VALUE(REGEXEXT"&amp;"RACT(SUBSTITUTE(F1960,"" "",""""),""-?\d+(\.\d+)?$""))&gt;=-180,VALUE(REGEXEXTRACT(SUBSTITUTE(F1960,"" "",""""),""-?\d+(\.\d+)?$""))&lt;=180),""OK"",""REVISAR"")"),"#N/A")</f>
        <v>#N/A</v>
      </c>
    </row>
    <row r="1961" ht="15.75" customHeight="1">
      <c r="A1961" s="5" t="str">
        <f t="shared" si="1"/>
        <v>AD507-1959</v>
      </c>
      <c r="C1961" s="5"/>
      <c r="F1961" s="5"/>
      <c r="G1961" s="5" t="str">
        <f t="shared" si="2"/>
        <v/>
      </c>
      <c r="H1961" s="5" t="str">
        <f t="shared" si="3"/>
        <v/>
      </c>
      <c r="I1961" s="5" t="str">
        <f t="shared" si="4"/>
        <v/>
      </c>
      <c r="J1961" s="5" t="str">
        <f t="shared" si="5"/>
        <v/>
      </c>
      <c r="K1961" s="5" t="str">
        <f>IFERROR(__xludf.DUMMYFUNCTION("IF(C1961&lt;&gt;"""",HYPERLINK(""https://wa.me/507""&amp;REGEXREPLACE(C1961,""[^0-9]"","""")&amp;""?text=""&amp;ENCODEURL(""Ya llegue. Codigo: ""&amp;A1961&amp;"". Ubicacion: ""&amp;""https://www.google.com/maps/search/?api=1&amp;query=""&amp;SUBSTITUTE(F1961,"" "","""")),""📲 Avisar al clien"&amp;"te""),"""")"),"")</f>
        <v/>
      </c>
      <c r="L1961" s="5" t="str">
        <f>IFERROR(__xludf.DUMMYFUNCTION("IF(C1961&lt;&gt;"""",""https://api.qrserver.com/v1/create-qr-code/?size=200x200&amp;data=""&amp;ENCODEURL(""https://wa.me/507""&amp;REGEXREPLACE(C1961,""[^0-9]"","""")&amp;""?text=""&amp;ENCODEURL(""Ya llegue. Codigo: ""&amp;A1961&amp;"". Ubicacion: ""&amp;""https://www.google.com/maps/search"&amp;"/?api=1&amp;query=""&amp;SUBSTITUTE(F1961,"" "",""""))),"""")"),"")</f>
        <v/>
      </c>
      <c r="M1961" s="5" t="str">
        <f t="shared" si="6"/>
        <v/>
      </c>
      <c r="N1961" s="5" t="str">
        <f>IFERROR(__xludf.DUMMYFUNCTION("IF(AND(F1961&lt;&gt;"""",REGEXMATCH(SUBSTITUTE(F1961,"" "",""""),""^-?\d+(\.\d+)?,-?\d+(\.\d+)?$""),VALUE(REGEXEXTRACT(SUBSTITUTE(F1961,"" "",""""),""^-?\d+(\.\d+)?""))&gt;=-90,VALUE(REGEXEXTRACT(SUBSTITUTE(F1961,"" "",""""),""^-?\d+(\.\d+)?""))&lt;=90,VALUE(REGEXEXT"&amp;"RACT(SUBSTITUTE(F1961,"" "",""""),""-?\d+(\.\d+)?$""))&gt;=-180,VALUE(REGEXEXTRACT(SUBSTITUTE(F1961,"" "",""""),""-?\d+(\.\d+)?$""))&lt;=180),""OK"",""REVISAR"")"),"#N/A")</f>
        <v>#N/A</v>
      </c>
    </row>
    <row r="1962" ht="15.75" customHeight="1">
      <c r="A1962" s="5" t="str">
        <f t="shared" si="1"/>
        <v>AD507-1960</v>
      </c>
      <c r="C1962" s="5"/>
      <c r="F1962" s="5"/>
      <c r="G1962" s="5" t="str">
        <f t="shared" si="2"/>
        <v/>
      </c>
      <c r="H1962" s="5" t="str">
        <f t="shared" si="3"/>
        <v/>
      </c>
      <c r="I1962" s="5" t="str">
        <f t="shared" si="4"/>
        <v/>
      </c>
      <c r="J1962" s="5" t="str">
        <f t="shared" si="5"/>
        <v/>
      </c>
      <c r="K1962" s="5" t="str">
        <f>IFERROR(__xludf.DUMMYFUNCTION("IF(C1962&lt;&gt;"""",HYPERLINK(""https://wa.me/507""&amp;REGEXREPLACE(C1962,""[^0-9]"","""")&amp;""?text=""&amp;ENCODEURL(""Ya llegue. Codigo: ""&amp;A1962&amp;"". Ubicacion: ""&amp;""https://www.google.com/maps/search/?api=1&amp;query=""&amp;SUBSTITUTE(F1962,"" "","""")),""📲 Avisar al clien"&amp;"te""),"""")"),"")</f>
        <v/>
      </c>
      <c r="L1962" s="5" t="str">
        <f>IFERROR(__xludf.DUMMYFUNCTION("IF(C1962&lt;&gt;"""",""https://api.qrserver.com/v1/create-qr-code/?size=200x200&amp;data=""&amp;ENCODEURL(""https://wa.me/507""&amp;REGEXREPLACE(C1962,""[^0-9]"","""")&amp;""?text=""&amp;ENCODEURL(""Ya llegue. Codigo: ""&amp;A1962&amp;"". Ubicacion: ""&amp;""https://www.google.com/maps/search"&amp;"/?api=1&amp;query=""&amp;SUBSTITUTE(F1962,"" "",""""))),"""")"),"")</f>
        <v/>
      </c>
      <c r="M1962" s="5" t="str">
        <f t="shared" si="6"/>
        <v/>
      </c>
      <c r="N1962" s="5" t="str">
        <f>IFERROR(__xludf.DUMMYFUNCTION("IF(AND(F1962&lt;&gt;"""",REGEXMATCH(SUBSTITUTE(F1962,"" "",""""),""^-?\d+(\.\d+)?,-?\d+(\.\d+)?$""),VALUE(REGEXEXTRACT(SUBSTITUTE(F1962,"" "",""""),""^-?\d+(\.\d+)?""))&gt;=-90,VALUE(REGEXEXTRACT(SUBSTITUTE(F1962,"" "",""""),""^-?\d+(\.\d+)?""))&lt;=90,VALUE(REGEXEXT"&amp;"RACT(SUBSTITUTE(F1962,"" "",""""),""-?\d+(\.\d+)?$""))&gt;=-180,VALUE(REGEXEXTRACT(SUBSTITUTE(F1962,"" "",""""),""-?\d+(\.\d+)?$""))&lt;=180),""OK"",""REVISAR"")"),"#N/A")</f>
        <v>#N/A</v>
      </c>
    </row>
    <row r="1963" ht="15.75" customHeight="1">
      <c r="A1963" s="5" t="str">
        <f t="shared" si="1"/>
        <v>AD507-1961</v>
      </c>
      <c r="C1963" s="5"/>
      <c r="F1963" s="5"/>
      <c r="G1963" s="5" t="str">
        <f t="shared" si="2"/>
        <v/>
      </c>
      <c r="H1963" s="5" t="str">
        <f t="shared" si="3"/>
        <v/>
      </c>
      <c r="I1963" s="5" t="str">
        <f t="shared" si="4"/>
        <v/>
      </c>
      <c r="J1963" s="5" t="str">
        <f t="shared" si="5"/>
        <v/>
      </c>
      <c r="K1963" s="5" t="str">
        <f>IFERROR(__xludf.DUMMYFUNCTION("IF(C1963&lt;&gt;"""",HYPERLINK(""https://wa.me/507""&amp;REGEXREPLACE(C1963,""[^0-9]"","""")&amp;""?text=""&amp;ENCODEURL(""Ya llegue. Codigo: ""&amp;A1963&amp;"". Ubicacion: ""&amp;""https://www.google.com/maps/search/?api=1&amp;query=""&amp;SUBSTITUTE(F1963,"" "","""")),""📲 Avisar al clien"&amp;"te""),"""")"),"")</f>
        <v/>
      </c>
      <c r="L1963" s="5" t="str">
        <f>IFERROR(__xludf.DUMMYFUNCTION("IF(C1963&lt;&gt;"""",""https://api.qrserver.com/v1/create-qr-code/?size=200x200&amp;data=""&amp;ENCODEURL(""https://wa.me/507""&amp;REGEXREPLACE(C1963,""[^0-9]"","""")&amp;""?text=""&amp;ENCODEURL(""Ya llegue. Codigo: ""&amp;A1963&amp;"". Ubicacion: ""&amp;""https://www.google.com/maps/search"&amp;"/?api=1&amp;query=""&amp;SUBSTITUTE(F1963,"" "",""""))),"""")"),"")</f>
        <v/>
      </c>
      <c r="M1963" s="5" t="str">
        <f t="shared" si="6"/>
        <v/>
      </c>
      <c r="N1963" s="5" t="str">
        <f>IFERROR(__xludf.DUMMYFUNCTION("IF(AND(F1963&lt;&gt;"""",REGEXMATCH(SUBSTITUTE(F1963,"" "",""""),""^-?\d+(\.\d+)?,-?\d+(\.\d+)?$""),VALUE(REGEXEXTRACT(SUBSTITUTE(F1963,"" "",""""),""^-?\d+(\.\d+)?""))&gt;=-90,VALUE(REGEXEXTRACT(SUBSTITUTE(F1963,"" "",""""),""^-?\d+(\.\d+)?""))&lt;=90,VALUE(REGEXEXT"&amp;"RACT(SUBSTITUTE(F1963,"" "",""""),""-?\d+(\.\d+)?$""))&gt;=-180,VALUE(REGEXEXTRACT(SUBSTITUTE(F1963,"" "",""""),""-?\d+(\.\d+)?$""))&lt;=180),""OK"",""REVISAR"")"),"#N/A")</f>
        <v>#N/A</v>
      </c>
    </row>
    <row r="1964" ht="15.75" customHeight="1">
      <c r="A1964" s="5" t="str">
        <f t="shared" si="1"/>
        <v>AD507-1962</v>
      </c>
      <c r="C1964" s="5"/>
      <c r="F1964" s="5"/>
      <c r="G1964" s="5" t="str">
        <f t="shared" si="2"/>
        <v/>
      </c>
      <c r="H1964" s="5" t="str">
        <f t="shared" si="3"/>
        <v/>
      </c>
      <c r="I1964" s="5" t="str">
        <f t="shared" si="4"/>
        <v/>
      </c>
      <c r="J1964" s="5" t="str">
        <f t="shared" si="5"/>
        <v/>
      </c>
      <c r="K1964" s="5" t="str">
        <f>IFERROR(__xludf.DUMMYFUNCTION("IF(C1964&lt;&gt;"""",HYPERLINK(""https://wa.me/507""&amp;REGEXREPLACE(C1964,""[^0-9]"","""")&amp;""?text=""&amp;ENCODEURL(""Ya llegue. Codigo: ""&amp;A1964&amp;"". Ubicacion: ""&amp;""https://www.google.com/maps/search/?api=1&amp;query=""&amp;SUBSTITUTE(F1964,"" "","""")),""📲 Avisar al clien"&amp;"te""),"""")"),"")</f>
        <v/>
      </c>
      <c r="L1964" s="5" t="str">
        <f>IFERROR(__xludf.DUMMYFUNCTION("IF(C1964&lt;&gt;"""",""https://api.qrserver.com/v1/create-qr-code/?size=200x200&amp;data=""&amp;ENCODEURL(""https://wa.me/507""&amp;REGEXREPLACE(C1964,""[^0-9]"","""")&amp;""?text=""&amp;ENCODEURL(""Ya llegue. Codigo: ""&amp;A1964&amp;"". Ubicacion: ""&amp;""https://www.google.com/maps/search"&amp;"/?api=1&amp;query=""&amp;SUBSTITUTE(F1964,"" "",""""))),"""")"),"")</f>
        <v/>
      </c>
      <c r="M1964" s="5" t="str">
        <f t="shared" si="6"/>
        <v/>
      </c>
      <c r="N1964" s="5" t="str">
        <f>IFERROR(__xludf.DUMMYFUNCTION("IF(AND(F1964&lt;&gt;"""",REGEXMATCH(SUBSTITUTE(F1964,"" "",""""),""^-?\d+(\.\d+)?,-?\d+(\.\d+)?$""),VALUE(REGEXEXTRACT(SUBSTITUTE(F1964,"" "",""""),""^-?\d+(\.\d+)?""))&gt;=-90,VALUE(REGEXEXTRACT(SUBSTITUTE(F1964,"" "",""""),""^-?\d+(\.\d+)?""))&lt;=90,VALUE(REGEXEXT"&amp;"RACT(SUBSTITUTE(F1964,"" "",""""),""-?\d+(\.\d+)?$""))&gt;=-180,VALUE(REGEXEXTRACT(SUBSTITUTE(F1964,"" "",""""),""-?\d+(\.\d+)?$""))&lt;=180),""OK"",""REVISAR"")"),"#N/A")</f>
        <v>#N/A</v>
      </c>
    </row>
    <row r="1965" ht="15.75" customHeight="1">
      <c r="A1965" s="5" t="str">
        <f t="shared" si="1"/>
        <v>AD507-1963</v>
      </c>
      <c r="C1965" s="5"/>
      <c r="F1965" s="5"/>
      <c r="G1965" s="5" t="str">
        <f t="shared" si="2"/>
        <v/>
      </c>
      <c r="H1965" s="5" t="str">
        <f t="shared" si="3"/>
        <v/>
      </c>
      <c r="I1965" s="5" t="str">
        <f t="shared" si="4"/>
        <v/>
      </c>
      <c r="J1965" s="5" t="str">
        <f t="shared" si="5"/>
        <v/>
      </c>
      <c r="K1965" s="5" t="str">
        <f>IFERROR(__xludf.DUMMYFUNCTION("IF(C1965&lt;&gt;"""",HYPERLINK(""https://wa.me/507""&amp;REGEXREPLACE(C1965,""[^0-9]"","""")&amp;""?text=""&amp;ENCODEURL(""Ya llegue. Codigo: ""&amp;A1965&amp;"". Ubicacion: ""&amp;""https://www.google.com/maps/search/?api=1&amp;query=""&amp;SUBSTITUTE(F1965,"" "","""")),""📲 Avisar al clien"&amp;"te""),"""")"),"")</f>
        <v/>
      </c>
      <c r="L1965" s="5" t="str">
        <f>IFERROR(__xludf.DUMMYFUNCTION("IF(C1965&lt;&gt;"""",""https://api.qrserver.com/v1/create-qr-code/?size=200x200&amp;data=""&amp;ENCODEURL(""https://wa.me/507""&amp;REGEXREPLACE(C1965,""[^0-9]"","""")&amp;""?text=""&amp;ENCODEURL(""Ya llegue. Codigo: ""&amp;A1965&amp;"". Ubicacion: ""&amp;""https://www.google.com/maps/search"&amp;"/?api=1&amp;query=""&amp;SUBSTITUTE(F1965,"" "",""""))),"""")"),"")</f>
        <v/>
      </c>
      <c r="M1965" s="5" t="str">
        <f t="shared" si="6"/>
        <v/>
      </c>
      <c r="N1965" s="5" t="str">
        <f>IFERROR(__xludf.DUMMYFUNCTION("IF(AND(F1965&lt;&gt;"""",REGEXMATCH(SUBSTITUTE(F1965,"" "",""""),""^-?\d+(\.\d+)?,-?\d+(\.\d+)?$""),VALUE(REGEXEXTRACT(SUBSTITUTE(F1965,"" "",""""),""^-?\d+(\.\d+)?""))&gt;=-90,VALUE(REGEXEXTRACT(SUBSTITUTE(F1965,"" "",""""),""^-?\d+(\.\d+)?""))&lt;=90,VALUE(REGEXEXT"&amp;"RACT(SUBSTITUTE(F1965,"" "",""""),""-?\d+(\.\d+)?$""))&gt;=-180,VALUE(REGEXEXTRACT(SUBSTITUTE(F1965,"" "",""""),""-?\d+(\.\d+)?$""))&lt;=180),""OK"",""REVISAR"")"),"#N/A")</f>
        <v>#N/A</v>
      </c>
    </row>
    <row r="1966" ht="15.75" customHeight="1">
      <c r="A1966" s="5" t="str">
        <f t="shared" si="1"/>
        <v>AD507-1964</v>
      </c>
      <c r="C1966" s="5"/>
      <c r="F1966" s="5"/>
      <c r="G1966" s="5" t="str">
        <f t="shared" si="2"/>
        <v/>
      </c>
      <c r="H1966" s="5" t="str">
        <f t="shared" si="3"/>
        <v/>
      </c>
      <c r="I1966" s="5" t="str">
        <f t="shared" si="4"/>
        <v/>
      </c>
      <c r="J1966" s="5" t="str">
        <f t="shared" si="5"/>
        <v/>
      </c>
      <c r="K1966" s="5" t="str">
        <f>IFERROR(__xludf.DUMMYFUNCTION("IF(C1966&lt;&gt;"""",HYPERLINK(""https://wa.me/507""&amp;REGEXREPLACE(C1966,""[^0-9]"","""")&amp;""?text=""&amp;ENCODEURL(""Ya llegue. Codigo: ""&amp;A1966&amp;"". Ubicacion: ""&amp;""https://www.google.com/maps/search/?api=1&amp;query=""&amp;SUBSTITUTE(F1966,"" "","""")),""📲 Avisar al clien"&amp;"te""),"""")"),"")</f>
        <v/>
      </c>
      <c r="L1966" s="5" t="str">
        <f>IFERROR(__xludf.DUMMYFUNCTION("IF(C1966&lt;&gt;"""",""https://api.qrserver.com/v1/create-qr-code/?size=200x200&amp;data=""&amp;ENCODEURL(""https://wa.me/507""&amp;REGEXREPLACE(C1966,""[^0-9]"","""")&amp;""?text=""&amp;ENCODEURL(""Ya llegue. Codigo: ""&amp;A1966&amp;"". Ubicacion: ""&amp;""https://www.google.com/maps/search"&amp;"/?api=1&amp;query=""&amp;SUBSTITUTE(F1966,"" "",""""))),"""")"),"")</f>
        <v/>
      </c>
      <c r="M1966" s="5" t="str">
        <f t="shared" si="6"/>
        <v/>
      </c>
      <c r="N1966" s="5" t="str">
        <f>IFERROR(__xludf.DUMMYFUNCTION("IF(AND(F1966&lt;&gt;"""",REGEXMATCH(SUBSTITUTE(F1966,"" "",""""),""^-?\d+(\.\d+)?,-?\d+(\.\d+)?$""),VALUE(REGEXEXTRACT(SUBSTITUTE(F1966,"" "",""""),""^-?\d+(\.\d+)?""))&gt;=-90,VALUE(REGEXEXTRACT(SUBSTITUTE(F1966,"" "",""""),""^-?\d+(\.\d+)?""))&lt;=90,VALUE(REGEXEXT"&amp;"RACT(SUBSTITUTE(F1966,"" "",""""),""-?\d+(\.\d+)?$""))&gt;=-180,VALUE(REGEXEXTRACT(SUBSTITUTE(F1966,"" "",""""),""-?\d+(\.\d+)?$""))&lt;=180),""OK"",""REVISAR"")"),"#N/A")</f>
        <v>#N/A</v>
      </c>
    </row>
    <row r="1967" ht="15.75" customHeight="1">
      <c r="A1967" s="5" t="str">
        <f t="shared" si="1"/>
        <v>AD507-1965</v>
      </c>
      <c r="C1967" s="5"/>
      <c r="F1967" s="5"/>
      <c r="G1967" s="5" t="str">
        <f t="shared" si="2"/>
        <v/>
      </c>
      <c r="H1967" s="5" t="str">
        <f t="shared" si="3"/>
        <v/>
      </c>
      <c r="I1967" s="5" t="str">
        <f t="shared" si="4"/>
        <v/>
      </c>
      <c r="J1967" s="5" t="str">
        <f t="shared" si="5"/>
        <v/>
      </c>
      <c r="K1967" s="5" t="str">
        <f>IFERROR(__xludf.DUMMYFUNCTION("IF(C1967&lt;&gt;"""",HYPERLINK(""https://wa.me/507""&amp;REGEXREPLACE(C1967,""[^0-9]"","""")&amp;""?text=""&amp;ENCODEURL(""Ya llegue. Codigo: ""&amp;A1967&amp;"". Ubicacion: ""&amp;""https://www.google.com/maps/search/?api=1&amp;query=""&amp;SUBSTITUTE(F1967,"" "","""")),""📲 Avisar al clien"&amp;"te""),"""")"),"")</f>
        <v/>
      </c>
      <c r="L1967" s="5" t="str">
        <f>IFERROR(__xludf.DUMMYFUNCTION("IF(C1967&lt;&gt;"""",""https://api.qrserver.com/v1/create-qr-code/?size=200x200&amp;data=""&amp;ENCODEURL(""https://wa.me/507""&amp;REGEXREPLACE(C1967,""[^0-9]"","""")&amp;""?text=""&amp;ENCODEURL(""Ya llegue. Codigo: ""&amp;A1967&amp;"". Ubicacion: ""&amp;""https://www.google.com/maps/search"&amp;"/?api=1&amp;query=""&amp;SUBSTITUTE(F1967,"" "",""""))),"""")"),"")</f>
        <v/>
      </c>
      <c r="M1967" s="5" t="str">
        <f t="shared" si="6"/>
        <v/>
      </c>
      <c r="N1967" s="5" t="str">
        <f>IFERROR(__xludf.DUMMYFUNCTION("IF(AND(F1967&lt;&gt;"""",REGEXMATCH(SUBSTITUTE(F1967,"" "",""""),""^-?\d+(\.\d+)?,-?\d+(\.\d+)?$""),VALUE(REGEXEXTRACT(SUBSTITUTE(F1967,"" "",""""),""^-?\d+(\.\d+)?""))&gt;=-90,VALUE(REGEXEXTRACT(SUBSTITUTE(F1967,"" "",""""),""^-?\d+(\.\d+)?""))&lt;=90,VALUE(REGEXEXT"&amp;"RACT(SUBSTITUTE(F1967,"" "",""""),""-?\d+(\.\d+)?$""))&gt;=-180,VALUE(REGEXEXTRACT(SUBSTITUTE(F1967,"" "",""""),""-?\d+(\.\d+)?$""))&lt;=180),""OK"",""REVISAR"")"),"#N/A")</f>
        <v>#N/A</v>
      </c>
    </row>
    <row r="1968" ht="15.75" customHeight="1">
      <c r="A1968" s="5" t="str">
        <f t="shared" si="1"/>
        <v>AD507-1966</v>
      </c>
      <c r="C1968" s="5"/>
      <c r="F1968" s="5"/>
      <c r="G1968" s="5" t="str">
        <f t="shared" si="2"/>
        <v/>
      </c>
      <c r="H1968" s="5" t="str">
        <f t="shared" si="3"/>
        <v/>
      </c>
      <c r="I1968" s="5" t="str">
        <f t="shared" si="4"/>
        <v/>
      </c>
      <c r="J1968" s="5" t="str">
        <f t="shared" si="5"/>
        <v/>
      </c>
      <c r="K1968" s="5" t="str">
        <f>IFERROR(__xludf.DUMMYFUNCTION("IF(C1968&lt;&gt;"""",HYPERLINK(""https://wa.me/507""&amp;REGEXREPLACE(C1968,""[^0-9]"","""")&amp;""?text=""&amp;ENCODEURL(""Ya llegue. Codigo: ""&amp;A1968&amp;"". Ubicacion: ""&amp;""https://www.google.com/maps/search/?api=1&amp;query=""&amp;SUBSTITUTE(F1968,"" "","""")),""📲 Avisar al clien"&amp;"te""),"""")"),"")</f>
        <v/>
      </c>
      <c r="L1968" s="5" t="str">
        <f>IFERROR(__xludf.DUMMYFUNCTION("IF(C1968&lt;&gt;"""",""https://api.qrserver.com/v1/create-qr-code/?size=200x200&amp;data=""&amp;ENCODEURL(""https://wa.me/507""&amp;REGEXREPLACE(C1968,""[^0-9]"","""")&amp;""?text=""&amp;ENCODEURL(""Ya llegue. Codigo: ""&amp;A1968&amp;"". Ubicacion: ""&amp;""https://www.google.com/maps/search"&amp;"/?api=1&amp;query=""&amp;SUBSTITUTE(F1968,"" "",""""))),"""")"),"")</f>
        <v/>
      </c>
      <c r="M1968" s="5" t="str">
        <f t="shared" si="6"/>
        <v/>
      </c>
      <c r="N1968" s="5" t="str">
        <f>IFERROR(__xludf.DUMMYFUNCTION("IF(AND(F1968&lt;&gt;"""",REGEXMATCH(SUBSTITUTE(F1968,"" "",""""),""^-?\d+(\.\d+)?,-?\d+(\.\d+)?$""),VALUE(REGEXEXTRACT(SUBSTITUTE(F1968,"" "",""""),""^-?\d+(\.\d+)?""))&gt;=-90,VALUE(REGEXEXTRACT(SUBSTITUTE(F1968,"" "",""""),""^-?\d+(\.\d+)?""))&lt;=90,VALUE(REGEXEXT"&amp;"RACT(SUBSTITUTE(F1968,"" "",""""),""-?\d+(\.\d+)?$""))&gt;=-180,VALUE(REGEXEXTRACT(SUBSTITUTE(F1968,"" "",""""),""-?\d+(\.\d+)?$""))&lt;=180),""OK"",""REVISAR"")"),"#N/A")</f>
        <v>#N/A</v>
      </c>
    </row>
    <row r="1969" ht="15.75" customHeight="1">
      <c r="A1969" s="5" t="str">
        <f t="shared" si="1"/>
        <v>AD507-1967</v>
      </c>
      <c r="C1969" s="5"/>
      <c r="F1969" s="5"/>
      <c r="G1969" s="5" t="str">
        <f t="shared" si="2"/>
        <v/>
      </c>
      <c r="H1969" s="5" t="str">
        <f t="shared" si="3"/>
        <v/>
      </c>
      <c r="I1969" s="5" t="str">
        <f t="shared" si="4"/>
        <v/>
      </c>
      <c r="J1969" s="5" t="str">
        <f t="shared" si="5"/>
        <v/>
      </c>
      <c r="K1969" s="5" t="str">
        <f>IFERROR(__xludf.DUMMYFUNCTION("IF(C1969&lt;&gt;"""",HYPERLINK(""https://wa.me/507""&amp;REGEXREPLACE(C1969,""[^0-9]"","""")&amp;""?text=""&amp;ENCODEURL(""Ya llegue. Codigo: ""&amp;A1969&amp;"". Ubicacion: ""&amp;""https://www.google.com/maps/search/?api=1&amp;query=""&amp;SUBSTITUTE(F1969,"" "","""")),""📲 Avisar al clien"&amp;"te""),"""")"),"")</f>
        <v/>
      </c>
      <c r="L1969" s="5" t="str">
        <f>IFERROR(__xludf.DUMMYFUNCTION("IF(C1969&lt;&gt;"""",""https://api.qrserver.com/v1/create-qr-code/?size=200x200&amp;data=""&amp;ENCODEURL(""https://wa.me/507""&amp;REGEXREPLACE(C1969,""[^0-9]"","""")&amp;""?text=""&amp;ENCODEURL(""Ya llegue. Codigo: ""&amp;A1969&amp;"". Ubicacion: ""&amp;""https://www.google.com/maps/search"&amp;"/?api=1&amp;query=""&amp;SUBSTITUTE(F1969,"" "",""""))),"""")"),"")</f>
        <v/>
      </c>
      <c r="M1969" s="5" t="str">
        <f t="shared" si="6"/>
        <v/>
      </c>
      <c r="N1969" s="5" t="str">
        <f>IFERROR(__xludf.DUMMYFUNCTION("IF(AND(F1969&lt;&gt;"""",REGEXMATCH(SUBSTITUTE(F1969,"" "",""""),""^-?\d+(\.\d+)?,-?\d+(\.\d+)?$""),VALUE(REGEXEXTRACT(SUBSTITUTE(F1969,"" "",""""),""^-?\d+(\.\d+)?""))&gt;=-90,VALUE(REGEXEXTRACT(SUBSTITUTE(F1969,"" "",""""),""^-?\d+(\.\d+)?""))&lt;=90,VALUE(REGEXEXT"&amp;"RACT(SUBSTITUTE(F1969,"" "",""""),""-?\d+(\.\d+)?$""))&gt;=-180,VALUE(REGEXEXTRACT(SUBSTITUTE(F1969,"" "",""""),""-?\d+(\.\d+)?$""))&lt;=180),""OK"",""REVISAR"")"),"#N/A")</f>
        <v>#N/A</v>
      </c>
    </row>
    <row r="1970" ht="15.75" customHeight="1">
      <c r="A1970" s="5" t="str">
        <f t="shared" si="1"/>
        <v>AD507-1968</v>
      </c>
      <c r="C1970" s="5"/>
      <c r="F1970" s="5"/>
      <c r="G1970" s="5" t="str">
        <f t="shared" si="2"/>
        <v/>
      </c>
      <c r="H1970" s="5" t="str">
        <f t="shared" si="3"/>
        <v/>
      </c>
      <c r="I1970" s="5" t="str">
        <f t="shared" si="4"/>
        <v/>
      </c>
      <c r="J1970" s="5" t="str">
        <f t="shared" si="5"/>
        <v/>
      </c>
      <c r="K1970" s="5" t="str">
        <f>IFERROR(__xludf.DUMMYFUNCTION("IF(C1970&lt;&gt;"""",HYPERLINK(""https://wa.me/507""&amp;REGEXREPLACE(C1970,""[^0-9]"","""")&amp;""?text=""&amp;ENCODEURL(""Ya llegue. Codigo: ""&amp;A1970&amp;"". Ubicacion: ""&amp;""https://www.google.com/maps/search/?api=1&amp;query=""&amp;SUBSTITUTE(F1970,"" "","""")),""📲 Avisar al clien"&amp;"te""),"""")"),"")</f>
        <v/>
      </c>
      <c r="L1970" s="5" t="str">
        <f>IFERROR(__xludf.DUMMYFUNCTION("IF(C1970&lt;&gt;"""",""https://api.qrserver.com/v1/create-qr-code/?size=200x200&amp;data=""&amp;ENCODEURL(""https://wa.me/507""&amp;REGEXREPLACE(C1970,""[^0-9]"","""")&amp;""?text=""&amp;ENCODEURL(""Ya llegue. Codigo: ""&amp;A1970&amp;"". Ubicacion: ""&amp;""https://www.google.com/maps/search"&amp;"/?api=1&amp;query=""&amp;SUBSTITUTE(F1970,"" "",""""))),"""")"),"")</f>
        <v/>
      </c>
      <c r="M1970" s="5" t="str">
        <f t="shared" si="6"/>
        <v/>
      </c>
      <c r="N1970" s="5" t="str">
        <f>IFERROR(__xludf.DUMMYFUNCTION("IF(AND(F1970&lt;&gt;"""",REGEXMATCH(SUBSTITUTE(F1970,"" "",""""),""^-?\d+(\.\d+)?,-?\d+(\.\d+)?$""),VALUE(REGEXEXTRACT(SUBSTITUTE(F1970,"" "",""""),""^-?\d+(\.\d+)?""))&gt;=-90,VALUE(REGEXEXTRACT(SUBSTITUTE(F1970,"" "",""""),""^-?\d+(\.\d+)?""))&lt;=90,VALUE(REGEXEXT"&amp;"RACT(SUBSTITUTE(F1970,"" "",""""),""-?\d+(\.\d+)?$""))&gt;=-180,VALUE(REGEXEXTRACT(SUBSTITUTE(F1970,"" "",""""),""-?\d+(\.\d+)?$""))&lt;=180),""OK"",""REVISAR"")"),"#N/A")</f>
        <v>#N/A</v>
      </c>
    </row>
    <row r="1971" ht="15.75" customHeight="1">
      <c r="A1971" s="5" t="str">
        <f t="shared" si="1"/>
        <v>AD507-1969</v>
      </c>
      <c r="C1971" s="5"/>
      <c r="F1971" s="5"/>
      <c r="G1971" s="5" t="str">
        <f t="shared" si="2"/>
        <v/>
      </c>
      <c r="H1971" s="5" t="str">
        <f t="shared" si="3"/>
        <v/>
      </c>
      <c r="I1971" s="5" t="str">
        <f t="shared" si="4"/>
        <v/>
      </c>
      <c r="J1971" s="5" t="str">
        <f t="shared" si="5"/>
        <v/>
      </c>
      <c r="K1971" s="5" t="str">
        <f>IFERROR(__xludf.DUMMYFUNCTION("IF(C1971&lt;&gt;"""",HYPERLINK(""https://wa.me/507""&amp;REGEXREPLACE(C1971,""[^0-9]"","""")&amp;""?text=""&amp;ENCODEURL(""Ya llegue. Codigo: ""&amp;A1971&amp;"". Ubicacion: ""&amp;""https://www.google.com/maps/search/?api=1&amp;query=""&amp;SUBSTITUTE(F1971,"" "","""")),""📲 Avisar al clien"&amp;"te""),"""")"),"")</f>
        <v/>
      </c>
      <c r="L1971" s="5" t="str">
        <f>IFERROR(__xludf.DUMMYFUNCTION("IF(C1971&lt;&gt;"""",""https://api.qrserver.com/v1/create-qr-code/?size=200x200&amp;data=""&amp;ENCODEURL(""https://wa.me/507""&amp;REGEXREPLACE(C1971,""[^0-9]"","""")&amp;""?text=""&amp;ENCODEURL(""Ya llegue. Codigo: ""&amp;A1971&amp;"". Ubicacion: ""&amp;""https://www.google.com/maps/search"&amp;"/?api=1&amp;query=""&amp;SUBSTITUTE(F1971,"" "",""""))),"""")"),"")</f>
        <v/>
      </c>
      <c r="M1971" s="5" t="str">
        <f t="shared" si="6"/>
        <v/>
      </c>
      <c r="N1971" s="5" t="str">
        <f>IFERROR(__xludf.DUMMYFUNCTION("IF(AND(F1971&lt;&gt;"""",REGEXMATCH(SUBSTITUTE(F1971,"" "",""""),""^-?\d+(\.\d+)?,-?\d+(\.\d+)?$""),VALUE(REGEXEXTRACT(SUBSTITUTE(F1971,"" "",""""),""^-?\d+(\.\d+)?""))&gt;=-90,VALUE(REGEXEXTRACT(SUBSTITUTE(F1971,"" "",""""),""^-?\d+(\.\d+)?""))&lt;=90,VALUE(REGEXEXT"&amp;"RACT(SUBSTITUTE(F1971,"" "",""""),""-?\d+(\.\d+)?$""))&gt;=-180,VALUE(REGEXEXTRACT(SUBSTITUTE(F1971,"" "",""""),""-?\d+(\.\d+)?$""))&lt;=180),""OK"",""REVISAR"")"),"#N/A")</f>
        <v>#N/A</v>
      </c>
    </row>
    <row r="1972" ht="15.75" customHeight="1">
      <c r="A1972" s="5" t="str">
        <f t="shared" si="1"/>
        <v>AD507-1970</v>
      </c>
      <c r="C1972" s="5"/>
      <c r="F1972" s="5"/>
      <c r="G1972" s="5" t="str">
        <f t="shared" si="2"/>
        <v/>
      </c>
      <c r="H1972" s="5" t="str">
        <f t="shared" si="3"/>
        <v/>
      </c>
      <c r="I1972" s="5" t="str">
        <f t="shared" si="4"/>
        <v/>
      </c>
      <c r="J1972" s="5" t="str">
        <f t="shared" si="5"/>
        <v/>
      </c>
      <c r="K1972" s="5" t="str">
        <f>IFERROR(__xludf.DUMMYFUNCTION("IF(C1972&lt;&gt;"""",HYPERLINK(""https://wa.me/507""&amp;REGEXREPLACE(C1972,""[^0-9]"","""")&amp;""?text=""&amp;ENCODEURL(""Ya llegue. Codigo: ""&amp;A1972&amp;"". Ubicacion: ""&amp;""https://www.google.com/maps/search/?api=1&amp;query=""&amp;SUBSTITUTE(F1972,"" "","""")),""📲 Avisar al clien"&amp;"te""),"""")"),"")</f>
        <v/>
      </c>
      <c r="L1972" s="5" t="str">
        <f>IFERROR(__xludf.DUMMYFUNCTION("IF(C1972&lt;&gt;"""",""https://api.qrserver.com/v1/create-qr-code/?size=200x200&amp;data=""&amp;ENCODEURL(""https://wa.me/507""&amp;REGEXREPLACE(C1972,""[^0-9]"","""")&amp;""?text=""&amp;ENCODEURL(""Ya llegue. Codigo: ""&amp;A1972&amp;"". Ubicacion: ""&amp;""https://www.google.com/maps/search"&amp;"/?api=1&amp;query=""&amp;SUBSTITUTE(F1972,"" "",""""))),"""")"),"")</f>
        <v/>
      </c>
      <c r="M1972" s="5" t="str">
        <f t="shared" si="6"/>
        <v/>
      </c>
      <c r="N1972" s="5" t="str">
        <f>IFERROR(__xludf.DUMMYFUNCTION("IF(AND(F1972&lt;&gt;"""",REGEXMATCH(SUBSTITUTE(F1972,"" "",""""),""^-?\d+(\.\d+)?,-?\d+(\.\d+)?$""),VALUE(REGEXEXTRACT(SUBSTITUTE(F1972,"" "",""""),""^-?\d+(\.\d+)?""))&gt;=-90,VALUE(REGEXEXTRACT(SUBSTITUTE(F1972,"" "",""""),""^-?\d+(\.\d+)?""))&lt;=90,VALUE(REGEXEXT"&amp;"RACT(SUBSTITUTE(F1972,"" "",""""),""-?\d+(\.\d+)?$""))&gt;=-180,VALUE(REGEXEXTRACT(SUBSTITUTE(F1972,"" "",""""),""-?\d+(\.\d+)?$""))&lt;=180),""OK"",""REVISAR"")"),"#N/A")</f>
        <v>#N/A</v>
      </c>
    </row>
    <row r="1973" ht="15.75" customHeight="1">
      <c r="A1973" s="5" t="str">
        <f t="shared" si="1"/>
        <v>AD507-1971</v>
      </c>
      <c r="C1973" s="5"/>
      <c r="F1973" s="5"/>
      <c r="G1973" s="5" t="str">
        <f t="shared" si="2"/>
        <v/>
      </c>
      <c r="H1973" s="5" t="str">
        <f t="shared" si="3"/>
        <v/>
      </c>
      <c r="I1973" s="5" t="str">
        <f t="shared" si="4"/>
        <v/>
      </c>
      <c r="J1973" s="5" t="str">
        <f t="shared" si="5"/>
        <v/>
      </c>
      <c r="K1973" s="5" t="str">
        <f>IFERROR(__xludf.DUMMYFUNCTION("IF(C1973&lt;&gt;"""",HYPERLINK(""https://wa.me/507""&amp;REGEXREPLACE(C1973,""[^0-9]"","""")&amp;""?text=""&amp;ENCODEURL(""Ya llegue. Codigo: ""&amp;A1973&amp;"". Ubicacion: ""&amp;""https://www.google.com/maps/search/?api=1&amp;query=""&amp;SUBSTITUTE(F1973,"" "","""")),""📲 Avisar al clien"&amp;"te""),"""")"),"")</f>
        <v/>
      </c>
      <c r="L1973" s="5" t="str">
        <f>IFERROR(__xludf.DUMMYFUNCTION("IF(C1973&lt;&gt;"""",""https://api.qrserver.com/v1/create-qr-code/?size=200x200&amp;data=""&amp;ENCODEURL(""https://wa.me/507""&amp;REGEXREPLACE(C1973,""[^0-9]"","""")&amp;""?text=""&amp;ENCODEURL(""Ya llegue. Codigo: ""&amp;A1973&amp;"". Ubicacion: ""&amp;""https://www.google.com/maps/search"&amp;"/?api=1&amp;query=""&amp;SUBSTITUTE(F1973,"" "",""""))),"""")"),"")</f>
        <v/>
      </c>
      <c r="M1973" s="5" t="str">
        <f t="shared" si="6"/>
        <v/>
      </c>
      <c r="N1973" s="5" t="str">
        <f>IFERROR(__xludf.DUMMYFUNCTION("IF(AND(F1973&lt;&gt;"""",REGEXMATCH(SUBSTITUTE(F1973,"" "",""""),""^-?\d+(\.\d+)?,-?\d+(\.\d+)?$""),VALUE(REGEXEXTRACT(SUBSTITUTE(F1973,"" "",""""),""^-?\d+(\.\d+)?""))&gt;=-90,VALUE(REGEXEXTRACT(SUBSTITUTE(F1973,"" "",""""),""^-?\d+(\.\d+)?""))&lt;=90,VALUE(REGEXEXT"&amp;"RACT(SUBSTITUTE(F1973,"" "",""""),""-?\d+(\.\d+)?$""))&gt;=-180,VALUE(REGEXEXTRACT(SUBSTITUTE(F1973,"" "",""""),""-?\d+(\.\d+)?$""))&lt;=180),""OK"",""REVISAR"")"),"#N/A")</f>
        <v>#N/A</v>
      </c>
    </row>
    <row r="1974" ht="15.75" customHeight="1">
      <c r="A1974" s="5" t="str">
        <f t="shared" si="1"/>
        <v>AD507-1972</v>
      </c>
      <c r="C1974" s="5"/>
      <c r="F1974" s="5"/>
      <c r="G1974" s="5" t="str">
        <f t="shared" si="2"/>
        <v/>
      </c>
      <c r="H1974" s="5" t="str">
        <f t="shared" si="3"/>
        <v/>
      </c>
      <c r="I1974" s="5" t="str">
        <f t="shared" si="4"/>
        <v/>
      </c>
      <c r="J1974" s="5" t="str">
        <f t="shared" si="5"/>
        <v/>
      </c>
      <c r="K1974" s="5" t="str">
        <f>IFERROR(__xludf.DUMMYFUNCTION("IF(C1974&lt;&gt;"""",HYPERLINK(""https://wa.me/507""&amp;REGEXREPLACE(C1974,""[^0-9]"","""")&amp;""?text=""&amp;ENCODEURL(""Ya llegue. Codigo: ""&amp;A1974&amp;"". Ubicacion: ""&amp;""https://www.google.com/maps/search/?api=1&amp;query=""&amp;SUBSTITUTE(F1974,"" "","""")),""📲 Avisar al clien"&amp;"te""),"""")"),"")</f>
        <v/>
      </c>
      <c r="L1974" s="5" t="str">
        <f>IFERROR(__xludf.DUMMYFUNCTION("IF(C1974&lt;&gt;"""",""https://api.qrserver.com/v1/create-qr-code/?size=200x200&amp;data=""&amp;ENCODEURL(""https://wa.me/507""&amp;REGEXREPLACE(C1974,""[^0-9]"","""")&amp;""?text=""&amp;ENCODEURL(""Ya llegue. Codigo: ""&amp;A1974&amp;"". Ubicacion: ""&amp;""https://www.google.com/maps/search"&amp;"/?api=1&amp;query=""&amp;SUBSTITUTE(F1974,"" "",""""))),"""")"),"")</f>
        <v/>
      </c>
      <c r="M1974" s="5" t="str">
        <f t="shared" si="6"/>
        <v/>
      </c>
      <c r="N1974" s="5" t="str">
        <f>IFERROR(__xludf.DUMMYFUNCTION("IF(AND(F1974&lt;&gt;"""",REGEXMATCH(SUBSTITUTE(F1974,"" "",""""),""^-?\d+(\.\d+)?,-?\d+(\.\d+)?$""),VALUE(REGEXEXTRACT(SUBSTITUTE(F1974,"" "",""""),""^-?\d+(\.\d+)?""))&gt;=-90,VALUE(REGEXEXTRACT(SUBSTITUTE(F1974,"" "",""""),""^-?\d+(\.\d+)?""))&lt;=90,VALUE(REGEXEXT"&amp;"RACT(SUBSTITUTE(F1974,"" "",""""),""-?\d+(\.\d+)?$""))&gt;=-180,VALUE(REGEXEXTRACT(SUBSTITUTE(F1974,"" "",""""),""-?\d+(\.\d+)?$""))&lt;=180),""OK"",""REVISAR"")"),"#N/A")</f>
        <v>#N/A</v>
      </c>
    </row>
    <row r="1975" ht="15.75" customHeight="1">
      <c r="A1975" s="5" t="str">
        <f t="shared" si="1"/>
        <v>AD507-1973</v>
      </c>
      <c r="C1975" s="5"/>
      <c r="F1975" s="5"/>
      <c r="G1975" s="5" t="str">
        <f t="shared" si="2"/>
        <v/>
      </c>
      <c r="H1975" s="5" t="str">
        <f t="shared" si="3"/>
        <v/>
      </c>
      <c r="I1975" s="5" t="str">
        <f t="shared" si="4"/>
        <v/>
      </c>
      <c r="J1975" s="5" t="str">
        <f t="shared" si="5"/>
        <v/>
      </c>
      <c r="K1975" s="5" t="str">
        <f>IFERROR(__xludf.DUMMYFUNCTION("IF(C1975&lt;&gt;"""",HYPERLINK(""https://wa.me/507""&amp;REGEXREPLACE(C1975,""[^0-9]"","""")&amp;""?text=""&amp;ENCODEURL(""Ya llegue. Codigo: ""&amp;A1975&amp;"". Ubicacion: ""&amp;""https://www.google.com/maps/search/?api=1&amp;query=""&amp;SUBSTITUTE(F1975,"" "","""")),""📲 Avisar al clien"&amp;"te""),"""")"),"")</f>
        <v/>
      </c>
      <c r="L1975" s="5" t="str">
        <f>IFERROR(__xludf.DUMMYFUNCTION("IF(C1975&lt;&gt;"""",""https://api.qrserver.com/v1/create-qr-code/?size=200x200&amp;data=""&amp;ENCODEURL(""https://wa.me/507""&amp;REGEXREPLACE(C1975,""[^0-9]"","""")&amp;""?text=""&amp;ENCODEURL(""Ya llegue. Codigo: ""&amp;A1975&amp;"". Ubicacion: ""&amp;""https://www.google.com/maps/search"&amp;"/?api=1&amp;query=""&amp;SUBSTITUTE(F1975,"" "",""""))),"""")"),"")</f>
        <v/>
      </c>
      <c r="M1975" s="5" t="str">
        <f t="shared" si="6"/>
        <v/>
      </c>
      <c r="N1975" s="5" t="str">
        <f>IFERROR(__xludf.DUMMYFUNCTION("IF(AND(F1975&lt;&gt;"""",REGEXMATCH(SUBSTITUTE(F1975,"" "",""""),""^-?\d+(\.\d+)?,-?\d+(\.\d+)?$""),VALUE(REGEXEXTRACT(SUBSTITUTE(F1975,"" "",""""),""^-?\d+(\.\d+)?""))&gt;=-90,VALUE(REGEXEXTRACT(SUBSTITUTE(F1975,"" "",""""),""^-?\d+(\.\d+)?""))&lt;=90,VALUE(REGEXEXT"&amp;"RACT(SUBSTITUTE(F1975,"" "",""""),""-?\d+(\.\d+)?$""))&gt;=-180,VALUE(REGEXEXTRACT(SUBSTITUTE(F1975,"" "",""""),""-?\d+(\.\d+)?$""))&lt;=180),""OK"",""REVISAR"")"),"#N/A")</f>
        <v>#N/A</v>
      </c>
    </row>
    <row r="1976" ht="15.75" customHeight="1">
      <c r="A1976" s="5" t="str">
        <f t="shared" si="1"/>
        <v>AD507-1974</v>
      </c>
      <c r="C1976" s="5"/>
      <c r="F1976" s="5"/>
      <c r="G1976" s="5" t="str">
        <f t="shared" si="2"/>
        <v/>
      </c>
      <c r="H1976" s="5" t="str">
        <f t="shared" si="3"/>
        <v/>
      </c>
      <c r="I1976" s="5" t="str">
        <f t="shared" si="4"/>
        <v/>
      </c>
      <c r="J1976" s="5" t="str">
        <f t="shared" si="5"/>
        <v/>
      </c>
      <c r="K1976" s="5" t="str">
        <f>IFERROR(__xludf.DUMMYFUNCTION("IF(C1976&lt;&gt;"""",HYPERLINK(""https://wa.me/507""&amp;REGEXREPLACE(C1976,""[^0-9]"","""")&amp;""?text=""&amp;ENCODEURL(""Ya llegue. Codigo: ""&amp;A1976&amp;"". Ubicacion: ""&amp;""https://www.google.com/maps/search/?api=1&amp;query=""&amp;SUBSTITUTE(F1976,"" "","""")),""📲 Avisar al clien"&amp;"te""),"""")"),"")</f>
        <v/>
      </c>
      <c r="L1976" s="5" t="str">
        <f>IFERROR(__xludf.DUMMYFUNCTION("IF(C1976&lt;&gt;"""",""https://api.qrserver.com/v1/create-qr-code/?size=200x200&amp;data=""&amp;ENCODEURL(""https://wa.me/507""&amp;REGEXREPLACE(C1976,""[^0-9]"","""")&amp;""?text=""&amp;ENCODEURL(""Ya llegue. Codigo: ""&amp;A1976&amp;"". Ubicacion: ""&amp;""https://www.google.com/maps/search"&amp;"/?api=1&amp;query=""&amp;SUBSTITUTE(F1976,"" "",""""))),"""")"),"")</f>
        <v/>
      </c>
      <c r="M1976" s="5" t="str">
        <f t="shared" si="6"/>
        <v/>
      </c>
      <c r="N1976" s="5" t="str">
        <f>IFERROR(__xludf.DUMMYFUNCTION("IF(AND(F1976&lt;&gt;"""",REGEXMATCH(SUBSTITUTE(F1976,"" "",""""),""^-?\d+(\.\d+)?,-?\d+(\.\d+)?$""),VALUE(REGEXEXTRACT(SUBSTITUTE(F1976,"" "",""""),""^-?\d+(\.\d+)?""))&gt;=-90,VALUE(REGEXEXTRACT(SUBSTITUTE(F1976,"" "",""""),""^-?\d+(\.\d+)?""))&lt;=90,VALUE(REGEXEXT"&amp;"RACT(SUBSTITUTE(F1976,"" "",""""),""-?\d+(\.\d+)?$""))&gt;=-180,VALUE(REGEXEXTRACT(SUBSTITUTE(F1976,"" "",""""),""-?\d+(\.\d+)?$""))&lt;=180),""OK"",""REVISAR"")"),"#N/A")</f>
        <v>#N/A</v>
      </c>
    </row>
    <row r="1977" ht="15.75" customHeight="1">
      <c r="A1977" s="5" t="str">
        <f t="shared" si="1"/>
        <v>AD507-1975</v>
      </c>
      <c r="C1977" s="5"/>
      <c r="F1977" s="5"/>
      <c r="G1977" s="5" t="str">
        <f t="shared" si="2"/>
        <v/>
      </c>
      <c r="H1977" s="5" t="str">
        <f t="shared" si="3"/>
        <v/>
      </c>
      <c r="I1977" s="5" t="str">
        <f t="shared" si="4"/>
        <v/>
      </c>
      <c r="J1977" s="5" t="str">
        <f t="shared" si="5"/>
        <v/>
      </c>
      <c r="K1977" s="5" t="str">
        <f>IFERROR(__xludf.DUMMYFUNCTION("IF(C1977&lt;&gt;"""",HYPERLINK(""https://wa.me/507""&amp;REGEXREPLACE(C1977,""[^0-9]"","""")&amp;""?text=""&amp;ENCODEURL(""Ya llegue. Codigo: ""&amp;A1977&amp;"". Ubicacion: ""&amp;""https://www.google.com/maps/search/?api=1&amp;query=""&amp;SUBSTITUTE(F1977,"" "","""")),""📲 Avisar al clien"&amp;"te""),"""")"),"")</f>
        <v/>
      </c>
      <c r="L1977" s="5" t="str">
        <f>IFERROR(__xludf.DUMMYFUNCTION("IF(C1977&lt;&gt;"""",""https://api.qrserver.com/v1/create-qr-code/?size=200x200&amp;data=""&amp;ENCODEURL(""https://wa.me/507""&amp;REGEXREPLACE(C1977,""[^0-9]"","""")&amp;""?text=""&amp;ENCODEURL(""Ya llegue. Codigo: ""&amp;A1977&amp;"". Ubicacion: ""&amp;""https://www.google.com/maps/search"&amp;"/?api=1&amp;query=""&amp;SUBSTITUTE(F1977,"" "",""""))),"""")"),"")</f>
        <v/>
      </c>
      <c r="M1977" s="5" t="str">
        <f t="shared" si="6"/>
        <v/>
      </c>
      <c r="N1977" s="5" t="str">
        <f>IFERROR(__xludf.DUMMYFUNCTION("IF(AND(F1977&lt;&gt;"""",REGEXMATCH(SUBSTITUTE(F1977,"" "",""""),""^-?\d+(\.\d+)?,-?\d+(\.\d+)?$""),VALUE(REGEXEXTRACT(SUBSTITUTE(F1977,"" "",""""),""^-?\d+(\.\d+)?""))&gt;=-90,VALUE(REGEXEXTRACT(SUBSTITUTE(F1977,"" "",""""),""^-?\d+(\.\d+)?""))&lt;=90,VALUE(REGEXEXT"&amp;"RACT(SUBSTITUTE(F1977,"" "",""""),""-?\d+(\.\d+)?$""))&gt;=-180,VALUE(REGEXEXTRACT(SUBSTITUTE(F1977,"" "",""""),""-?\d+(\.\d+)?$""))&lt;=180),""OK"",""REVISAR"")"),"#N/A")</f>
        <v>#N/A</v>
      </c>
    </row>
    <row r="1978" ht="15.75" customHeight="1">
      <c r="A1978" s="5" t="str">
        <f t="shared" si="1"/>
        <v>AD507-1976</v>
      </c>
      <c r="C1978" s="5"/>
      <c r="F1978" s="5"/>
      <c r="G1978" s="5" t="str">
        <f t="shared" si="2"/>
        <v/>
      </c>
      <c r="H1978" s="5" t="str">
        <f t="shared" si="3"/>
        <v/>
      </c>
      <c r="I1978" s="5" t="str">
        <f t="shared" si="4"/>
        <v/>
      </c>
      <c r="J1978" s="5" t="str">
        <f t="shared" si="5"/>
        <v/>
      </c>
      <c r="K1978" s="5" t="str">
        <f>IFERROR(__xludf.DUMMYFUNCTION("IF(C1978&lt;&gt;"""",HYPERLINK(""https://wa.me/507""&amp;REGEXREPLACE(C1978,""[^0-9]"","""")&amp;""?text=""&amp;ENCODEURL(""Ya llegue. Codigo: ""&amp;A1978&amp;"". Ubicacion: ""&amp;""https://www.google.com/maps/search/?api=1&amp;query=""&amp;SUBSTITUTE(F1978,"" "","""")),""📲 Avisar al clien"&amp;"te""),"""")"),"")</f>
        <v/>
      </c>
      <c r="L1978" s="5" t="str">
        <f>IFERROR(__xludf.DUMMYFUNCTION("IF(C1978&lt;&gt;"""",""https://api.qrserver.com/v1/create-qr-code/?size=200x200&amp;data=""&amp;ENCODEURL(""https://wa.me/507""&amp;REGEXREPLACE(C1978,""[^0-9]"","""")&amp;""?text=""&amp;ENCODEURL(""Ya llegue. Codigo: ""&amp;A1978&amp;"". Ubicacion: ""&amp;""https://www.google.com/maps/search"&amp;"/?api=1&amp;query=""&amp;SUBSTITUTE(F1978,"" "",""""))),"""")"),"")</f>
        <v/>
      </c>
      <c r="M1978" s="5" t="str">
        <f t="shared" si="6"/>
        <v/>
      </c>
      <c r="N1978" s="5" t="str">
        <f>IFERROR(__xludf.DUMMYFUNCTION("IF(AND(F1978&lt;&gt;"""",REGEXMATCH(SUBSTITUTE(F1978,"" "",""""),""^-?\d+(\.\d+)?,-?\d+(\.\d+)?$""),VALUE(REGEXEXTRACT(SUBSTITUTE(F1978,"" "",""""),""^-?\d+(\.\d+)?""))&gt;=-90,VALUE(REGEXEXTRACT(SUBSTITUTE(F1978,"" "",""""),""^-?\d+(\.\d+)?""))&lt;=90,VALUE(REGEXEXT"&amp;"RACT(SUBSTITUTE(F1978,"" "",""""),""-?\d+(\.\d+)?$""))&gt;=-180,VALUE(REGEXEXTRACT(SUBSTITUTE(F1978,"" "",""""),""-?\d+(\.\d+)?$""))&lt;=180),""OK"",""REVISAR"")"),"#N/A")</f>
        <v>#N/A</v>
      </c>
    </row>
    <row r="1979" ht="15.75" customHeight="1">
      <c r="A1979" s="5" t="str">
        <f t="shared" si="1"/>
        <v>AD507-1977</v>
      </c>
      <c r="C1979" s="5"/>
      <c r="F1979" s="5"/>
      <c r="G1979" s="5" t="str">
        <f t="shared" si="2"/>
        <v/>
      </c>
      <c r="H1979" s="5" t="str">
        <f t="shared" si="3"/>
        <v/>
      </c>
      <c r="I1979" s="5" t="str">
        <f t="shared" si="4"/>
        <v/>
      </c>
      <c r="J1979" s="5" t="str">
        <f t="shared" si="5"/>
        <v/>
      </c>
      <c r="K1979" s="5" t="str">
        <f>IFERROR(__xludf.DUMMYFUNCTION("IF(C1979&lt;&gt;"""",HYPERLINK(""https://wa.me/507""&amp;REGEXREPLACE(C1979,""[^0-9]"","""")&amp;""?text=""&amp;ENCODEURL(""Ya llegue. Codigo: ""&amp;A1979&amp;"". Ubicacion: ""&amp;""https://www.google.com/maps/search/?api=1&amp;query=""&amp;SUBSTITUTE(F1979,"" "","""")),""📲 Avisar al clien"&amp;"te""),"""")"),"")</f>
        <v/>
      </c>
      <c r="L1979" s="5" t="str">
        <f>IFERROR(__xludf.DUMMYFUNCTION("IF(C1979&lt;&gt;"""",""https://api.qrserver.com/v1/create-qr-code/?size=200x200&amp;data=""&amp;ENCODEURL(""https://wa.me/507""&amp;REGEXREPLACE(C1979,""[^0-9]"","""")&amp;""?text=""&amp;ENCODEURL(""Ya llegue. Codigo: ""&amp;A1979&amp;"". Ubicacion: ""&amp;""https://www.google.com/maps/search"&amp;"/?api=1&amp;query=""&amp;SUBSTITUTE(F1979,"" "",""""))),"""")"),"")</f>
        <v/>
      </c>
      <c r="M1979" s="5" t="str">
        <f t="shared" si="6"/>
        <v/>
      </c>
      <c r="N1979" s="5" t="str">
        <f>IFERROR(__xludf.DUMMYFUNCTION("IF(AND(F1979&lt;&gt;"""",REGEXMATCH(SUBSTITUTE(F1979,"" "",""""),""^-?\d+(\.\d+)?,-?\d+(\.\d+)?$""),VALUE(REGEXEXTRACT(SUBSTITUTE(F1979,"" "",""""),""^-?\d+(\.\d+)?""))&gt;=-90,VALUE(REGEXEXTRACT(SUBSTITUTE(F1979,"" "",""""),""^-?\d+(\.\d+)?""))&lt;=90,VALUE(REGEXEXT"&amp;"RACT(SUBSTITUTE(F1979,"" "",""""),""-?\d+(\.\d+)?$""))&gt;=-180,VALUE(REGEXEXTRACT(SUBSTITUTE(F1979,"" "",""""),""-?\d+(\.\d+)?$""))&lt;=180),""OK"",""REVISAR"")"),"#N/A")</f>
        <v>#N/A</v>
      </c>
    </row>
    <row r="1980" ht="15.75" customHeight="1">
      <c r="A1980" s="5" t="str">
        <f t="shared" si="1"/>
        <v>AD507-1978</v>
      </c>
      <c r="C1980" s="5"/>
      <c r="F1980" s="5"/>
      <c r="G1980" s="5" t="str">
        <f t="shared" si="2"/>
        <v/>
      </c>
      <c r="H1980" s="5" t="str">
        <f t="shared" si="3"/>
        <v/>
      </c>
      <c r="I1980" s="5" t="str">
        <f t="shared" si="4"/>
        <v/>
      </c>
      <c r="J1980" s="5" t="str">
        <f t="shared" si="5"/>
        <v/>
      </c>
      <c r="K1980" s="5" t="str">
        <f>IFERROR(__xludf.DUMMYFUNCTION("IF(C1980&lt;&gt;"""",HYPERLINK(""https://wa.me/507""&amp;REGEXREPLACE(C1980,""[^0-9]"","""")&amp;""?text=""&amp;ENCODEURL(""Ya llegue. Codigo: ""&amp;A1980&amp;"". Ubicacion: ""&amp;""https://www.google.com/maps/search/?api=1&amp;query=""&amp;SUBSTITUTE(F1980,"" "","""")),""📲 Avisar al clien"&amp;"te""),"""")"),"")</f>
        <v/>
      </c>
      <c r="L1980" s="5" t="str">
        <f>IFERROR(__xludf.DUMMYFUNCTION("IF(C1980&lt;&gt;"""",""https://api.qrserver.com/v1/create-qr-code/?size=200x200&amp;data=""&amp;ENCODEURL(""https://wa.me/507""&amp;REGEXREPLACE(C1980,""[^0-9]"","""")&amp;""?text=""&amp;ENCODEURL(""Ya llegue. Codigo: ""&amp;A1980&amp;"". Ubicacion: ""&amp;""https://www.google.com/maps/search"&amp;"/?api=1&amp;query=""&amp;SUBSTITUTE(F1980,"" "",""""))),"""")"),"")</f>
        <v/>
      </c>
      <c r="M1980" s="5" t="str">
        <f t="shared" si="6"/>
        <v/>
      </c>
      <c r="N1980" s="5" t="str">
        <f>IFERROR(__xludf.DUMMYFUNCTION("IF(AND(F1980&lt;&gt;"""",REGEXMATCH(SUBSTITUTE(F1980,"" "",""""),""^-?\d+(\.\d+)?,-?\d+(\.\d+)?$""),VALUE(REGEXEXTRACT(SUBSTITUTE(F1980,"" "",""""),""^-?\d+(\.\d+)?""))&gt;=-90,VALUE(REGEXEXTRACT(SUBSTITUTE(F1980,"" "",""""),""^-?\d+(\.\d+)?""))&lt;=90,VALUE(REGEXEXT"&amp;"RACT(SUBSTITUTE(F1980,"" "",""""),""-?\d+(\.\d+)?$""))&gt;=-180,VALUE(REGEXEXTRACT(SUBSTITUTE(F1980,"" "",""""),""-?\d+(\.\d+)?$""))&lt;=180),""OK"",""REVISAR"")"),"#N/A")</f>
        <v>#N/A</v>
      </c>
    </row>
    <row r="1981" ht="15.75" customHeight="1">
      <c r="A1981" s="5" t="str">
        <f t="shared" si="1"/>
        <v>AD507-1979</v>
      </c>
      <c r="C1981" s="5"/>
      <c r="F1981" s="5"/>
      <c r="G1981" s="5" t="str">
        <f t="shared" si="2"/>
        <v/>
      </c>
      <c r="H1981" s="5" t="str">
        <f t="shared" si="3"/>
        <v/>
      </c>
      <c r="I1981" s="5" t="str">
        <f t="shared" si="4"/>
        <v/>
      </c>
      <c r="J1981" s="5" t="str">
        <f t="shared" si="5"/>
        <v/>
      </c>
      <c r="K1981" s="5" t="str">
        <f>IFERROR(__xludf.DUMMYFUNCTION("IF(C1981&lt;&gt;"""",HYPERLINK(""https://wa.me/507""&amp;REGEXREPLACE(C1981,""[^0-9]"","""")&amp;""?text=""&amp;ENCODEURL(""Ya llegue. Codigo: ""&amp;A1981&amp;"". Ubicacion: ""&amp;""https://www.google.com/maps/search/?api=1&amp;query=""&amp;SUBSTITUTE(F1981,"" "","""")),""📲 Avisar al clien"&amp;"te""),"""")"),"")</f>
        <v/>
      </c>
      <c r="L1981" s="5" t="str">
        <f>IFERROR(__xludf.DUMMYFUNCTION("IF(C1981&lt;&gt;"""",""https://api.qrserver.com/v1/create-qr-code/?size=200x200&amp;data=""&amp;ENCODEURL(""https://wa.me/507""&amp;REGEXREPLACE(C1981,""[^0-9]"","""")&amp;""?text=""&amp;ENCODEURL(""Ya llegue. Codigo: ""&amp;A1981&amp;"". Ubicacion: ""&amp;""https://www.google.com/maps/search"&amp;"/?api=1&amp;query=""&amp;SUBSTITUTE(F1981,"" "",""""))),"""")"),"")</f>
        <v/>
      </c>
      <c r="M1981" s="5" t="str">
        <f t="shared" si="6"/>
        <v/>
      </c>
      <c r="N1981" s="5" t="str">
        <f>IFERROR(__xludf.DUMMYFUNCTION("IF(AND(F1981&lt;&gt;"""",REGEXMATCH(SUBSTITUTE(F1981,"" "",""""),""^-?\d+(\.\d+)?,-?\d+(\.\d+)?$""),VALUE(REGEXEXTRACT(SUBSTITUTE(F1981,"" "",""""),""^-?\d+(\.\d+)?""))&gt;=-90,VALUE(REGEXEXTRACT(SUBSTITUTE(F1981,"" "",""""),""^-?\d+(\.\d+)?""))&lt;=90,VALUE(REGEXEXT"&amp;"RACT(SUBSTITUTE(F1981,"" "",""""),""-?\d+(\.\d+)?$""))&gt;=-180,VALUE(REGEXEXTRACT(SUBSTITUTE(F1981,"" "",""""),""-?\d+(\.\d+)?$""))&lt;=180),""OK"",""REVISAR"")"),"#N/A")</f>
        <v>#N/A</v>
      </c>
    </row>
    <row r="1982" ht="15.75" customHeight="1">
      <c r="A1982" s="5" t="str">
        <f t="shared" si="1"/>
        <v>AD507-1980</v>
      </c>
      <c r="C1982" s="5"/>
      <c r="F1982" s="5"/>
      <c r="G1982" s="5" t="str">
        <f t="shared" si="2"/>
        <v/>
      </c>
      <c r="H1982" s="5" t="str">
        <f t="shared" si="3"/>
        <v/>
      </c>
      <c r="I1982" s="5" t="str">
        <f t="shared" si="4"/>
        <v/>
      </c>
      <c r="J1982" s="5" t="str">
        <f t="shared" si="5"/>
        <v/>
      </c>
      <c r="K1982" s="5" t="str">
        <f>IFERROR(__xludf.DUMMYFUNCTION("IF(C1982&lt;&gt;"""",HYPERLINK(""https://wa.me/507""&amp;REGEXREPLACE(C1982,""[^0-9]"","""")&amp;""?text=""&amp;ENCODEURL(""Ya llegue. Codigo: ""&amp;A1982&amp;"". Ubicacion: ""&amp;""https://www.google.com/maps/search/?api=1&amp;query=""&amp;SUBSTITUTE(F1982,"" "","""")),""📲 Avisar al clien"&amp;"te""),"""")"),"")</f>
        <v/>
      </c>
      <c r="L1982" s="5" t="str">
        <f>IFERROR(__xludf.DUMMYFUNCTION("IF(C1982&lt;&gt;"""",""https://api.qrserver.com/v1/create-qr-code/?size=200x200&amp;data=""&amp;ENCODEURL(""https://wa.me/507""&amp;REGEXREPLACE(C1982,""[^0-9]"","""")&amp;""?text=""&amp;ENCODEURL(""Ya llegue. Codigo: ""&amp;A1982&amp;"". Ubicacion: ""&amp;""https://www.google.com/maps/search"&amp;"/?api=1&amp;query=""&amp;SUBSTITUTE(F1982,"" "",""""))),"""")"),"")</f>
        <v/>
      </c>
      <c r="M1982" s="5" t="str">
        <f t="shared" si="6"/>
        <v/>
      </c>
      <c r="N1982" s="5" t="str">
        <f>IFERROR(__xludf.DUMMYFUNCTION("IF(AND(F1982&lt;&gt;"""",REGEXMATCH(SUBSTITUTE(F1982,"" "",""""),""^-?\d+(\.\d+)?,-?\d+(\.\d+)?$""),VALUE(REGEXEXTRACT(SUBSTITUTE(F1982,"" "",""""),""^-?\d+(\.\d+)?""))&gt;=-90,VALUE(REGEXEXTRACT(SUBSTITUTE(F1982,"" "",""""),""^-?\d+(\.\d+)?""))&lt;=90,VALUE(REGEXEXT"&amp;"RACT(SUBSTITUTE(F1982,"" "",""""),""-?\d+(\.\d+)?$""))&gt;=-180,VALUE(REGEXEXTRACT(SUBSTITUTE(F1982,"" "",""""),""-?\d+(\.\d+)?$""))&lt;=180),""OK"",""REVISAR"")"),"#N/A")</f>
        <v>#N/A</v>
      </c>
    </row>
    <row r="1983" ht="15.75" customHeight="1">
      <c r="A1983" s="5" t="str">
        <f t="shared" si="1"/>
        <v>AD507-1981</v>
      </c>
      <c r="C1983" s="5"/>
      <c r="F1983" s="5"/>
      <c r="G1983" s="5" t="str">
        <f t="shared" si="2"/>
        <v/>
      </c>
      <c r="H1983" s="5" t="str">
        <f t="shared" si="3"/>
        <v/>
      </c>
      <c r="I1983" s="5" t="str">
        <f t="shared" si="4"/>
        <v/>
      </c>
      <c r="J1983" s="5" t="str">
        <f t="shared" si="5"/>
        <v/>
      </c>
      <c r="K1983" s="5" t="str">
        <f>IFERROR(__xludf.DUMMYFUNCTION("IF(C1983&lt;&gt;"""",HYPERLINK(""https://wa.me/507""&amp;REGEXREPLACE(C1983,""[^0-9]"","""")&amp;""?text=""&amp;ENCODEURL(""Ya llegue. Codigo: ""&amp;A1983&amp;"". Ubicacion: ""&amp;""https://www.google.com/maps/search/?api=1&amp;query=""&amp;SUBSTITUTE(F1983,"" "","""")),""📲 Avisar al clien"&amp;"te""),"""")"),"")</f>
        <v/>
      </c>
      <c r="L1983" s="5" t="str">
        <f>IFERROR(__xludf.DUMMYFUNCTION("IF(C1983&lt;&gt;"""",""https://api.qrserver.com/v1/create-qr-code/?size=200x200&amp;data=""&amp;ENCODEURL(""https://wa.me/507""&amp;REGEXREPLACE(C1983,""[^0-9]"","""")&amp;""?text=""&amp;ENCODEURL(""Ya llegue. Codigo: ""&amp;A1983&amp;"". Ubicacion: ""&amp;""https://www.google.com/maps/search"&amp;"/?api=1&amp;query=""&amp;SUBSTITUTE(F1983,"" "",""""))),"""")"),"")</f>
        <v/>
      </c>
      <c r="M1983" s="5" t="str">
        <f t="shared" si="6"/>
        <v/>
      </c>
      <c r="N1983" s="5" t="str">
        <f>IFERROR(__xludf.DUMMYFUNCTION("IF(AND(F1983&lt;&gt;"""",REGEXMATCH(SUBSTITUTE(F1983,"" "",""""),""^-?\d+(\.\d+)?,-?\d+(\.\d+)?$""),VALUE(REGEXEXTRACT(SUBSTITUTE(F1983,"" "",""""),""^-?\d+(\.\d+)?""))&gt;=-90,VALUE(REGEXEXTRACT(SUBSTITUTE(F1983,"" "",""""),""^-?\d+(\.\d+)?""))&lt;=90,VALUE(REGEXEXT"&amp;"RACT(SUBSTITUTE(F1983,"" "",""""),""-?\d+(\.\d+)?$""))&gt;=-180,VALUE(REGEXEXTRACT(SUBSTITUTE(F1983,"" "",""""),""-?\d+(\.\d+)?$""))&lt;=180),""OK"",""REVISAR"")"),"#N/A")</f>
        <v>#N/A</v>
      </c>
    </row>
    <row r="1984" ht="15.75" customHeight="1">
      <c r="A1984" s="5" t="str">
        <f t="shared" si="1"/>
        <v>AD507-1982</v>
      </c>
      <c r="C1984" s="5"/>
      <c r="F1984" s="5"/>
      <c r="G1984" s="5" t="str">
        <f t="shared" si="2"/>
        <v/>
      </c>
      <c r="H1984" s="5" t="str">
        <f t="shared" si="3"/>
        <v/>
      </c>
      <c r="I1984" s="5" t="str">
        <f t="shared" si="4"/>
        <v/>
      </c>
      <c r="J1984" s="5" t="str">
        <f t="shared" si="5"/>
        <v/>
      </c>
      <c r="K1984" s="5" t="str">
        <f>IFERROR(__xludf.DUMMYFUNCTION("IF(C1984&lt;&gt;"""",HYPERLINK(""https://wa.me/507""&amp;REGEXREPLACE(C1984,""[^0-9]"","""")&amp;""?text=""&amp;ENCODEURL(""Ya llegue. Codigo: ""&amp;A1984&amp;"". Ubicacion: ""&amp;""https://www.google.com/maps/search/?api=1&amp;query=""&amp;SUBSTITUTE(F1984,"" "","""")),""📲 Avisar al clien"&amp;"te""),"""")"),"")</f>
        <v/>
      </c>
      <c r="L1984" s="5" t="str">
        <f>IFERROR(__xludf.DUMMYFUNCTION("IF(C1984&lt;&gt;"""",""https://api.qrserver.com/v1/create-qr-code/?size=200x200&amp;data=""&amp;ENCODEURL(""https://wa.me/507""&amp;REGEXREPLACE(C1984,""[^0-9]"","""")&amp;""?text=""&amp;ENCODEURL(""Ya llegue. Codigo: ""&amp;A1984&amp;"". Ubicacion: ""&amp;""https://www.google.com/maps/search"&amp;"/?api=1&amp;query=""&amp;SUBSTITUTE(F1984,"" "",""""))),"""")"),"")</f>
        <v/>
      </c>
      <c r="M1984" s="5" t="str">
        <f t="shared" si="6"/>
        <v/>
      </c>
      <c r="N1984" s="5" t="str">
        <f>IFERROR(__xludf.DUMMYFUNCTION("IF(AND(F1984&lt;&gt;"""",REGEXMATCH(SUBSTITUTE(F1984,"" "",""""),""^-?\d+(\.\d+)?,-?\d+(\.\d+)?$""),VALUE(REGEXEXTRACT(SUBSTITUTE(F1984,"" "",""""),""^-?\d+(\.\d+)?""))&gt;=-90,VALUE(REGEXEXTRACT(SUBSTITUTE(F1984,"" "",""""),""^-?\d+(\.\d+)?""))&lt;=90,VALUE(REGEXEXT"&amp;"RACT(SUBSTITUTE(F1984,"" "",""""),""-?\d+(\.\d+)?$""))&gt;=-180,VALUE(REGEXEXTRACT(SUBSTITUTE(F1984,"" "",""""),""-?\d+(\.\d+)?$""))&lt;=180),""OK"",""REVISAR"")"),"#N/A")</f>
        <v>#N/A</v>
      </c>
    </row>
    <row r="1985" ht="15.75" customHeight="1">
      <c r="A1985" s="5" t="str">
        <f t="shared" si="1"/>
        <v>AD507-1983</v>
      </c>
      <c r="C1985" s="5"/>
      <c r="F1985" s="5"/>
      <c r="G1985" s="5" t="str">
        <f t="shared" si="2"/>
        <v/>
      </c>
      <c r="H1985" s="5" t="str">
        <f t="shared" si="3"/>
        <v/>
      </c>
      <c r="I1985" s="5" t="str">
        <f t="shared" si="4"/>
        <v/>
      </c>
      <c r="J1985" s="5" t="str">
        <f t="shared" si="5"/>
        <v/>
      </c>
      <c r="K1985" s="5" t="str">
        <f>IFERROR(__xludf.DUMMYFUNCTION("IF(C1985&lt;&gt;"""",HYPERLINK(""https://wa.me/507""&amp;REGEXREPLACE(C1985,""[^0-9]"","""")&amp;""?text=""&amp;ENCODEURL(""Ya llegue. Codigo: ""&amp;A1985&amp;"". Ubicacion: ""&amp;""https://www.google.com/maps/search/?api=1&amp;query=""&amp;SUBSTITUTE(F1985,"" "","""")),""📲 Avisar al clien"&amp;"te""),"""")"),"")</f>
        <v/>
      </c>
      <c r="L1985" s="5" t="str">
        <f>IFERROR(__xludf.DUMMYFUNCTION("IF(C1985&lt;&gt;"""",""https://api.qrserver.com/v1/create-qr-code/?size=200x200&amp;data=""&amp;ENCODEURL(""https://wa.me/507""&amp;REGEXREPLACE(C1985,""[^0-9]"","""")&amp;""?text=""&amp;ENCODEURL(""Ya llegue. Codigo: ""&amp;A1985&amp;"". Ubicacion: ""&amp;""https://www.google.com/maps/search"&amp;"/?api=1&amp;query=""&amp;SUBSTITUTE(F1985,"" "",""""))),"""")"),"")</f>
        <v/>
      </c>
      <c r="M1985" s="5" t="str">
        <f t="shared" si="6"/>
        <v/>
      </c>
      <c r="N1985" s="5" t="str">
        <f>IFERROR(__xludf.DUMMYFUNCTION("IF(AND(F1985&lt;&gt;"""",REGEXMATCH(SUBSTITUTE(F1985,"" "",""""),""^-?\d+(\.\d+)?,-?\d+(\.\d+)?$""),VALUE(REGEXEXTRACT(SUBSTITUTE(F1985,"" "",""""),""^-?\d+(\.\d+)?""))&gt;=-90,VALUE(REGEXEXTRACT(SUBSTITUTE(F1985,"" "",""""),""^-?\d+(\.\d+)?""))&lt;=90,VALUE(REGEXEXT"&amp;"RACT(SUBSTITUTE(F1985,"" "",""""),""-?\d+(\.\d+)?$""))&gt;=-180,VALUE(REGEXEXTRACT(SUBSTITUTE(F1985,"" "",""""),""-?\d+(\.\d+)?$""))&lt;=180),""OK"",""REVISAR"")"),"#N/A")</f>
        <v>#N/A</v>
      </c>
    </row>
    <row r="1986" ht="15.75" customHeight="1">
      <c r="A1986" s="5" t="str">
        <f t="shared" si="1"/>
        <v>AD507-1984</v>
      </c>
      <c r="C1986" s="5"/>
      <c r="F1986" s="5"/>
      <c r="G1986" s="5" t="str">
        <f t="shared" si="2"/>
        <v/>
      </c>
      <c r="H1986" s="5" t="str">
        <f t="shared" si="3"/>
        <v/>
      </c>
      <c r="I1986" s="5" t="str">
        <f t="shared" si="4"/>
        <v/>
      </c>
      <c r="J1986" s="5" t="str">
        <f t="shared" si="5"/>
        <v/>
      </c>
      <c r="K1986" s="5" t="str">
        <f>IFERROR(__xludf.DUMMYFUNCTION("IF(C1986&lt;&gt;"""",HYPERLINK(""https://wa.me/507""&amp;REGEXREPLACE(C1986,""[^0-9]"","""")&amp;""?text=""&amp;ENCODEURL(""Ya llegue. Codigo: ""&amp;A1986&amp;"". Ubicacion: ""&amp;""https://www.google.com/maps/search/?api=1&amp;query=""&amp;SUBSTITUTE(F1986,"" "","""")),""📲 Avisar al clien"&amp;"te""),"""")"),"")</f>
        <v/>
      </c>
      <c r="L1986" s="5" t="str">
        <f>IFERROR(__xludf.DUMMYFUNCTION("IF(C1986&lt;&gt;"""",""https://api.qrserver.com/v1/create-qr-code/?size=200x200&amp;data=""&amp;ENCODEURL(""https://wa.me/507""&amp;REGEXREPLACE(C1986,""[^0-9]"","""")&amp;""?text=""&amp;ENCODEURL(""Ya llegue. Codigo: ""&amp;A1986&amp;"". Ubicacion: ""&amp;""https://www.google.com/maps/search"&amp;"/?api=1&amp;query=""&amp;SUBSTITUTE(F1986,"" "",""""))),"""")"),"")</f>
        <v/>
      </c>
      <c r="M1986" s="5" t="str">
        <f t="shared" si="6"/>
        <v/>
      </c>
      <c r="N1986" s="5" t="str">
        <f>IFERROR(__xludf.DUMMYFUNCTION("IF(AND(F1986&lt;&gt;"""",REGEXMATCH(SUBSTITUTE(F1986,"" "",""""),""^-?\d+(\.\d+)?,-?\d+(\.\d+)?$""),VALUE(REGEXEXTRACT(SUBSTITUTE(F1986,"" "",""""),""^-?\d+(\.\d+)?""))&gt;=-90,VALUE(REGEXEXTRACT(SUBSTITUTE(F1986,"" "",""""),""^-?\d+(\.\d+)?""))&lt;=90,VALUE(REGEXEXT"&amp;"RACT(SUBSTITUTE(F1986,"" "",""""),""-?\d+(\.\d+)?$""))&gt;=-180,VALUE(REGEXEXTRACT(SUBSTITUTE(F1986,"" "",""""),""-?\d+(\.\d+)?$""))&lt;=180),""OK"",""REVISAR"")"),"#N/A")</f>
        <v>#N/A</v>
      </c>
    </row>
    <row r="1987" ht="15.75" customHeight="1">
      <c r="A1987" s="5" t="str">
        <f t="shared" si="1"/>
        <v>AD507-1985</v>
      </c>
      <c r="C1987" s="5"/>
      <c r="F1987" s="5"/>
      <c r="G1987" s="5" t="str">
        <f t="shared" si="2"/>
        <v/>
      </c>
      <c r="H1987" s="5" t="str">
        <f t="shared" si="3"/>
        <v/>
      </c>
      <c r="I1987" s="5" t="str">
        <f t="shared" si="4"/>
        <v/>
      </c>
      <c r="J1987" s="5" t="str">
        <f t="shared" si="5"/>
        <v/>
      </c>
      <c r="K1987" s="5" t="str">
        <f>IFERROR(__xludf.DUMMYFUNCTION("IF(C1987&lt;&gt;"""",HYPERLINK(""https://wa.me/507""&amp;REGEXREPLACE(C1987,""[^0-9]"","""")&amp;""?text=""&amp;ENCODEURL(""Ya llegue. Codigo: ""&amp;A1987&amp;"". Ubicacion: ""&amp;""https://www.google.com/maps/search/?api=1&amp;query=""&amp;SUBSTITUTE(F1987,"" "","""")),""📲 Avisar al clien"&amp;"te""),"""")"),"")</f>
        <v/>
      </c>
      <c r="L1987" s="5" t="str">
        <f>IFERROR(__xludf.DUMMYFUNCTION("IF(C1987&lt;&gt;"""",""https://api.qrserver.com/v1/create-qr-code/?size=200x200&amp;data=""&amp;ENCODEURL(""https://wa.me/507""&amp;REGEXREPLACE(C1987,""[^0-9]"","""")&amp;""?text=""&amp;ENCODEURL(""Ya llegue. Codigo: ""&amp;A1987&amp;"". Ubicacion: ""&amp;""https://www.google.com/maps/search"&amp;"/?api=1&amp;query=""&amp;SUBSTITUTE(F1987,"" "",""""))),"""")"),"")</f>
        <v/>
      </c>
      <c r="M1987" s="5" t="str">
        <f t="shared" si="6"/>
        <v/>
      </c>
      <c r="N1987" s="5" t="str">
        <f>IFERROR(__xludf.DUMMYFUNCTION("IF(AND(F1987&lt;&gt;"""",REGEXMATCH(SUBSTITUTE(F1987,"" "",""""),""^-?\d+(\.\d+)?,-?\d+(\.\d+)?$""),VALUE(REGEXEXTRACT(SUBSTITUTE(F1987,"" "",""""),""^-?\d+(\.\d+)?""))&gt;=-90,VALUE(REGEXEXTRACT(SUBSTITUTE(F1987,"" "",""""),""^-?\d+(\.\d+)?""))&lt;=90,VALUE(REGEXEXT"&amp;"RACT(SUBSTITUTE(F1987,"" "",""""),""-?\d+(\.\d+)?$""))&gt;=-180,VALUE(REGEXEXTRACT(SUBSTITUTE(F1987,"" "",""""),""-?\d+(\.\d+)?$""))&lt;=180),""OK"",""REVISAR"")"),"#N/A")</f>
        <v>#N/A</v>
      </c>
    </row>
    <row r="1988" ht="15.75" customHeight="1">
      <c r="A1988" s="5" t="str">
        <f t="shared" si="1"/>
        <v>AD507-1986</v>
      </c>
      <c r="C1988" s="5"/>
      <c r="F1988" s="5"/>
      <c r="G1988" s="5" t="str">
        <f t="shared" si="2"/>
        <v/>
      </c>
      <c r="H1988" s="5" t="str">
        <f t="shared" si="3"/>
        <v/>
      </c>
      <c r="I1988" s="5" t="str">
        <f t="shared" si="4"/>
        <v/>
      </c>
      <c r="J1988" s="5" t="str">
        <f t="shared" si="5"/>
        <v/>
      </c>
      <c r="K1988" s="5" t="str">
        <f>IFERROR(__xludf.DUMMYFUNCTION("IF(C1988&lt;&gt;"""",HYPERLINK(""https://wa.me/507""&amp;REGEXREPLACE(C1988,""[^0-9]"","""")&amp;""?text=""&amp;ENCODEURL(""Ya llegue. Codigo: ""&amp;A1988&amp;"". Ubicacion: ""&amp;""https://www.google.com/maps/search/?api=1&amp;query=""&amp;SUBSTITUTE(F1988,"" "","""")),""📲 Avisar al clien"&amp;"te""),"""")"),"")</f>
        <v/>
      </c>
      <c r="L1988" s="5" t="str">
        <f>IFERROR(__xludf.DUMMYFUNCTION("IF(C1988&lt;&gt;"""",""https://api.qrserver.com/v1/create-qr-code/?size=200x200&amp;data=""&amp;ENCODEURL(""https://wa.me/507""&amp;REGEXREPLACE(C1988,""[^0-9]"","""")&amp;""?text=""&amp;ENCODEURL(""Ya llegue. Codigo: ""&amp;A1988&amp;"". Ubicacion: ""&amp;""https://www.google.com/maps/search"&amp;"/?api=1&amp;query=""&amp;SUBSTITUTE(F1988,"" "",""""))),"""")"),"")</f>
        <v/>
      </c>
      <c r="M1988" s="5" t="str">
        <f t="shared" si="6"/>
        <v/>
      </c>
      <c r="N1988" s="5" t="str">
        <f>IFERROR(__xludf.DUMMYFUNCTION("IF(AND(F1988&lt;&gt;"""",REGEXMATCH(SUBSTITUTE(F1988,"" "",""""),""^-?\d+(\.\d+)?,-?\d+(\.\d+)?$""),VALUE(REGEXEXTRACT(SUBSTITUTE(F1988,"" "",""""),""^-?\d+(\.\d+)?""))&gt;=-90,VALUE(REGEXEXTRACT(SUBSTITUTE(F1988,"" "",""""),""^-?\d+(\.\d+)?""))&lt;=90,VALUE(REGEXEXT"&amp;"RACT(SUBSTITUTE(F1988,"" "",""""),""-?\d+(\.\d+)?$""))&gt;=-180,VALUE(REGEXEXTRACT(SUBSTITUTE(F1988,"" "",""""),""-?\d+(\.\d+)?$""))&lt;=180),""OK"",""REVISAR"")"),"#N/A")</f>
        <v>#N/A</v>
      </c>
    </row>
    <row r="1989" ht="15.75" customHeight="1">
      <c r="A1989" s="5" t="str">
        <f t="shared" si="1"/>
        <v>AD507-1987</v>
      </c>
      <c r="C1989" s="5"/>
      <c r="F1989" s="5"/>
      <c r="G1989" s="5" t="str">
        <f t="shared" si="2"/>
        <v/>
      </c>
      <c r="H1989" s="5" t="str">
        <f t="shared" si="3"/>
        <v/>
      </c>
      <c r="I1989" s="5" t="str">
        <f t="shared" si="4"/>
        <v/>
      </c>
      <c r="J1989" s="5" t="str">
        <f t="shared" si="5"/>
        <v/>
      </c>
      <c r="K1989" s="5" t="str">
        <f>IFERROR(__xludf.DUMMYFUNCTION("IF(C1989&lt;&gt;"""",HYPERLINK(""https://wa.me/507""&amp;REGEXREPLACE(C1989,""[^0-9]"","""")&amp;""?text=""&amp;ENCODEURL(""Ya llegue. Codigo: ""&amp;A1989&amp;"". Ubicacion: ""&amp;""https://www.google.com/maps/search/?api=1&amp;query=""&amp;SUBSTITUTE(F1989,"" "","""")),""📲 Avisar al clien"&amp;"te""),"""")"),"")</f>
        <v/>
      </c>
      <c r="L1989" s="5" t="str">
        <f>IFERROR(__xludf.DUMMYFUNCTION("IF(C1989&lt;&gt;"""",""https://api.qrserver.com/v1/create-qr-code/?size=200x200&amp;data=""&amp;ENCODEURL(""https://wa.me/507""&amp;REGEXREPLACE(C1989,""[^0-9]"","""")&amp;""?text=""&amp;ENCODEURL(""Ya llegue. Codigo: ""&amp;A1989&amp;"". Ubicacion: ""&amp;""https://www.google.com/maps/search"&amp;"/?api=1&amp;query=""&amp;SUBSTITUTE(F1989,"" "",""""))),"""")"),"")</f>
        <v/>
      </c>
      <c r="M1989" s="5" t="str">
        <f t="shared" si="6"/>
        <v/>
      </c>
      <c r="N1989" s="5" t="str">
        <f>IFERROR(__xludf.DUMMYFUNCTION("IF(AND(F1989&lt;&gt;"""",REGEXMATCH(SUBSTITUTE(F1989,"" "",""""),""^-?\d+(\.\d+)?,-?\d+(\.\d+)?$""),VALUE(REGEXEXTRACT(SUBSTITUTE(F1989,"" "",""""),""^-?\d+(\.\d+)?""))&gt;=-90,VALUE(REGEXEXTRACT(SUBSTITUTE(F1989,"" "",""""),""^-?\d+(\.\d+)?""))&lt;=90,VALUE(REGEXEXT"&amp;"RACT(SUBSTITUTE(F1989,"" "",""""),""-?\d+(\.\d+)?$""))&gt;=-180,VALUE(REGEXEXTRACT(SUBSTITUTE(F1989,"" "",""""),""-?\d+(\.\d+)?$""))&lt;=180),""OK"",""REVISAR"")"),"#N/A")</f>
        <v>#N/A</v>
      </c>
    </row>
    <row r="1990" ht="15.75" customHeight="1">
      <c r="A1990" s="5" t="str">
        <f t="shared" si="1"/>
        <v>AD507-1988</v>
      </c>
      <c r="C1990" s="5"/>
      <c r="F1990" s="5"/>
      <c r="G1990" s="5" t="str">
        <f t="shared" si="2"/>
        <v/>
      </c>
      <c r="H1990" s="5" t="str">
        <f t="shared" si="3"/>
        <v/>
      </c>
      <c r="I1990" s="5" t="str">
        <f t="shared" si="4"/>
        <v/>
      </c>
      <c r="J1990" s="5" t="str">
        <f t="shared" si="5"/>
        <v/>
      </c>
      <c r="K1990" s="5" t="str">
        <f>IFERROR(__xludf.DUMMYFUNCTION("IF(C1990&lt;&gt;"""",HYPERLINK(""https://wa.me/507""&amp;REGEXREPLACE(C1990,""[^0-9]"","""")&amp;""?text=""&amp;ENCODEURL(""Ya llegue. Codigo: ""&amp;A1990&amp;"". Ubicacion: ""&amp;""https://www.google.com/maps/search/?api=1&amp;query=""&amp;SUBSTITUTE(F1990,"" "","""")),""📲 Avisar al clien"&amp;"te""),"""")"),"")</f>
        <v/>
      </c>
      <c r="L1990" s="5" t="str">
        <f>IFERROR(__xludf.DUMMYFUNCTION("IF(C1990&lt;&gt;"""",""https://api.qrserver.com/v1/create-qr-code/?size=200x200&amp;data=""&amp;ENCODEURL(""https://wa.me/507""&amp;REGEXREPLACE(C1990,""[^0-9]"","""")&amp;""?text=""&amp;ENCODEURL(""Ya llegue. Codigo: ""&amp;A1990&amp;"". Ubicacion: ""&amp;""https://www.google.com/maps/search"&amp;"/?api=1&amp;query=""&amp;SUBSTITUTE(F1990,"" "",""""))),"""")"),"")</f>
        <v/>
      </c>
      <c r="M1990" s="5" t="str">
        <f t="shared" si="6"/>
        <v/>
      </c>
      <c r="N1990" s="5" t="str">
        <f>IFERROR(__xludf.DUMMYFUNCTION("IF(AND(F1990&lt;&gt;"""",REGEXMATCH(SUBSTITUTE(F1990,"" "",""""),""^-?\d+(\.\d+)?,-?\d+(\.\d+)?$""),VALUE(REGEXEXTRACT(SUBSTITUTE(F1990,"" "",""""),""^-?\d+(\.\d+)?""))&gt;=-90,VALUE(REGEXEXTRACT(SUBSTITUTE(F1990,"" "",""""),""^-?\d+(\.\d+)?""))&lt;=90,VALUE(REGEXEXT"&amp;"RACT(SUBSTITUTE(F1990,"" "",""""),""-?\d+(\.\d+)?$""))&gt;=-180,VALUE(REGEXEXTRACT(SUBSTITUTE(F1990,"" "",""""),""-?\d+(\.\d+)?$""))&lt;=180),""OK"",""REVISAR"")"),"#N/A")</f>
        <v>#N/A</v>
      </c>
    </row>
    <row r="1991" ht="15.75" customHeight="1">
      <c r="A1991" s="5" t="str">
        <f t="shared" si="1"/>
        <v>AD507-1989</v>
      </c>
      <c r="C1991" s="5"/>
      <c r="F1991" s="5"/>
      <c r="G1991" s="5" t="str">
        <f t="shared" si="2"/>
        <v/>
      </c>
      <c r="H1991" s="5" t="str">
        <f t="shared" si="3"/>
        <v/>
      </c>
      <c r="I1991" s="5" t="str">
        <f t="shared" si="4"/>
        <v/>
      </c>
      <c r="J1991" s="5" t="str">
        <f t="shared" si="5"/>
        <v/>
      </c>
      <c r="K1991" s="5" t="str">
        <f>IFERROR(__xludf.DUMMYFUNCTION("IF(C1991&lt;&gt;"""",HYPERLINK(""https://wa.me/507""&amp;REGEXREPLACE(C1991,""[^0-9]"","""")&amp;""?text=""&amp;ENCODEURL(""Ya llegue. Codigo: ""&amp;A1991&amp;"". Ubicacion: ""&amp;""https://www.google.com/maps/search/?api=1&amp;query=""&amp;SUBSTITUTE(F1991,"" "","""")),""📲 Avisar al clien"&amp;"te""),"""")"),"")</f>
        <v/>
      </c>
      <c r="L1991" s="5" t="str">
        <f>IFERROR(__xludf.DUMMYFUNCTION("IF(C1991&lt;&gt;"""",""https://api.qrserver.com/v1/create-qr-code/?size=200x200&amp;data=""&amp;ENCODEURL(""https://wa.me/507""&amp;REGEXREPLACE(C1991,""[^0-9]"","""")&amp;""?text=""&amp;ENCODEURL(""Ya llegue. Codigo: ""&amp;A1991&amp;"". Ubicacion: ""&amp;""https://www.google.com/maps/search"&amp;"/?api=1&amp;query=""&amp;SUBSTITUTE(F1991,"" "",""""))),"""")"),"")</f>
        <v/>
      </c>
      <c r="M1991" s="5" t="str">
        <f t="shared" si="6"/>
        <v/>
      </c>
      <c r="N1991" s="5" t="str">
        <f>IFERROR(__xludf.DUMMYFUNCTION("IF(AND(F1991&lt;&gt;"""",REGEXMATCH(SUBSTITUTE(F1991,"" "",""""),""^-?\d+(\.\d+)?,-?\d+(\.\d+)?$""),VALUE(REGEXEXTRACT(SUBSTITUTE(F1991,"" "",""""),""^-?\d+(\.\d+)?""))&gt;=-90,VALUE(REGEXEXTRACT(SUBSTITUTE(F1991,"" "",""""),""^-?\d+(\.\d+)?""))&lt;=90,VALUE(REGEXEXT"&amp;"RACT(SUBSTITUTE(F1991,"" "",""""),""-?\d+(\.\d+)?$""))&gt;=-180,VALUE(REGEXEXTRACT(SUBSTITUTE(F1991,"" "",""""),""-?\d+(\.\d+)?$""))&lt;=180),""OK"",""REVISAR"")"),"#N/A")</f>
        <v>#N/A</v>
      </c>
    </row>
    <row r="1992" ht="15.75" customHeight="1">
      <c r="A1992" s="5" t="str">
        <f t="shared" si="1"/>
        <v>AD507-1990</v>
      </c>
      <c r="C1992" s="5"/>
      <c r="F1992" s="5"/>
      <c r="G1992" s="5" t="str">
        <f t="shared" si="2"/>
        <v/>
      </c>
      <c r="H1992" s="5" t="str">
        <f t="shared" si="3"/>
        <v/>
      </c>
      <c r="I1992" s="5" t="str">
        <f t="shared" si="4"/>
        <v/>
      </c>
      <c r="J1992" s="5" t="str">
        <f t="shared" si="5"/>
        <v/>
      </c>
      <c r="K1992" s="5" t="str">
        <f>IFERROR(__xludf.DUMMYFUNCTION("IF(C1992&lt;&gt;"""",HYPERLINK(""https://wa.me/507""&amp;REGEXREPLACE(C1992,""[^0-9]"","""")&amp;""?text=""&amp;ENCODEURL(""Ya llegue. Codigo: ""&amp;A1992&amp;"". Ubicacion: ""&amp;""https://www.google.com/maps/search/?api=1&amp;query=""&amp;SUBSTITUTE(F1992,"" "","""")),""📲 Avisar al clien"&amp;"te""),"""")"),"")</f>
        <v/>
      </c>
      <c r="L1992" s="5" t="str">
        <f>IFERROR(__xludf.DUMMYFUNCTION("IF(C1992&lt;&gt;"""",""https://api.qrserver.com/v1/create-qr-code/?size=200x200&amp;data=""&amp;ENCODEURL(""https://wa.me/507""&amp;REGEXREPLACE(C1992,""[^0-9]"","""")&amp;""?text=""&amp;ENCODEURL(""Ya llegue. Codigo: ""&amp;A1992&amp;"". Ubicacion: ""&amp;""https://www.google.com/maps/search"&amp;"/?api=1&amp;query=""&amp;SUBSTITUTE(F1992,"" "",""""))),"""")"),"")</f>
        <v/>
      </c>
      <c r="M1992" s="5" t="str">
        <f t="shared" si="6"/>
        <v/>
      </c>
      <c r="N1992" s="5" t="str">
        <f>IFERROR(__xludf.DUMMYFUNCTION("IF(AND(F1992&lt;&gt;"""",REGEXMATCH(SUBSTITUTE(F1992,"" "",""""),""^-?\d+(\.\d+)?,-?\d+(\.\d+)?$""),VALUE(REGEXEXTRACT(SUBSTITUTE(F1992,"" "",""""),""^-?\d+(\.\d+)?""))&gt;=-90,VALUE(REGEXEXTRACT(SUBSTITUTE(F1992,"" "",""""),""^-?\d+(\.\d+)?""))&lt;=90,VALUE(REGEXEXT"&amp;"RACT(SUBSTITUTE(F1992,"" "",""""),""-?\d+(\.\d+)?$""))&gt;=-180,VALUE(REGEXEXTRACT(SUBSTITUTE(F1992,"" "",""""),""-?\d+(\.\d+)?$""))&lt;=180),""OK"",""REVISAR"")"),"#N/A")</f>
        <v>#N/A</v>
      </c>
    </row>
    <row r="1993" ht="15.75" customHeight="1">
      <c r="A1993" s="5" t="str">
        <f t="shared" si="1"/>
        <v>AD507-1991</v>
      </c>
      <c r="C1993" s="5"/>
      <c r="F1993" s="5"/>
      <c r="G1993" s="5" t="str">
        <f t="shared" si="2"/>
        <v/>
      </c>
      <c r="H1993" s="5" t="str">
        <f t="shared" si="3"/>
        <v/>
      </c>
      <c r="I1993" s="5" t="str">
        <f t="shared" si="4"/>
        <v/>
      </c>
      <c r="J1993" s="5" t="str">
        <f t="shared" si="5"/>
        <v/>
      </c>
      <c r="K1993" s="5" t="str">
        <f>IFERROR(__xludf.DUMMYFUNCTION("IF(C1993&lt;&gt;"""",HYPERLINK(""https://wa.me/507""&amp;REGEXREPLACE(C1993,""[^0-9]"","""")&amp;""?text=""&amp;ENCODEURL(""Ya llegue. Codigo: ""&amp;A1993&amp;"". Ubicacion: ""&amp;""https://www.google.com/maps/search/?api=1&amp;query=""&amp;SUBSTITUTE(F1993,"" "","""")),""📲 Avisar al clien"&amp;"te""),"""")"),"")</f>
        <v/>
      </c>
      <c r="L1993" s="5" t="str">
        <f>IFERROR(__xludf.DUMMYFUNCTION("IF(C1993&lt;&gt;"""",""https://api.qrserver.com/v1/create-qr-code/?size=200x200&amp;data=""&amp;ENCODEURL(""https://wa.me/507""&amp;REGEXREPLACE(C1993,""[^0-9]"","""")&amp;""?text=""&amp;ENCODEURL(""Ya llegue. Codigo: ""&amp;A1993&amp;"". Ubicacion: ""&amp;""https://www.google.com/maps/search"&amp;"/?api=1&amp;query=""&amp;SUBSTITUTE(F1993,"" "",""""))),"""")"),"")</f>
        <v/>
      </c>
      <c r="M1993" s="5" t="str">
        <f t="shared" si="6"/>
        <v/>
      </c>
      <c r="N1993" s="5" t="str">
        <f>IFERROR(__xludf.DUMMYFUNCTION("IF(AND(F1993&lt;&gt;"""",REGEXMATCH(SUBSTITUTE(F1993,"" "",""""),""^-?\d+(\.\d+)?,-?\d+(\.\d+)?$""),VALUE(REGEXEXTRACT(SUBSTITUTE(F1993,"" "",""""),""^-?\d+(\.\d+)?""))&gt;=-90,VALUE(REGEXEXTRACT(SUBSTITUTE(F1993,"" "",""""),""^-?\d+(\.\d+)?""))&lt;=90,VALUE(REGEXEXT"&amp;"RACT(SUBSTITUTE(F1993,"" "",""""),""-?\d+(\.\d+)?$""))&gt;=-180,VALUE(REGEXEXTRACT(SUBSTITUTE(F1993,"" "",""""),""-?\d+(\.\d+)?$""))&lt;=180),""OK"",""REVISAR"")"),"#N/A")</f>
        <v>#N/A</v>
      </c>
    </row>
    <row r="1994" ht="15.75" customHeight="1">
      <c r="A1994" s="5" t="str">
        <f t="shared" si="1"/>
        <v>AD507-1992</v>
      </c>
      <c r="C1994" s="5"/>
      <c r="F1994" s="5"/>
      <c r="G1994" s="5" t="str">
        <f t="shared" si="2"/>
        <v/>
      </c>
      <c r="H1994" s="5" t="str">
        <f t="shared" si="3"/>
        <v/>
      </c>
      <c r="I1994" s="5" t="str">
        <f t="shared" si="4"/>
        <v/>
      </c>
      <c r="J1994" s="5" t="str">
        <f t="shared" si="5"/>
        <v/>
      </c>
      <c r="K1994" s="5" t="str">
        <f>IFERROR(__xludf.DUMMYFUNCTION("IF(C1994&lt;&gt;"""",HYPERLINK(""https://wa.me/507""&amp;REGEXREPLACE(C1994,""[^0-9]"","""")&amp;""?text=""&amp;ENCODEURL(""Ya llegue. Codigo: ""&amp;A1994&amp;"". Ubicacion: ""&amp;""https://www.google.com/maps/search/?api=1&amp;query=""&amp;SUBSTITUTE(F1994,"" "","""")),""📲 Avisar al clien"&amp;"te""),"""")"),"")</f>
        <v/>
      </c>
      <c r="L1994" s="5" t="str">
        <f>IFERROR(__xludf.DUMMYFUNCTION("IF(C1994&lt;&gt;"""",""https://api.qrserver.com/v1/create-qr-code/?size=200x200&amp;data=""&amp;ENCODEURL(""https://wa.me/507""&amp;REGEXREPLACE(C1994,""[^0-9]"","""")&amp;""?text=""&amp;ENCODEURL(""Ya llegue. Codigo: ""&amp;A1994&amp;"". Ubicacion: ""&amp;""https://www.google.com/maps/search"&amp;"/?api=1&amp;query=""&amp;SUBSTITUTE(F1994,"" "",""""))),"""")"),"")</f>
        <v/>
      </c>
      <c r="M1994" s="5" t="str">
        <f t="shared" si="6"/>
        <v/>
      </c>
      <c r="N1994" s="5" t="str">
        <f>IFERROR(__xludf.DUMMYFUNCTION("IF(AND(F1994&lt;&gt;"""",REGEXMATCH(SUBSTITUTE(F1994,"" "",""""),""^-?\d+(\.\d+)?,-?\d+(\.\d+)?$""),VALUE(REGEXEXTRACT(SUBSTITUTE(F1994,"" "",""""),""^-?\d+(\.\d+)?""))&gt;=-90,VALUE(REGEXEXTRACT(SUBSTITUTE(F1994,"" "",""""),""^-?\d+(\.\d+)?""))&lt;=90,VALUE(REGEXEXT"&amp;"RACT(SUBSTITUTE(F1994,"" "",""""),""-?\d+(\.\d+)?$""))&gt;=-180,VALUE(REGEXEXTRACT(SUBSTITUTE(F1994,"" "",""""),""-?\d+(\.\d+)?$""))&lt;=180),""OK"",""REVISAR"")"),"#N/A")</f>
        <v>#N/A</v>
      </c>
    </row>
    <row r="1995" ht="15.75" customHeight="1">
      <c r="A1995" s="5" t="str">
        <f t="shared" si="1"/>
        <v>AD507-1993</v>
      </c>
      <c r="C1995" s="5"/>
      <c r="F1995" s="5"/>
      <c r="G1995" s="5" t="str">
        <f t="shared" si="2"/>
        <v/>
      </c>
      <c r="H1995" s="5" t="str">
        <f t="shared" si="3"/>
        <v/>
      </c>
      <c r="I1995" s="5" t="str">
        <f t="shared" si="4"/>
        <v/>
      </c>
      <c r="J1995" s="5" t="str">
        <f t="shared" si="5"/>
        <v/>
      </c>
      <c r="K1995" s="5" t="str">
        <f>IFERROR(__xludf.DUMMYFUNCTION("IF(C1995&lt;&gt;"""",HYPERLINK(""https://wa.me/507""&amp;REGEXREPLACE(C1995,""[^0-9]"","""")&amp;""?text=""&amp;ENCODEURL(""Ya llegue. Codigo: ""&amp;A1995&amp;"". Ubicacion: ""&amp;""https://www.google.com/maps/search/?api=1&amp;query=""&amp;SUBSTITUTE(F1995,"" "","""")),""📲 Avisar al clien"&amp;"te""),"""")"),"")</f>
        <v/>
      </c>
      <c r="L1995" s="5" t="str">
        <f>IFERROR(__xludf.DUMMYFUNCTION("IF(C1995&lt;&gt;"""",""https://api.qrserver.com/v1/create-qr-code/?size=200x200&amp;data=""&amp;ENCODEURL(""https://wa.me/507""&amp;REGEXREPLACE(C1995,""[^0-9]"","""")&amp;""?text=""&amp;ENCODEURL(""Ya llegue. Codigo: ""&amp;A1995&amp;"". Ubicacion: ""&amp;""https://www.google.com/maps/search"&amp;"/?api=1&amp;query=""&amp;SUBSTITUTE(F1995,"" "",""""))),"""")"),"")</f>
        <v/>
      </c>
      <c r="M1995" s="5" t="str">
        <f t="shared" si="6"/>
        <v/>
      </c>
      <c r="N1995" s="5" t="str">
        <f>IFERROR(__xludf.DUMMYFUNCTION("IF(AND(F1995&lt;&gt;"""",REGEXMATCH(SUBSTITUTE(F1995,"" "",""""),""^-?\d+(\.\d+)?,-?\d+(\.\d+)?$""),VALUE(REGEXEXTRACT(SUBSTITUTE(F1995,"" "",""""),""^-?\d+(\.\d+)?""))&gt;=-90,VALUE(REGEXEXTRACT(SUBSTITUTE(F1995,"" "",""""),""^-?\d+(\.\d+)?""))&lt;=90,VALUE(REGEXEXT"&amp;"RACT(SUBSTITUTE(F1995,"" "",""""),""-?\d+(\.\d+)?$""))&gt;=-180,VALUE(REGEXEXTRACT(SUBSTITUTE(F1995,"" "",""""),""-?\d+(\.\d+)?$""))&lt;=180),""OK"",""REVISAR"")"),"#N/A")</f>
        <v>#N/A</v>
      </c>
    </row>
    <row r="1996" ht="15.75" customHeight="1">
      <c r="A1996" s="5" t="str">
        <f t="shared" si="1"/>
        <v>AD507-1994</v>
      </c>
      <c r="C1996" s="5"/>
      <c r="F1996" s="5"/>
      <c r="G1996" s="5" t="str">
        <f t="shared" si="2"/>
        <v/>
      </c>
      <c r="H1996" s="5" t="str">
        <f t="shared" si="3"/>
        <v/>
      </c>
      <c r="I1996" s="5" t="str">
        <f t="shared" si="4"/>
        <v/>
      </c>
      <c r="J1996" s="5" t="str">
        <f t="shared" si="5"/>
        <v/>
      </c>
      <c r="K1996" s="5" t="str">
        <f>IFERROR(__xludf.DUMMYFUNCTION("IF(C1996&lt;&gt;"""",HYPERLINK(""https://wa.me/507""&amp;REGEXREPLACE(C1996,""[^0-9]"","""")&amp;""?text=""&amp;ENCODEURL(""Ya llegue. Codigo: ""&amp;A1996&amp;"". Ubicacion: ""&amp;""https://www.google.com/maps/search/?api=1&amp;query=""&amp;SUBSTITUTE(F1996,"" "","""")),""📲 Avisar al clien"&amp;"te""),"""")"),"")</f>
        <v/>
      </c>
      <c r="L1996" s="5" t="str">
        <f>IFERROR(__xludf.DUMMYFUNCTION("IF(C1996&lt;&gt;"""",""https://api.qrserver.com/v1/create-qr-code/?size=200x200&amp;data=""&amp;ENCODEURL(""https://wa.me/507""&amp;REGEXREPLACE(C1996,""[^0-9]"","""")&amp;""?text=""&amp;ENCODEURL(""Ya llegue. Codigo: ""&amp;A1996&amp;"". Ubicacion: ""&amp;""https://www.google.com/maps/search"&amp;"/?api=1&amp;query=""&amp;SUBSTITUTE(F1996,"" "",""""))),"""")"),"")</f>
        <v/>
      </c>
      <c r="M1996" s="5" t="str">
        <f t="shared" si="6"/>
        <v/>
      </c>
      <c r="N1996" s="5" t="str">
        <f>IFERROR(__xludf.DUMMYFUNCTION("IF(AND(F1996&lt;&gt;"""",REGEXMATCH(SUBSTITUTE(F1996,"" "",""""),""^-?\d+(\.\d+)?,-?\d+(\.\d+)?$""),VALUE(REGEXEXTRACT(SUBSTITUTE(F1996,"" "",""""),""^-?\d+(\.\d+)?""))&gt;=-90,VALUE(REGEXEXTRACT(SUBSTITUTE(F1996,"" "",""""),""^-?\d+(\.\d+)?""))&lt;=90,VALUE(REGEXEXT"&amp;"RACT(SUBSTITUTE(F1996,"" "",""""),""-?\d+(\.\d+)?$""))&gt;=-180,VALUE(REGEXEXTRACT(SUBSTITUTE(F1996,"" "",""""),""-?\d+(\.\d+)?$""))&lt;=180),""OK"",""REVISAR"")"),"#N/A")</f>
        <v>#N/A</v>
      </c>
    </row>
    <row r="1997" ht="15.75" customHeight="1">
      <c r="A1997" s="5" t="str">
        <f t="shared" si="1"/>
        <v>AD507-1995</v>
      </c>
      <c r="C1997" s="5"/>
      <c r="F1997" s="5"/>
      <c r="G1997" s="5" t="str">
        <f t="shared" si="2"/>
        <v/>
      </c>
      <c r="H1997" s="5" t="str">
        <f t="shared" si="3"/>
        <v/>
      </c>
      <c r="I1997" s="5" t="str">
        <f t="shared" si="4"/>
        <v/>
      </c>
      <c r="J1997" s="5" t="str">
        <f t="shared" si="5"/>
        <v/>
      </c>
      <c r="K1997" s="5" t="str">
        <f>IFERROR(__xludf.DUMMYFUNCTION("IF(C1997&lt;&gt;"""",HYPERLINK(""https://wa.me/507""&amp;REGEXREPLACE(C1997,""[^0-9]"","""")&amp;""?text=""&amp;ENCODEURL(""Ya llegue. Codigo: ""&amp;A1997&amp;"". Ubicacion: ""&amp;""https://www.google.com/maps/search/?api=1&amp;query=""&amp;SUBSTITUTE(F1997,"" "","""")),""📲 Avisar al clien"&amp;"te""),"""")"),"")</f>
        <v/>
      </c>
      <c r="L1997" s="5" t="str">
        <f>IFERROR(__xludf.DUMMYFUNCTION("IF(C1997&lt;&gt;"""",""https://api.qrserver.com/v1/create-qr-code/?size=200x200&amp;data=""&amp;ENCODEURL(""https://wa.me/507""&amp;REGEXREPLACE(C1997,""[^0-9]"","""")&amp;""?text=""&amp;ENCODEURL(""Ya llegue. Codigo: ""&amp;A1997&amp;"". Ubicacion: ""&amp;""https://www.google.com/maps/search"&amp;"/?api=1&amp;query=""&amp;SUBSTITUTE(F1997,"" "",""""))),"""")"),"")</f>
        <v/>
      </c>
      <c r="M1997" s="5" t="str">
        <f t="shared" si="6"/>
        <v/>
      </c>
      <c r="N1997" s="5" t="str">
        <f>IFERROR(__xludf.DUMMYFUNCTION("IF(AND(F1997&lt;&gt;"""",REGEXMATCH(SUBSTITUTE(F1997,"" "",""""),""^-?\d+(\.\d+)?,-?\d+(\.\d+)?$""),VALUE(REGEXEXTRACT(SUBSTITUTE(F1997,"" "",""""),""^-?\d+(\.\d+)?""))&gt;=-90,VALUE(REGEXEXTRACT(SUBSTITUTE(F1997,"" "",""""),""^-?\d+(\.\d+)?""))&lt;=90,VALUE(REGEXEXT"&amp;"RACT(SUBSTITUTE(F1997,"" "",""""),""-?\d+(\.\d+)?$""))&gt;=-180,VALUE(REGEXEXTRACT(SUBSTITUTE(F1997,"" "",""""),""-?\d+(\.\d+)?$""))&lt;=180),""OK"",""REVISAR"")"),"#N/A")</f>
        <v>#N/A</v>
      </c>
    </row>
    <row r="1998" ht="15.75" customHeight="1">
      <c r="A1998" s="5" t="str">
        <f t="shared" si="1"/>
        <v>AD507-1996</v>
      </c>
      <c r="C1998" s="5"/>
      <c r="F1998" s="5"/>
      <c r="G1998" s="5" t="str">
        <f t="shared" si="2"/>
        <v/>
      </c>
      <c r="H1998" s="5" t="str">
        <f t="shared" si="3"/>
        <v/>
      </c>
      <c r="I1998" s="5" t="str">
        <f t="shared" si="4"/>
        <v/>
      </c>
      <c r="J1998" s="5" t="str">
        <f t="shared" si="5"/>
        <v/>
      </c>
      <c r="K1998" s="5" t="str">
        <f>IFERROR(__xludf.DUMMYFUNCTION("IF(C1998&lt;&gt;"""",HYPERLINK(""https://wa.me/507""&amp;REGEXREPLACE(C1998,""[^0-9]"","""")&amp;""?text=""&amp;ENCODEURL(""Ya llegue. Codigo: ""&amp;A1998&amp;"". Ubicacion: ""&amp;""https://www.google.com/maps/search/?api=1&amp;query=""&amp;SUBSTITUTE(F1998,"" "","""")),""📲 Avisar al clien"&amp;"te""),"""")"),"")</f>
        <v/>
      </c>
      <c r="L1998" s="5" t="str">
        <f>IFERROR(__xludf.DUMMYFUNCTION("IF(C1998&lt;&gt;"""",""https://api.qrserver.com/v1/create-qr-code/?size=200x200&amp;data=""&amp;ENCODEURL(""https://wa.me/507""&amp;REGEXREPLACE(C1998,""[^0-9]"","""")&amp;""?text=""&amp;ENCODEURL(""Ya llegue. Codigo: ""&amp;A1998&amp;"". Ubicacion: ""&amp;""https://www.google.com/maps/search"&amp;"/?api=1&amp;query=""&amp;SUBSTITUTE(F1998,"" "",""""))),"""")"),"")</f>
        <v/>
      </c>
      <c r="M1998" s="5" t="str">
        <f t="shared" si="6"/>
        <v/>
      </c>
      <c r="N1998" s="5" t="str">
        <f>IFERROR(__xludf.DUMMYFUNCTION("IF(AND(F1998&lt;&gt;"""",REGEXMATCH(SUBSTITUTE(F1998,"" "",""""),""^-?\d+(\.\d+)?,-?\d+(\.\d+)?$""),VALUE(REGEXEXTRACT(SUBSTITUTE(F1998,"" "",""""),""^-?\d+(\.\d+)?""))&gt;=-90,VALUE(REGEXEXTRACT(SUBSTITUTE(F1998,"" "",""""),""^-?\d+(\.\d+)?""))&lt;=90,VALUE(REGEXEXT"&amp;"RACT(SUBSTITUTE(F1998,"" "",""""),""-?\d+(\.\d+)?$""))&gt;=-180,VALUE(REGEXEXTRACT(SUBSTITUTE(F1998,"" "",""""),""-?\d+(\.\d+)?$""))&lt;=180),""OK"",""REVISAR"")"),"#N/A")</f>
        <v>#N/A</v>
      </c>
    </row>
    <row r="1999" ht="15.75" customHeight="1">
      <c r="A1999" s="5" t="str">
        <f t="shared" si="1"/>
        <v>AD507-1997</v>
      </c>
      <c r="C1999" s="5"/>
      <c r="F1999" s="5"/>
      <c r="G1999" s="5" t="str">
        <f t="shared" si="2"/>
        <v/>
      </c>
      <c r="H1999" s="5" t="str">
        <f t="shared" si="3"/>
        <v/>
      </c>
      <c r="I1999" s="5" t="str">
        <f t="shared" si="4"/>
        <v/>
      </c>
      <c r="J1999" s="5" t="str">
        <f t="shared" si="5"/>
        <v/>
      </c>
      <c r="K1999" s="5" t="str">
        <f>IFERROR(__xludf.DUMMYFUNCTION("IF(C1999&lt;&gt;"""",HYPERLINK(""https://wa.me/507""&amp;REGEXREPLACE(C1999,""[^0-9]"","""")&amp;""?text=""&amp;ENCODEURL(""Ya llegue. Codigo: ""&amp;A1999&amp;"". Ubicacion: ""&amp;""https://www.google.com/maps/search/?api=1&amp;query=""&amp;SUBSTITUTE(F1999,"" "","""")),""📲 Avisar al clien"&amp;"te""),"""")"),"")</f>
        <v/>
      </c>
      <c r="L1999" s="5" t="str">
        <f>IFERROR(__xludf.DUMMYFUNCTION("IF(C1999&lt;&gt;"""",""https://api.qrserver.com/v1/create-qr-code/?size=200x200&amp;data=""&amp;ENCODEURL(""https://wa.me/507""&amp;REGEXREPLACE(C1999,""[^0-9]"","""")&amp;""?text=""&amp;ENCODEURL(""Ya llegue. Codigo: ""&amp;A1999&amp;"". Ubicacion: ""&amp;""https://www.google.com/maps/search"&amp;"/?api=1&amp;query=""&amp;SUBSTITUTE(F1999,"" "",""""))),"""")"),"")</f>
        <v/>
      </c>
      <c r="M1999" s="5" t="str">
        <f t="shared" si="6"/>
        <v/>
      </c>
      <c r="N1999" s="5" t="str">
        <f>IFERROR(__xludf.DUMMYFUNCTION("IF(AND(F1999&lt;&gt;"""",REGEXMATCH(SUBSTITUTE(F1999,"" "",""""),""^-?\d+(\.\d+)?,-?\d+(\.\d+)?$""),VALUE(REGEXEXTRACT(SUBSTITUTE(F1999,"" "",""""),""^-?\d+(\.\d+)?""))&gt;=-90,VALUE(REGEXEXTRACT(SUBSTITUTE(F1999,"" "",""""),""^-?\d+(\.\d+)?""))&lt;=90,VALUE(REGEXEXT"&amp;"RACT(SUBSTITUTE(F1999,"" "",""""),""-?\d+(\.\d+)?$""))&gt;=-180,VALUE(REGEXEXTRACT(SUBSTITUTE(F1999,"" "",""""),""-?\d+(\.\d+)?$""))&lt;=180),""OK"",""REVISAR"")"),"#N/A")</f>
        <v>#N/A</v>
      </c>
    </row>
    <row r="2000" ht="15.75" customHeight="1">
      <c r="A2000" s="5" t="str">
        <f t="shared" si="1"/>
        <v>AD507-1998</v>
      </c>
      <c r="C2000" s="5"/>
      <c r="F2000" s="5"/>
      <c r="G2000" s="5" t="str">
        <f t="shared" si="2"/>
        <v/>
      </c>
      <c r="H2000" s="5" t="str">
        <f t="shared" si="3"/>
        <v/>
      </c>
      <c r="I2000" s="5" t="str">
        <f t="shared" si="4"/>
        <v/>
      </c>
      <c r="J2000" s="5" t="str">
        <f t="shared" si="5"/>
        <v/>
      </c>
      <c r="K2000" s="5" t="str">
        <f>IFERROR(__xludf.DUMMYFUNCTION("IF(C2000&lt;&gt;"""",HYPERLINK(""https://wa.me/507""&amp;REGEXREPLACE(C2000,""[^0-9]"","""")&amp;""?text=""&amp;ENCODEURL(""Ya llegue. Codigo: ""&amp;A2000&amp;"". Ubicacion: ""&amp;""https://www.google.com/maps/search/?api=1&amp;query=""&amp;SUBSTITUTE(F2000,"" "","""")),""📲 Avisar al clien"&amp;"te""),"""")"),"")</f>
        <v/>
      </c>
      <c r="L2000" s="5" t="str">
        <f>IFERROR(__xludf.DUMMYFUNCTION("IF(C2000&lt;&gt;"""",""https://api.qrserver.com/v1/create-qr-code/?size=200x200&amp;data=""&amp;ENCODEURL(""https://wa.me/507""&amp;REGEXREPLACE(C2000,""[^0-9]"","""")&amp;""?text=""&amp;ENCODEURL(""Ya llegue. Codigo: ""&amp;A2000&amp;"". Ubicacion: ""&amp;""https://www.google.com/maps/search"&amp;"/?api=1&amp;query=""&amp;SUBSTITUTE(F2000,"" "",""""))),"""")"),"")</f>
        <v/>
      </c>
      <c r="M2000" s="5" t="str">
        <f t="shared" si="6"/>
        <v/>
      </c>
      <c r="N2000" s="5" t="str">
        <f>IFERROR(__xludf.DUMMYFUNCTION("IF(AND(F2000&lt;&gt;"""",REGEXMATCH(SUBSTITUTE(F2000,"" "",""""),""^-?\d+(\.\d+)?,-?\d+(\.\d+)?$""),VALUE(REGEXEXTRACT(SUBSTITUTE(F2000,"" "",""""),""^-?\d+(\.\d+)?""))&gt;=-90,VALUE(REGEXEXTRACT(SUBSTITUTE(F2000,"" "",""""),""^-?\d+(\.\d+)?""))&lt;=90,VALUE(REGEXEXT"&amp;"RACT(SUBSTITUTE(F2000,"" "",""""),""-?\d+(\.\d+)?$""))&gt;=-180,VALUE(REGEXEXTRACT(SUBSTITUTE(F2000,"" "",""""),""-?\d+(\.\d+)?$""))&lt;=180),""OK"",""REVISAR"")"),"#N/A")</f>
        <v>#N/A</v>
      </c>
    </row>
  </sheetData>
  <mergeCells count="1">
    <mergeCell ref="A1:N1"/>
  </mergeCells>
  <dataValidations>
    <dataValidation type="custom" allowBlank="1" sqref="C3:C2000">
      <formula1>GT(LEN(C3),(6))</formula1>
    </dataValidation>
    <dataValidation type="custom" allowBlank="1" sqref="F3:F2000">
      <formula1>GT(LEN(F3),(5))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2026-01-27T22:25:08Z</dcterms:created>
  <dc:creator>openpyxl</dc:creator>
</cp:coreProperties>
</file>